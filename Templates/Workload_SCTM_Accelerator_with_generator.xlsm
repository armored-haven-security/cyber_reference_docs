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427" codeName="{00000000-0000-0000-0000-000000000000}"/>
  <workbookPr codeName="ThisWorkbook" checkCompatibility="1" defaultThemeVersion="166925"/>
  <mc:AlternateContent xmlns:mc="http://schemas.openxmlformats.org/markup-compatibility/2006">
    <mc:Choice Requires="x15">
      <x15ac:absPath xmlns:x15ac="http://schemas.microsoft.com/office/spreadsheetml/2010/11/ac" url="D:\Users\dkurtzer\Documents\Fences\SCTM_Accelerator\"/>
    </mc:Choice>
  </mc:AlternateContent>
  <xr:revisionPtr revIDLastSave="19" documentId="11_ED1DDDD805E35B004AB3DDBC9F76174F342FD67C" xr6:coauthVersionLast="45" xr6:coauthVersionMax="45" xr10:uidLastSave="{45B5BD8D-1A76-40B5-B1A7-3EBCF93A76D3}"/>
  <bookViews>
    <workbookView xWindow="0" yWindow="0" windowWidth="12000" windowHeight="4725" firstSheet="2" activeTab="2" xr2:uid="{00000000-000D-0000-FFFF-FFFF00000000}"/>
  </bookViews>
  <sheets>
    <sheet name="READ ME FIRST" sheetId="1" r:id="rId1"/>
    <sheet name="FINISHED Accelerator SCTM" sheetId="2" state="hidden" r:id="rId2"/>
    <sheet name="VARIABLE Accelerator SCTM" sheetId="3" r:id="rId3"/>
    <sheet name="Accelerator Variables" sheetId="8" r:id="rId4"/>
  </sheets>
  <calcPr calcId="191028" calcCompleted="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486" i="2" l="1" a="1"/>
  <c r="Z486" i="2" s="1"/>
  <c r="X486" i="2" a="1"/>
  <c r="X486" i="2"/>
  <c r="Z485" i="2" a="1"/>
  <c r="Z485" i="2"/>
  <c r="X485" i="2" a="1"/>
  <c r="X485" i="2" s="1"/>
  <c r="Z484" i="2" a="1"/>
  <c r="Z484" i="2" s="1"/>
  <c r="X484" i="2" a="1"/>
  <c r="X484" i="2" s="1"/>
  <c r="Z483" i="2" a="1"/>
  <c r="Z483" i="2" s="1"/>
  <c r="X483" i="2" a="1"/>
  <c r="X483" i="2" s="1"/>
  <c r="Z482" i="2" a="1"/>
  <c r="Z482" i="2" s="1"/>
  <c r="X482" i="2" a="1"/>
  <c r="X482" i="2"/>
  <c r="Z481" i="2" a="1"/>
  <c r="Z481" i="2"/>
  <c r="X481" i="2" a="1"/>
  <c r="X481" i="2" s="1"/>
  <c r="Z480" i="2" a="1"/>
  <c r="Z480" i="2" s="1"/>
  <c r="X480" i="2" a="1"/>
  <c r="X480" i="2" s="1"/>
  <c r="Z479" i="2" a="1"/>
  <c r="Z479" i="2" s="1"/>
  <c r="X479" i="2" a="1"/>
  <c r="X479" i="2" s="1"/>
  <c r="Z478" i="2" a="1"/>
  <c r="Z478" i="2" s="1"/>
  <c r="X478" i="2" a="1"/>
  <c r="X478" i="2"/>
  <c r="Z477" i="2" a="1"/>
  <c r="Z477" i="2"/>
  <c r="X477" i="2" a="1"/>
  <c r="X477" i="2" s="1"/>
  <c r="Z476" i="2" a="1"/>
  <c r="Z476" i="2" s="1"/>
  <c r="X476" i="2" a="1"/>
  <c r="X476" i="2" s="1"/>
  <c r="Z475" i="2" a="1"/>
  <c r="Z475" i="2" s="1"/>
  <c r="X475" i="2" a="1"/>
  <c r="X475" i="2" s="1"/>
  <c r="Z474" i="2" a="1"/>
  <c r="Z474" i="2" s="1"/>
  <c r="X474" i="2" a="1"/>
  <c r="X474" i="2"/>
  <c r="Z473" i="2" a="1"/>
  <c r="Z473" i="2"/>
  <c r="X473" i="2" a="1"/>
  <c r="X473" i="2" s="1"/>
  <c r="Z472" i="2" a="1"/>
  <c r="Z472" i="2" s="1"/>
  <c r="X472" i="2" a="1"/>
  <c r="X472" i="2" s="1"/>
  <c r="Z471" i="2" a="1"/>
  <c r="Z471" i="2" s="1"/>
  <c r="X471" i="2" a="1"/>
  <c r="X471" i="2" s="1"/>
  <c r="Z470" i="2" a="1"/>
  <c r="Z470" i="2" s="1"/>
  <c r="X470" i="2" a="1"/>
  <c r="X470" i="2"/>
  <c r="Z469" i="2" a="1"/>
  <c r="Z469" i="2"/>
  <c r="X469" i="2" a="1"/>
  <c r="X469" i="2" s="1"/>
  <c r="Z468" i="2" a="1"/>
  <c r="Z468" i="2" s="1"/>
  <c r="X468" i="2" a="1"/>
  <c r="X468" i="2" s="1"/>
  <c r="Z467" i="2" a="1"/>
  <c r="Z467" i="2" s="1"/>
  <c r="X467" i="2" a="1"/>
  <c r="X467" i="2" s="1"/>
  <c r="Z466" i="2" a="1"/>
  <c r="Z466" i="2" s="1"/>
  <c r="X466" i="2" a="1"/>
  <c r="X466" i="2"/>
  <c r="Z465" i="2" a="1"/>
  <c r="Z465" i="2"/>
  <c r="X465" i="2" a="1"/>
  <c r="X465" i="2" s="1"/>
  <c r="Z464" i="2" a="1"/>
  <c r="Z464" i="2" s="1"/>
  <c r="X464" i="2" a="1"/>
  <c r="X464" i="2" s="1"/>
  <c r="Z463" i="2" a="1"/>
  <c r="Z463" i="2" s="1"/>
  <c r="X463" i="2" a="1"/>
  <c r="X463" i="2" s="1"/>
  <c r="Z462" i="2" a="1"/>
  <c r="Z462" i="2" s="1"/>
  <c r="X462" i="2" a="1"/>
  <c r="X462" i="2"/>
  <c r="Z461" i="2" a="1"/>
  <c r="Z461" i="2"/>
  <c r="X461" i="2" a="1"/>
  <c r="X461" i="2" s="1"/>
  <c r="Z460" i="2" a="1"/>
  <c r="Z460" i="2" s="1"/>
  <c r="X460" i="2" a="1"/>
  <c r="X460" i="2" s="1"/>
  <c r="Z459" i="2" a="1"/>
  <c r="Z459" i="2" s="1"/>
  <c r="X459" i="2" a="1"/>
  <c r="X459" i="2" s="1"/>
  <c r="Z458" i="2" a="1"/>
  <c r="Z458" i="2" s="1"/>
  <c r="X458" i="2" a="1"/>
  <c r="X458" i="2"/>
  <c r="Z457" i="2" a="1"/>
  <c r="Z457" i="2"/>
  <c r="X457" i="2" a="1"/>
  <c r="X457" i="2" s="1"/>
  <c r="Z456" i="2" a="1"/>
  <c r="Z456" i="2" s="1"/>
  <c r="X456" i="2" a="1"/>
  <c r="X456" i="2" s="1"/>
  <c r="Z455" i="2" a="1"/>
  <c r="Z455" i="2" s="1"/>
  <c r="X455" i="2" a="1"/>
  <c r="X455" i="2" s="1"/>
  <c r="Z454" i="2" a="1"/>
  <c r="Z454" i="2" s="1"/>
  <c r="X454" i="2" a="1"/>
  <c r="X454" i="2"/>
  <c r="Z453" i="2" a="1"/>
  <c r="Z453" i="2"/>
  <c r="X453" i="2" a="1"/>
  <c r="X453" i="2" s="1"/>
  <c r="Z452" i="2" a="1"/>
  <c r="Z452" i="2" s="1"/>
  <c r="X452" i="2" a="1"/>
  <c r="X452" i="2" s="1"/>
  <c r="Z451" i="2" a="1"/>
  <c r="Z451" i="2" s="1"/>
  <c r="X451" i="2" a="1"/>
  <c r="X451" i="2" s="1"/>
  <c r="Z450" i="2" a="1"/>
  <c r="Z450" i="2" s="1"/>
  <c r="X450" i="2" a="1"/>
  <c r="X450" i="2"/>
  <c r="Z449" i="2" a="1"/>
  <c r="Z449" i="2"/>
  <c r="X449" i="2" a="1"/>
  <c r="X449" i="2" s="1"/>
  <c r="Z448" i="2" a="1"/>
  <c r="Z448" i="2" s="1"/>
  <c r="X448" i="2" a="1"/>
  <c r="X448" i="2" s="1"/>
  <c r="Z447" i="2" a="1"/>
  <c r="Z447" i="2" s="1"/>
  <c r="X447" i="2" a="1"/>
  <c r="X447" i="2" s="1"/>
  <c r="Z446" i="2" a="1"/>
  <c r="Z446" i="2" s="1"/>
  <c r="X446" i="2" a="1"/>
  <c r="X446" i="2"/>
  <c r="Z445" i="2" a="1"/>
  <c r="Z445" i="2"/>
  <c r="X445" i="2" a="1"/>
  <c r="X445" i="2" s="1"/>
  <c r="Z444" i="2" a="1"/>
  <c r="Z444" i="2" s="1"/>
  <c r="X444" i="2" a="1"/>
  <c r="X444" i="2" s="1"/>
  <c r="Z443" i="2" a="1"/>
  <c r="Z443" i="2" s="1"/>
  <c r="X443" i="2" a="1"/>
  <c r="X443" i="2" s="1"/>
  <c r="Z442" i="2" a="1"/>
  <c r="Z442" i="2" s="1"/>
  <c r="X442" i="2" a="1"/>
  <c r="X442" i="2"/>
  <c r="Z441" i="2" a="1"/>
  <c r="Z441" i="2"/>
  <c r="X441" i="2" a="1"/>
  <c r="X441" i="2" s="1"/>
  <c r="Z440" i="2" a="1"/>
  <c r="Z440" i="2" s="1"/>
  <c r="X440" i="2" a="1"/>
  <c r="X440" i="2" s="1"/>
  <c r="Z439" i="2" a="1"/>
  <c r="Z439" i="2" s="1"/>
  <c r="X439" i="2" a="1"/>
  <c r="X439" i="2" s="1"/>
  <c r="Z438" i="2" a="1"/>
  <c r="Z438" i="2" s="1"/>
  <c r="X438" i="2" a="1"/>
  <c r="X438" i="2"/>
  <c r="Z437" i="2" a="1"/>
  <c r="Z437" i="2"/>
  <c r="X437" i="2" a="1"/>
  <c r="X437" i="2" s="1"/>
  <c r="Z436" i="2" a="1"/>
  <c r="Z436" i="2" s="1"/>
  <c r="X436" i="2" a="1"/>
  <c r="X436" i="2" s="1"/>
  <c r="Z435" i="2" a="1"/>
  <c r="Z435" i="2" s="1"/>
  <c r="X435" i="2" a="1"/>
  <c r="X435" i="2" s="1"/>
  <c r="Z434" i="2" a="1"/>
  <c r="Z434" i="2" s="1"/>
  <c r="X434" i="2" a="1"/>
  <c r="X434" i="2"/>
  <c r="Z433" i="2" a="1"/>
  <c r="Z433" i="2"/>
  <c r="X433" i="2" a="1"/>
  <c r="X433" i="2" s="1"/>
  <c r="Z432" i="2" a="1"/>
  <c r="Z432" i="2" s="1"/>
  <c r="X432" i="2" a="1"/>
  <c r="X432" i="2" s="1"/>
  <c r="Z431" i="2" a="1"/>
  <c r="Z431" i="2" s="1"/>
  <c r="X431" i="2" a="1"/>
  <c r="X431" i="2" s="1"/>
  <c r="Z430" i="2" a="1"/>
  <c r="Z430" i="2" s="1"/>
  <c r="X430" i="2" a="1"/>
  <c r="X430" i="2"/>
  <c r="Z429" i="2" a="1"/>
  <c r="Z429" i="2"/>
  <c r="X429" i="2" a="1"/>
  <c r="X429" i="2" s="1"/>
  <c r="Z428" i="2" a="1"/>
  <c r="Z428" i="2" s="1"/>
  <c r="X428" i="2" a="1"/>
  <c r="X428" i="2" s="1"/>
  <c r="Z427" i="2" a="1"/>
  <c r="Z427" i="2" s="1"/>
  <c r="X427" i="2" a="1"/>
  <c r="X427" i="2" s="1"/>
  <c r="Z426" i="2" a="1"/>
  <c r="Z426" i="2" s="1"/>
  <c r="X426" i="2" a="1"/>
  <c r="X426" i="2"/>
  <c r="Z425" i="2" a="1"/>
  <c r="Z425" i="2"/>
  <c r="X425" i="2" a="1"/>
  <c r="X425" i="2" s="1"/>
  <c r="Z424" i="2" a="1"/>
  <c r="Z424" i="2" s="1"/>
  <c r="X424" i="2" a="1"/>
  <c r="X424" i="2" s="1"/>
  <c r="Z423" i="2" a="1"/>
  <c r="Z423" i="2" s="1"/>
  <c r="X423" i="2" a="1"/>
  <c r="X423" i="2" s="1"/>
  <c r="Z422" i="2" a="1"/>
  <c r="Z422" i="2" s="1"/>
  <c r="X422" i="2" a="1"/>
  <c r="X422" i="2"/>
  <c r="Z421" i="2" a="1"/>
  <c r="Z421" i="2"/>
  <c r="X421" i="2" a="1"/>
  <c r="X421" i="2" s="1"/>
  <c r="Z420" i="2" a="1"/>
  <c r="Z420" i="2" s="1"/>
  <c r="X420" i="2" a="1"/>
  <c r="X420" i="2" s="1"/>
  <c r="Z419" i="2" a="1"/>
  <c r="Z419" i="2" s="1"/>
  <c r="X419" i="2" a="1"/>
  <c r="X419" i="2" s="1"/>
  <c r="Z418" i="2" a="1"/>
  <c r="Z418" i="2" s="1"/>
  <c r="X418" i="2" a="1"/>
  <c r="X418" i="2"/>
  <c r="Z417" i="2" a="1"/>
  <c r="Z417" i="2"/>
  <c r="X417" i="2" a="1"/>
  <c r="X417" i="2" s="1"/>
  <c r="Z416" i="2" a="1"/>
  <c r="Z416" i="2" s="1"/>
  <c r="X416" i="2" a="1"/>
  <c r="X416" i="2" s="1"/>
  <c r="Z415" i="2" a="1"/>
  <c r="Z415" i="2" s="1"/>
  <c r="X415" i="2" a="1"/>
  <c r="X415" i="2" s="1"/>
  <c r="Z414" i="2" a="1"/>
  <c r="Z414" i="2"/>
  <c r="X414" i="2" a="1"/>
  <c r="X414" i="2"/>
  <c r="Z413" i="2" a="1"/>
  <c r="Z413" i="2" s="1"/>
  <c r="X413" i="2" a="1"/>
  <c r="X413" i="2" s="1"/>
  <c r="Z412" i="2" a="1"/>
  <c r="Z412" i="2"/>
  <c r="X412" i="2" a="1"/>
  <c r="X412" i="2"/>
  <c r="Z411" i="2" a="1"/>
  <c r="Z411" i="2" s="1"/>
  <c r="X411" i="2" a="1"/>
  <c r="X411" i="2" s="1"/>
  <c r="Z410" i="2" a="1"/>
  <c r="Z410" i="2"/>
  <c r="X410" i="2" a="1"/>
  <c r="X410" i="2"/>
  <c r="Z409" i="2" a="1"/>
  <c r="Z409" i="2" s="1"/>
  <c r="X409" i="2" a="1"/>
  <c r="X409" i="2" s="1"/>
  <c r="Z408" i="2" a="1"/>
  <c r="Z408" i="2"/>
  <c r="X408" i="2" a="1"/>
  <c r="X408" i="2"/>
  <c r="Z407" i="2" a="1"/>
  <c r="Z407" i="2" s="1"/>
  <c r="X407" i="2" a="1"/>
  <c r="X407" i="2" s="1"/>
  <c r="Z406" i="2" a="1"/>
  <c r="Z406" i="2"/>
  <c r="X406" i="2" a="1"/>
  <c r="X406" i="2"/>
  <c r="Z405" i="2" a="1"/>
  <c r="Z405" i="2" s="1"/>
  <c r="X405" i="2" a="1"/>
  <c r="X405" i="2" s="1"/>
  <c r="Z404" i="2" a="1"/>
  <c r="Z404" i="2"/>
  <c r="X404" i="2" a="1"/>
  <c r="X404" i="2"/>
  <c r="Z403" i="2" a="1"/>
  <c r="Z403" i="2" s="1"/>
  <c r="X403" i="2" a="1"/>
  <c r="X403" i="2" s="1"/>
  <c r="Z402" i="2" a="1"/>
  <c r="Z402" i="2"/>
  <c r="X402" i="2" a="1"/>
  <c r="X402" i="2"/>
  <c r="Z401" i="2" a="1"/>
  <c r="Z401" i="2" s="1"/>
  <c r="X401" i="2" a="1"/>
  <c r="X401" i="2" s="1"/>
  <c r="Z400" i="2" a="1"/>
  <c r="Z400" i="2"/>
  <c r="X400" i="2" a="1"/>
  <c r="X400" i="2"/>
  <c r="Z399" i="2" a="1"/>
  <c r="Z399" i="2" s="1"/>
  <c r="X399" i="2" a="1"/>
  <c r="X399" i="2" s="1"/>
  <c r="Z398" i="2" a="1"/>
  <c r="Z398" i="2"/>
  <c r="X398" i="2" a="1"/>
  <c r="X398" i="2"/>
  <c r="Z397" i="2" a="1"/>
  <c r="Z397" i="2" s="1"/>
  <c r="X397" i="2" a="1"/>
  <c r="X397" i="2" s="1"/>
  <c r="Z396" i="2" a="1"/>
  <c r="Z396" i="2"/>
  <c r="X396" i="2" a="1"/>
  <c r="X396" i="2"/>
  <c r="Z395" i="2" a="1"/>
  <c r="Z395" i="2" s="1"/>
  <c r="X395" i="2" a="1"/>
  <c r="X395" i="2" s="1"/>
  <c r="Z394" i="2" a="1"/>
  <c r="Z394" i="2"/>
  <c r="X394" i="2" a="1"/>
  <c r="X394" i="2"/>
  <c r="Z393" i="2" a="1"/>
  <c r="Z393" i="2" s="1"/>
  <c r="X393" i="2" a="1"/>
  <c r="X393" i="2" s="1"/>
  <c r="Z392" i="2" a="1"/>
  <c r="Z392" i="2"/>
  <c r="X392" i="2" a="1"/>
  <c r="X392" i="2"/>
  <c r="Z391" i="2" a="1"/>
  <c r="Z391" i="2" s="1"/>
  <c r="X391" i="2" a="1"/>
  <c r="X391" i="2" s="1"/>
  <c r="Z390" i="2" a="1"/>
  <c r="Z390" i="2"/>
  <c r="X390" i="2" a="1"/>
  <c r="X390" i="2"/>
  <c r="Z389" i="2" a="1"/>
  <c r="Z389" i="2" s="1"/>
  <c r="X389" i="2" a="1"/>
  <c r="X389" i="2" s="1"/>
  <c r="Z388" i="2" a="1"/>
  <c r="Z388" i="2"/>
  <c r="X388" i="2" a="1"/>
  <c r="X388" i="2"/>
  <c r="Z387" i="2" a="1"/>
  <c r="Z387" i="2" s="1"/>
  <c r="X387" i="2" a="1"/>
  <c r="X387" i="2" s="1"/>
  <c r="Z386" i="2" a="1"/>
  <c r="Z386" i="2"/>
  <c r="X386" i="2" a="1"/>
  <c r="X386" i="2"/>
  <c r="Z385" i="2" a="1"/>
  <c r="Z385" i="2" s="1"/>
  <c r="X385" i="2" a="1"/>
  <c r="X385" i="2" s="1"/>
  <c r="Z384" i="2" a="1"/>
  <c r="Z384" i="2"/>
  <c r="X384" i="2" a="1"/>
  <c r="X384" i="2"/>
  <c r="Z383" i="2" a="1"/>
  <c r="Z383" i="2" s="1"/>
  <c r="X383" i="2" a="1"/>
  <c r="X383" i="2" s="1"/>
  <c r="Z382" i="2" a="1"/>
  <c r="Z382" i="2"/>
  <c r="X382" i="2" a="1"/>
  <c r="X382" i="2"/>
  <c r="Z381" i="2" a="1"/>
  <c r="Z381" i="2" s="1"/>
  <c r="X381" i="2" a="1"/>
  <c r="X381" i="2" s="1"/>
  <c r="Z380" i="2" a="1"/>
  <c r="Z380" i="2"/>
  <c r="X380" i="2" a="1"/>
  <c r="X380" i="2"/>
  <c r="Z379" i="2" a="1"/>
  <c r="Z379" i="2" s="1"/>
  <c r="X379" i="2" a="1"/>
  <c r="X379" i="2" s="1"/>
  <c r="Z378" i="2" a="1"/>
  <c r="Z378" i="2"/>
  <c r="X378" i="2" a="1"/>
  <c r="X378" i="2"/>
  <c r="Z377" i="2" a="1"/>
  <c r="Z377" i="2" s="1"/>
  <c r="X377" i="2" a="1"/>
  <c r="X377" i="2" s="1"/>
  <c r="Z376" i="2" a="1"/>
  <c r="Z376" i="2"/>
  <c r="X376" i="2" a="1"/>
  <c r="X376" i="2"/>
  <c r="Z375" i="2" a="1"/>
  <c r="Z375" i="2" s="1"/>
  <c r="X375" i="2" a="1"/>
  <c r="X375" i="2" s="1"/>
  <c r="Z374" i="2" a="1"/>
  <c r="Z374" i="2"/>
  <c r="X374" i="2" a="1"/>
  <c r="X374" i="2"/>
  <c r="Z373" i="2" a="1"/>
  <c r="Z373" i="2" s="1"/>
  <c r="X373" i="2" a="1"/>
  <c r="X373" i="2" s="1"/>
  <c r="Z372" i="2" a="1"/>
  <c r="Z372" i="2"/>
  <c r="X372" i="2" a="1"/>
  <c r="X372" i="2"/>
  <c r="Z371" i="2" a="1"/>
  <c r="Z371" i="2" s="1"/>
  <c r="X371" i="2" a="1"/>
  <c r="X371" i="2" s="1"/>
  <c r="Z370" i="2" a="1"/>
  <c r="Z370" i="2"/>
  <c r="X370" i="2" a="1"/>
  <c r="X370" i="2"/>
  <c r="Z369" i="2" a="1"/>
  <c r="Z369" i="2" s="1"/>
  <c r="X369" i="2" a="1"/>
  <c r="X369" i="2" s="1"/>
  <c r="Z368" i="2" a="1"/>
  <c r="Z368" i="2"/>
  <c r="X368" i="2" a="1"/>
  <c r="X368" i="2"/>
  <c r="Z367" i="2" a="1"/>
  <c r="Z367" i="2" s="1"/>
  <c r="X367" i="2" a="1"/>
  <c r="X367" i="2" s="1"/>
  <c r="Z366" i="2" a="1"/>
  <c r="Z366" i="2"/>
  <c r="X366" i="2" a="1"/>
  <c r="X366" i="2"/>
  <c r="Z365" i="2" a="1"/>
  <c r="Z365" i="2" s="1"/>
  <c r="X365" i="2" a="1"/>
  <c r="X365" i="2" s="1"/>
  <c r="Z364" i="2" a="1"/>
  <c r="Z364" i="2"/>
  <c r="X364" i="2" a="1"/>
  <c r="X364" i="2"/>
  <c r="Z363" i="2" a="1"/>
  <c r="Z363" i="2" s="1"/>
  <c r="X363" i="2" a="1"/>
  <c r="X363" i="2" s="1"/>
  <c r="Z362" i="2" a="1"/>
  <c r="Z362" i="2"/>
  <c r="X362" i="2" a="1"/>
  <c r="X362" i="2"/>
  <c r="Z361" i="2" a="1"/>
  <c r="Z361" i="2" s="1"/>
  <c r="X361" i="2" a="1"/>
  <c r="X361" i="2" s="1"/>
  <c r="Z360" i="2" a="1"/>
  <c r="Z360" i="2"/>
  <c r="X360" i="2" a="1"/>
  <c r="X360" i="2"/>
  <c r="Z359" i="2" a="1"/>
  <c r="Z359" i="2" s="1"/>
  <c r="X359" i="2" a="1"/>
  <c r="X359" i="2" s="1"/>
  <c r="Z358" i="2" a="1"/>
  <c r="Z358" i="2"/>
  <c r="X358" i="2" a="1"/>
  <c r="X358" i="2"/>
  <c r="Z357" i="2" a="1"/>
  <c r="Z357" i="2" s="1"/>
  <c r="X357" i="2" a="1"/>
  <c r="X357" i="2" s="1"/>
  <c r="Z356" i="2" a="1"/>
  <c r="Z356" i="2"/>
  <c r="X356" i="2" a="1"/>
  <c r="X356" i="2"/>
  <c r="Z355" i="2" a="1"/>
  <c r="Z355" i="2" s="1"/>
  <c r="X355" i="2" a="1"/>
  <c r="X355" i="2" s="1"/>
  <c r="Z354" i="2" a="1"/>
  <c r="Z354" i="2"/>
  <c r="X354" i="2" a="1"/>
  <c r="X354" i="2"/>
  <c r="Z353" i="2" a="1"/>
  <c r="Z353" i="2" s="1"/>
  <c r="X353" i="2" a="1"/>
  <c r="X353" i="2" s="1"/>
  <c r="Z352" i="2" a="1"/>
  <c r="Z352" i="2"/>
  <c r="X352" i="2" a="1"/>
  <c r="X352" i="2"/>
  <c r="Z351" i="2" a="1"/>
  <c r="Z351" i="2" s="1"/>
  <c r="X351" i="2" a="1"/>
  <c r="X351" i="2" s="1"/>
  <c r="Z350" i="2" a="1"/>
  <c r="Z350" i="2"/>
  <c r="X350" i="2" a="1"/>
  <c r="X350" i="2"/>
  <c r="Z349" i="2" a="1"/>
  <c r="Z349" i="2" s="1"/>
  <c r="X349" i="2" a="1"/>
  <c r="X349" i="2" s="1"/>
  <c r="Z348" i="2" a="1"/>
  <c r="Z348" i="2" s="1"/>
  <c r="X348" i="2" a="1"/>
  <c r="X348" i="2"/>
  <c r="Z347" i="2" a="1"/>
  <c r="Z347" i="2" s="1"/>
  <c r="X347" i="2" a="1"/>
  <c r="X347" i="2"/>
  <c r="Z346" i="2" a="1"/>
  <c r="Z346" i="2"/>
  <c r="X346" i="2" a="1"/>
  <c r="X346" i="2" s="1"/>
  <c r="Z345" i="2" a="1"/>
  <c r="Z345" i="2"/>
  <c r="X345" i="2" a="1"/>
  <c r="X345" i="2" s="1"/>
  <c r="Z344" i="2" a="1"/>
  <c r="Z344" i="2"/>
  <c r="X344" i="2" a="1"/>
  <c r="X344" i="2"/>
  <c r="Z343" i="2" a="1"/>
  <c r="Z343" i="2" s="1"/>
  <c r="X343" i="2" a="1"/>
  <c r="X343" i="2" s="1"/>
  <c r="Z342" i="2" a="1"/>
  <c r="Z342" i="2"/>
  <c r="X342" i="2" a="1"/>
  <c r="X342" i="2" s="1"/>
  <c r="Z341" i="2" a="1"/>
  <c r="Z341" i="2" s="1"/>
  <c r="X341" i="2" a="1"/>
  <c r="X341" i="2" s="1"/>
  <c r="Z340" i="2" a="1"/>
  <c r="Z340" i="2" s="1"/>
  <c r="X340" i="2" a="1"/>
  <c r="X340" i="2"/>
  <c r="Z339" i="2" a="1"/>
  <c r="Z339" i="2" s="1"/>
  <c r="X339" i="2" a="1"/>
  <c r="X339" i="2" s="1"/>
  <c r="Z338" i="2" a="1"/>
  <c r="Z338" i="2"/>
  <c r="X338" i="2" a="1"/>
  <c r="X338" i="2" s="1"/>
  <c r="Z337" i="2" a="1"/>
  <c r="Z337" i="2"/>
  <c r="X337" i="2" a="1"/>
  <c r="X337" i="2" s="1"/>
  <c r="Z336" i="2" a="1"/>
  <c r="Z336" i="2" s="1"/>
  <c r="X336" i="2" a="1"/>
  <c r="X336" i="2"/>
  <c r="Z335" i="2" a="1"/>
  <c r="Z335" i="2" s="1"/>
  <c r="X335" i="2" a="1"/>
  <c r="X335" i="2" s="1"/>
  <c r="Z334" i="2" a="1"/>
  <c r="Z334" i="2"/>
  <c r="X334" i="2" a="1"/>
  <c r="X334" i="2" s="1"/>
  <c r="Z333" i="2" a="1"/>
  <c r="Z333" i="2" s="1"/>
  <c r="X333" i="2" a="1"/>
  <c r="X333" i="2" s="1"/>
  <c r="Z332" i="2" a="1"/>
  <c r="Z332" i="2" s="1"/>
  <c r="X332" i="2" a="1"/>
  <c r="X332" i="2"/>
  <c r="Z331" i="2" a="1"/>
  <c r="Z331" i="2" s="1"/>
  <c r="X331" i="2" a="1"/>
  <c r="X331" i="2" s="1"/>
  <c r="Z330" i="2" a="1"/>
  <c r="Z330" i="2"/>
  <c r="X330" i="2" a="1"/>
  <c r="X330" i="2" s="1"/>
  <c r="Z329" i="2" a="1"/>
  <c r="Z329" i="2"/>
  <c r="X329" i="2" a="1"/>
  <c r="X329" i="2" s="1"/>
  <c r="Z328" i="2" a="1"/>
  <c r="Z328" i="2" s="1"/>
  <c r="X328" i="2" a="1"/>
  <c r="X328" i="2"/>
  <c r="Z327" i="2" a="1"/>
  <c r="Z327" i="2" s="1"/>
  <c r="X327" i="2" a="1"/>
  <c r="X327" i="2" s="1"/>
  <c r="Z326" i="2" a="1"/>
  <c r="Z326" i="2"/>
  <c r="X326" i="2" a="1"/>
  <c r="X326" i="2" s="1"/>
  <c r="Z325" i="2" a="1"/>
  <c r="Z325" i="2" s="1"/>
  <c r="X325" i="2" a="1"/>
  <c r="X325" i="2" s="1"/>
  <c r="Z324" i="2" a="1"/>
  <c r="Z324" i="2" s="1"/>
  <c r="X324" i="2" a="1"/>
  <c r="X324" i="2"/>
  <c r="Z323" i="2" a="1"/>
  <c r="Z323" i="2" s="1"/>
  <c r="X323" i="2" a="1"/>
  <c r="X323" i="2" s="1"/>
  <c r="Z322" i="2" a="1"/>
  <c r="Z322" i="2"/>
  <c r="X322" i="2" a="1"/>
  <c r="X322" i="2" s="1"/>
  <c r="Z321" i="2" a="1"/>
  <c r="Z321" i="2"/>
  <c r="X321" i="2" a="1"/>
  <c r="X321" i="2" s="1"/>
  <c r="Z320" i="2" a="1"/>
  <c r="Z320" i="2" s="1"/>
  <c r="X320" i="2" a="1"/>
  <c r="X320" i="2"/>
  <c r="Z319" i="2" a="1"/>
  <c r="Z319" i="2" s="1"/>
  <c r="X319" i="2" a="1"/>
  <c r="X319" i="2" s="1"/>
  <c r="Z318" i="2" a="1"/>
  <c r="Z318" i="2"/>
  <c r="X318" i="2" a="1"/>
  <c r="X318" i="2" s="1"/>
  <c r="Z317" i="2" a="1"/>
  <c r="Z317" i="2" s="1"/>
  <c r="X317" i="2" a="1"/>
  <c r="X317" i="2" s="1"/>
  <c r="Z316" i="2" a="1"/>
  <c r="Z316" i="2" s="1"/>
  <c r="X316" i="2" a="1"/>
  <c r="X316" i="2"/>
  <c r="Z315" i="2" a="1"/>
  <c r="Z315" i="2" s="1"/>
  <c r="X315" i="2" a="1"/>
  <c r="X315" i="2" s="1"/>
  <c r="Z314" i="2" a="1"/>
  <c r="Z314" i="2"/>
  <c r="X314" i="2" a="1"/>
  <c r="X314" i="2" s="1"/>
  <c r="Z313" i="2" a="1"/>
  <c r="Z313" i="2"/>
  <c r="X313" i="2" a="1"/>
  <c r="X313" i="2" s="1"/>
  <c r="Z312" i="2" a="1"/>
  <c r="Z312" i="2" s="1"/>
  <c r="X312" i="2" a="1"/>
  <c r="X312" i="2"/>
  <c r="Z311" i="2" a="1"/>
  <c r="Z311" i="2" s="1"/>
  <c r="X311" i="2" a="1"/>
  <c r="X311" i="2" s="1"/>
  <c r="Z310" i="2" a="1"/>
  <c r="Z310" i="2"/>
  <c r="X310" i="2" a="1"/>
  <c r="X310" i="2" s="1"/>
  <c r="Z309" i="2" a="1"/>
  <c r="Z309" i="2" s="1"/>
  <c r="X309" i="2" a="1"/>
  <c r="X309" i="2" s="1"/>
  <c r="Z308" i="2" a="1"/>
  <c r="Z308" i="2" s="1"/>
  <c r="X308" i="2" a="1"/>
  <c r="X308" i="2"/>
  <c r="Z307" i="2" a="1"/>
  <c r="Z307" i="2" s="1"/>
  <c r="X307" i="2" a="1"/>
  <c r="X307" i="2" s="1"/>
  <c r="Z306" i="2" a="1"/>
  <c r="Z306" i="2"/>
  <c r="X306" i="2" a="1"/>
  <c r="X306" i="2" s="1"/>
  <c r="Z305" i="2" a="1"/>
  <c r="Z305" i="2"/>
  <c r="X305" i="2" a="1"/>
  <c r="X305" i="2" s="1"/>
  <c r="Z304" i="2" a="1"/>
  <c r="Z304" i="2" s="1"/>
  <c r="X304" i="2" a="1"/>
  <c r="X304" i="2"/>
  <c r="Z303" i="2" a="1"/>
  <c r="Z303" i="2" s="1"/>
  <c r="X303" i="2" a="1"/>
  <c r="X303" i="2" s="1"/>
  <c r="Z302" i="2" a="1"/>
  <c r="Z302" i="2"/>
  <c r="X302" i="2" a="1"/>
  <c r="X302" i="2" s="1"/>
  <c r="Z301" i="2" a="1"/>
  <c r="Z301" i="2" s="1"/>
  <c r="X301" i="2" a="1"/>
  <c r="X301" i="2" s="1"/>
  <c r="Z300" i="2" a="1"/>
  <c r="Z300" i="2" s="1"/>
  <c r="X300" i="2" a="1"/>
  <c r="X300" i="2"/>
  <c r="Z299" i="2" a="1"/>
  <c r="Z299" i="2" s="1"/>
  <c r="X299" i="2" a="1"/>
  <c r="X299" i="2" s="1"/>
  <c r="Z298" i="2" a="1"/>
  <c r="Z298" i="2"/>
  <c r="X298" i="2" a="1"/>
  <c r="X298" i="2" s="1"/>
  <c r="Z297" i="2" a="1"/>
  <c r="Z297" i="2"/>
  <c r="X297" i="2" a="1"/>
  <c r="X297" i="2" s="1"/>
  <c r="Z296" i="2" a="1"/>
  <c r="Z296" i="2" s="1"/>
  <c r="X296" i="2" a="1"/>
  <c r="X296" i="2"/>
  <c r="Z295" i="2" a="1"/>
  <c r="Z295" i="2" s="1"/>
  <c r="X295" i="2" a="1"/>
  <c r="X295" i="2" s="1"/>
  <c r="Z294" i="2" a="1"/>
  <c r="Z294" i="2"/>
  <c r="X294" i="2" a="1"/>
  <c r="X294" i="2" s="1"/>
  <c r="Z293" i="2" a="1"/>
  <c r="Z293" i="2" s="1"/>
  <c r="X293" i="2" a="1"/>
  <c r="X293" i="2" s="1"/>
  <c r="Z292" i="2" a="1"/>
  <c r="Z292" i="2" s="1"/>
  <c r="X292" i="2" a="1"/>
  <c r="X292" i="2"/>
  <c r="Z291" i="2" a="1"/>
  <c r="Z291" i="2" s="1"/>
  <c r="X291" i="2" a="1"/>
  <c r="X291" i="2" s="1"/>
  <c r="Z290" i="2" a="1"/>
  <c r="Z290" i="2"/>
  <c r="X290" i="2" a="1"/>
  <c r="X290" i="2" s="1"/>
  <c r="Z289" i="2" a="1"/>
  <c r="Z289" i="2"/>
  <c r="X289" i="2" a="1"/>
  <c r="X289" i="2" s="1"/>
  <c r="Z288" i="2" a="1"/>
  <c r="Z288" i="2" s="1"/>
  <c r="X288" i="2" a="1"/>
  <c r="X288" i="2"/>
  <c r="Z287" i="2" a="1"/>
  <c r="Z287" i="2" s="1"/>
  <c r="X287" i="2" a="1"/>
  <c r="X287" i="2" s="1"/>
  <c r="Z286" i="2" a="1"/>
  <c r="Z286" i="2"/>
  <c r="X286" i="2" a="1"/>
  <c r="X286" i="2" s="1"/>
  <c r="Z285" i="2" a="1"/>
  <c r="Z285" i="2" s="1"/>
  <c r="X285" i="2" a="1"/>
  <c r="X285" i="2" s="1"/>
  <c r="Z284" i="2" a="1"/>
  <c r="Z284" i="2" s="1"/>
  <c r="X284" i="2" a="1"/>
  <c r="X284" i="2"/>
  <c r="Z283" i="2" a="1"/>
  <c r="Z283" i="2" s="1"/>
  <c r="X283" i="2" a="1"/>
  <c r="X283" i="2" s="1"/>
  <c r="Z282" i="2" a="1"/>
  <c r="Z282" i="2"/>
  <c r="X282" i="2" a="1"/>
  <c r="X282" i="2" s="1"/>
  <c r="Z281" i="2" a="1"/>
  <c r="Z281" i="2"/>
  <c r="X281" i="2" a="1"/>
  <c r="X281" i="2" s="1"/>
  <c r="Z280" i="2" a="1"/>
  <c r="Z280" i="2" s="1"/>
  <c r="X280" i="2" a="1"/>
  <c r="X280" i="2"/>
  <c r="Z279" i="2" a="1"/>
  <c r="Z279" i="2" s="1"/>
  <c r="X279" i="2" a="1"/>
  <c r="X279" i="2" s="1"/>
  <c r="Z278" i="2" a="1"/>
  <c r="Z278" i="2"/>
  <c r="X278" i="2" a="1"/>
  <c r="X278" i="2" s="1"/>
  <c r="Z277" i="2" a="1"/>
  <c r="Z277" i="2" s="1"/>
  <c r="X277" i="2" a="1"/>
  <c r="X277" i="2" s="1"/>
  <c r="Z276" i="2" a="1"/>
  <c r="Z276" i="2" s="1"/>
  <c r="X276" i="2" a="1"/>
  <c r="X276" i="2"/>
  <c r="Z275" i="2" a="1"/>
  <c r="Z275" i="2" s="1"/>
  <c r="X275" i="2" a="1"/>
  <c r="X275" i="2" s="1"/>
  <c r="Z274" i="2" a="1"/>
  <c r="Z274" i="2"/>
  <c r="X274" i="2" a="1"/>
  <c r="X274" i="2" s="1"/>
  <c r="Z273" i="2" a="1"/>
  <c r="Z273" i="2"/>
  <c r="X273" i="2" a="1"/>
  <c r="X273" i="2" s="1"/>
  <c r="Z272" i="2" a="1"/>
  <c r="Z272" i="2" s="1"/>
  <c r="X272" i="2" a="1"/>
  <c r="X272" i="2"/>
  <c r="Z271" i="2" a="1"/>
  <c r="Z271" i="2" s="1"/>
  <c r="X271" i="2" a="1"/>
  <c r="X271" i="2" s="1"/>
  <c r="Z270" i="2" a="1"/>
  <c r="Z270" i="2"/>
  <c r="X270" i="2" a="1"/>
  <c r="X270" i="2" s="1"/>
  <c r="Z269" i="2" a="1"/>
  <c r="Z269" i="2"/>
  <c r="X269" i="2" a="1"/>
  <c r="X269" i="2" s="1"/>
  <c r="Z268" i="2" a="1"/>
  <c r="Z268" i="2" s="1"/>
  <c r="X268" i="2" a="1"/>
  <c r="X268" i="2"/>
  <c r="Z267" i="2" a="1"/>
  <c r="Z267" i="2" s="1"/>
  <c r="X267" i="2" a="1"/>
  <c r="X267" i="2" s="1"/>
  <c r="Z266" i="2" a="1"/>
  <c r="Z266" i="2"/>
  <c r="X266" i="2" a="1"/>
  <c r="X266" i="2" s="1"/>
  <c r="Z265" i="2" a="1"/>
  <c r="Z265" i="2"/>
  <c r="X265" i="2" a="1"/>
  <c r="X265" i="2" s="1"/>
  <c r="Z264" i="2" a="1"/>
  <c r="Z264" i="2" s="1"/>
  <c r="X264" i="2" a="1"/>
  <c r="X264" i="2"/>
  <c r="Z263" i="2" a="1"/>
  <c r="Z263" i="2" s="1"/>
  <c r="X263" i="2" a="1"/>
  <c r="X263" i="2" s="1"/>
  <c r="Z262" i="2" a="1"/>
  <c r="Z262" i="2"/>
  <c r="X262" i="2" a="1"/>
  <c r="X262" i="2" s="1"/>
  <c r="Z261" i="2" a="1"/>
  <c r="Z261" i="2"/>
  <c r="X261" i="2" a="1"/>
  <c r="X261" i="2" s="1"/>
  <c r="Z260" i="2" a="1"/>
  <c r="Z260" i="2" s="1"/>
  <c r="X260" i="2" a="1"/>
  <c r="X260" i="2"/>
  <c r="Z259" i="2" a="1"/>
  <c r="Z259" i="2" s="1"/>
  <c r="X259" i="2" a="1"/>
  <c r="X259" i="2" s="1"/>
  <c r="Z258" i="2" a="1"/>
  <c r="Z258" i="2"/>
  <c r="X258" i="2" a="1"/>
  <c r="X258" i="2" s="1"/>
  <c r="Z257" i="2" a="1"/>
  <c r="Z257" i="2"/>
  <c r="X257" i="2" a="1"/>
  <c r="X257" i="2" s="1"/>
  <c r="Z256" i="2" a="1"/>
  <c r="Z256" i="2" s="1"/>
  <c r="X256" i="2" a="1"/>
  <c r="X256" i="2"/>
  <c r="Z255" i="2" a="1"/>
  <c r="Z255" i="2" s="1"/>
  <c r="X255" i="2" a="1"/>
  <c r="X255" i="2" s="1"/>
  <c r="Z254" i="2" a="1"/>
  <c r="Z254" i="2"/>
  <c r="X254" i="2" a="1"/>
  <c r="X254" i="2" s="1"/>
  <c r="Z253" i="2" a="1"/>
  <c r="Z253" i="2"/>
  <c r="X253" i="2" a="1"/>
  <c r="X253" i="2" s="1"/>
  <c r="Z252" i="2" a="1"/>
  <c r="Z252" i="2" s="1"/>
  <c r="X252" i="2" a="1"/>
  <c r="X252" i="2"/>
  <c r="Z251" i="2" a="1"/>
  <c r="Z251" i="2" s="1"/>
  <c r="X251" i="2" a="1"/>
  <c r="X251" i="2" s="1"/>
  <c r="Z250" i="2" a="1"/>
  <c r="Z250" i="2"/>
  <c r="X250" i="2" a="1"/>
  <c r="X250" i="2" s="1"/>
  <c r="Z249" i="2" a="1"/>
  <c r="Z249" i="2"/>
  <c r="X249" i="2" a="1"/>
  <c r="X249" i="2" s="1"/>
  <c r="Z248" i="2" a="1"/>
  <c r="Z248" i="2" s="1"/>
  <c r="X248" i="2" a="1"/>
  <c r="X248" i="2"/>
  <c r="Z247" i="2" a="1"/>
  <c r="Z247" i="2" s="1"/>
  <c r="X247" i="2" a="1"/>
  <c r="X247" i="2" s="1"/>
  <c r="Z246" i="2" a="1"/>
  <c r="Z246" i="2"/>
  <c r="X246" i="2" a="1"/>
  <c r="X246" i="2" s="1"/>
  <c r="Z245" i="2" a="1"/>
  <c r="Z245" i="2"/>
  <c r="X245" i="2" a="1"/>
  <c r="X245" i="2" s="1"/>
  <c r="Z244" i="2" a="1"/>
  <c r="Z244" i="2" s="1"/>
  <c r="X244" i="2" a="1"/>
  <c r="X244" i="2"/>
  <c r="Z243" i="2" a="1"/>
  <c r="Z243" i="2" s="1"/>
  <c r="X243" i="2" a="1"/>
  <c r="X243" i="2" s="1"/>
  <c r="Z242" i="2" a="1"/>
  <c r="Z242" i="2"/>
  <c r="X242" i="2" a="1"/>
  <c r="X242" i="2" s="1"/>
  <c r="Z241" i="2" a="1"/>
  <c r="Z241" i="2"/>
  <c r="X241" i="2" a="1"/>
  <c r="X241" i="2" s="1"/>
  <c r="Z240" i="2" a="1"/>
  <c r="Z240" i="2" s="1"/>
  <c r="X240" i="2" a="1"/>
  <c r="X240" i="2"/>
  <c r="Z239" i="2" a="1"/>
  <c r="Z239" i="2" s="1"/>
  <c r="X239" i="2" a="1"/>
  <c r="X239" i="2" s="1"/>
  <c r="Z238" i="2" a="1"/>
  <c r="Z238" i="2"/>
  <c r="X238" i="2" a="1"/>
  <c r="X238" i="2" s="1"/>
  <c r="Z237" i="2" a="1"/>
  <c r="Z237" i="2"/>
  <c r="X237" i="2" a="1"/>
  <c r="X237" i="2" s="1"/>
  <c r="Z236" i="2" a="1"/>
  <c r="Z236" i="2" s="1"/>
  <c r="X236" i="2" a="1"/>
  <c r="X236" i="2"/>
  <c r="Z235" i="2" a="1"/>
  <c r="Z235" i="2" s="1"/>
  <c r="X235" i="2" a="1"/>
  <c r="X235" i="2" s="1"/>
  <c r="Z234" i="2" a="1"/>
  <c r="Z234" i="2"/>
  <c r="X234" i="2" a="1"/>
  <c r="X234" i="2" s="1"/>
  <c r="Z233" i="2" a="1"/>
  <c r="Z233" i="2"/>
  <c r="X233" i="2" a="1"/>
  <c r="X233" i="2" s="1"/>
  <c r="Z232" i="2" a="1"/>
  <c r="Z232" i="2" s="1"/>
  <c r="X232" i="2" a="1"/>
  <c r="X232" i="2"/>
  <c r="Z231" i="2" a="1"/>
  <c r="Z231" i="2" s="1"/>
  <c r="X231" i="2" a="1"/>
  <c r="X231" i="2" s="1"/>
  <c r="Z230" i="2" a="1"/>
  <c r="Z230" i="2"/>
  <c r="X230" i="2" a="1"/>
  <c r="X230" i="2" s="1"/>
  <c r="Z229" i="2" a="1"/>
  <c r="Z229" i="2"/>
  <c r="X229" i="2" a="1"/>
  <c r="X229" i="2" s="1"/>
  <c r="Z228" i="2" a="1"/>
  <c r="Z228" i="2" s="1"/>
  <c r="X228" i="2" a="1"/>
  <c r="X228" i="2"/>
  <c r="Z227" i="2" a="1"/>
  <c r="Z227" i="2" s="1"/>
  <c r="X227" i="2" a="1"/>
  <c r="X227" i="2" s="1"/>
  <c r="Z226" i="2" a="1"/>
  <c r="Z226" i="2"/>
  <c r="X226" i="2" a="1"/>
  <c r="X226" i="2" s="1"/>
  <c r="Z225" i="2" a="1"/>
  <c r="Z225" i="2"/>
  <c r="X225" i="2" a="1"/>
  <c r="X225" i="2" s="1"/>
  <c r="Z224" i="2" a="1"/>
  <c r="Z224" i="2" s="1"/>
  <c r="X224" i="2" a="1"/>
  <c r="X224" i="2"/>
  <c r="Z223" i="2" a="1"/>
  <c r="Z223" i="2" s="1"/>
  <c r="X223" i="2" a="1"/>
  <c r="X223" i="2" s="1"/>
  <c r="Z222" i="2" a="1"/>
  <c r="Z222" i="2"/>
  <c r="X222" i="2" a="1"/>
  <c r="X222" i="2" s="1"/>
  <c r="Z221" i="2" a="1"/>
  <c r="Z221" i="2"/>
  <c r="X221" i="2" a="1"/>
  <c r="X221" i="2" s="1"/>
  <c r="Z220" i="2" a="1"/>
  <c r="Z220" i="2" s="1"/>
  <c r="X220" i="2" a="1"/>
  <c r="X220" i="2"/>
  <c r="Z219" i="2" a="1"/>
  <c r="Z219" i="2" s="1"/>
  <c r="X219" i="2" a="1"/>
  <c r="X219" i="2" s="1"/>
  <c r="Z218" i="2" a="1"/>
  <c r="Z218" i="2"/>
  <c r="X218" i="2" a="1"/>
  <c r="X218" i="2" s="1"/>
  <c r="Z217" i="2" a="1"/>
  <c r="Z217" i="2"/>
  <c r="X217" i="2" a="1"/>
  <c r="X217" i="2" s="1"/>
  <c r="Z216" i="2" a="1"/>
  <c r="Z216" i="2" s="1"/>
  <c r="X216" i="2" a="1"/>
  <c r="X216" i="2"/>
  <c r="Z215" i="2" a="1"/>
  <c r="Z215" i="2" s="1"/>
  <c r="X215" i="2" a="1"/>
  <c r="X215" i="2" s="1"/>
  <c r="Z214" i="2" a="1"/>
  <c r="Z214" i="2"/>
  <c r="X214" i="2" a="1"/>
  <c r="X214" i="2" s="1"/>
  <c r="Z213" i="2" a="1"/>
  <c r="Z213" i="2"/>
  <c r="X213" i="2" a="1"/>
  <c r="X213" i="2" s="1"/>
  <c r="Z212" i="2" a="1"/>
  <c r="Z212" i="2" s="1"/>
  <c r="X212" i="2" a="1"/>
  <c r="X212" i="2"/>
  <c r="Z211" i="2" a="1"/>
  <c r="Z211" i="2" s="1"/>
  <c r="X211" i="2" a="1"/>
  <c r="X211" i="2" s="1"/>
  <c r="Z210" i="2" a="1"/>
  <c r="Z210" i="2"/>
  <c r="X210" i="2" a="1"/>
  <c r="X210" i="2" s="1"/>
  <c r="Z209" i="2" a="1"/>
  <c r="Z209" i="2"/>
  <c r="X209" i="2" a="1"/>
  <c r="X209" i="2" s="1"/>
  <c r="Z208" i="2" a="1"/>
  <c r="Z208" i="2" s="1"/>
  <c r="X208" i="2" a="1"/>
  <c r="X208" i="2"/>
  <c r="Z207" i="2" a="1"/>
  <c r="Z207" i="2" s="1"/>
  <c r="X207" i="2" a="1"/>
  <c r="X207" i="2" s="1"/>
  <c r="Z206" i="2" a="1"/>
  <c r="Z206" i="2"/>
  <c r="X206" i="2" a="1"/>
  <c r="X206" i="2" s="1"/>
  <c r="Z205" i="2" a="1"/>
  <c r="Z205" i="2"/>
  <c r="X205" i="2" a="1"/>
  <c r="X205" i="2" s="1"/>
  <c r="Z204" i="2" a="1"/>
  <c r="Z204" i="2" s="1"/>
  <c r="X204" i="2" a="1"/>
  <c r="X204" i="2"/>
  <c r="Z203" i="2" a="1"/>
  <c r="Z203" i="2" s="1"/>
  <c r="X203" i="2" a="1"/>
  <c r="X203" i="2" s="1"/>
  <c r="Z202" i="2" a="1"/>
  <c r="Z202" i="2"/>
  <c r="X202" i="2" a="1"/>
  <c r="X202" i="2" s="1"/>
  <c r="Z201" i="2" a="1"/>
  <c r="Z201" i="2"/>
  <c r="X201" i="2" a="1"/>
  <c r="X201" i="2" s="1"/>
  <c r="Z200" i="2" a="1"/>
  <c r="Z200" i="2" s="1"/>
  <c r="X200" i="2" a="1"/>
  <c r="X200" i="2"/>
  <c r="Z199" i="2" a="1"/>
  <c r="Z199" i="2" s="1"/>
  <c r="X199" i="2" a="1"/>
  <c r="X199" i="2" s="1"/>
  <c r="Z198" i="2" a="1"/>
  <c r="Z198" i="2"/>
  <c r="X198" i="2" a="1"/>
  <c r="X198" i="2" s="1"/>
  <c r="Z197" i="2" a="1"/>
  <c r="Z197" i="2"/>
  <c r="X197" i="2" a="1"/>
  <c r="X197" i="2" s="1"/>
  <c r="Z196" i="2" a="1"/>
  <c r="Z196" i="2" s="1"/>
  <c r="X196" i="2" a="1"/>
  <c r="X196" i="2"/>
  <c r="Z195" i="2" a="1"/>
  <c r="Z195" i="2" s="1"/>
  <c r="X195" i="2" a="1"/>
  <c r="X195" i="2" s="1"/>
  <c r="Z194" i="2" a="1"/>
  <c r="Z194" i="2"/>
  <c r="X194" i="2" a="1"/>
  <c r="X194" i="2" s="1"/>
  <c r="Z193" i="2" a="1"/>
  <c r="Z193" i="2"/>
  <c r="X193" i="2" a="1"/>
  <c r="X193" i="2" s="1"/>
  <c r="Z192" i="2" a="1"/>
  <c r="Z192" i="2" s="1"/>
  <c r="X192" i="2" a="1"/>
  <c r="X192" i="2"/>
  <c r="Z191" i="2" a="1"/>
  <c r="Z191" i="2" s="1"/>
  <c r="X191" i="2" a="1"/>
  <c r="X191" i="2" s="1"/>
  <c r="Z190" i="2" a="1"/>
  <c r="Z190" i="2"/>
  <c r="X190" i="2" a="1"/>
  <c r="X190" i="2" s="1"/>
  <c r="Z189" i="2" a="1"/>
  <c r="Z189" i="2"/>
  <c r="X189" i="2" a="1"/>
  <c r="X189" i="2" s="1"/>
  <c r="Z188" i="2" a="1"/>
  <c r="Z188" i="2" s="1"/>
  <c r="X188" i="2" a="1"/>
  <c r="X188" i="2"/>
  <c r="Z187" i="2" a="1"/>
  <c r="Z187" i="2" s="1"/>
  <c r="X187" i="2" a="1"/>
  <c r="X187" i="2" s="1"/>
  <c r="Z186" i="2" a="1"/>
  <c r="Z186" i="2"/>
  <c r="X186" i="2" a="1"/>
  <c r="X186" i="2" s="1"/>
  <c r="Z185" i="2" a="1"/>
  <c r="Z185" i="2"/>
  <c r="X185" i="2" a="1"/>
  <c r="X185" i="2" s="1"/>
  <c r="Z184" i="2" a="1"/>
  <c r="Z184" i="2" s="1"/>
  <c r="X184" i="2" a="1"/>
  <c r="X184" i="2"/>
  <c r="Z183" i="2" a="1"/>
  <c r="Z183" i="2" s="1"/>
  <c r="X183" i="2" a="1"/>
  <c r="X183" i="2" s="1"/>
  <c r="Z182" i="2" a="1"/>
  <c r="Z182" i="2"/>
  <c r="X182" i="2" a="1"/>
  <c r="X182" i="2" s="1"/>
  <c r="Z181" i="2" a="1"/>
  <c r="Z181" i="2"/>
  <c r="X181" i="2" a="1"/>
  <c r="X181" i="2" s="1"/>
  <c r="Z180" i="2" a="1"/>
  <c r="Z180" i="2" s="1"/>
  <c r="X180" i="2" a="1"/>
  <c r="X180" i="2"/>
  <c r="Z179" i="2" a="1"/>
  <c r="Z179" i="2" s="1"/>
  <c r="X179" i="2" a="1"/>
  <c r="X179" i="2" s="1"/>
  <c r="Z178" i="2" a="1"/>
  <c r="Z178" i="2"/>
  <c r="X178" i="2" a="1"/>
  <c r="X178" i="2" s="1"/>
  <c r="Z177" i="2" a="1"/>
  <c r="Z177" i="2"/>
  <c r="X177" i="2" a="1"/>
  <c r="X177" i="2" s="1"/>
  <c r="Z176" i="2" a="1"/>
  <c r="Z176" i="2" s="1"/>
  <c r="X176" i="2" a="1"/>
  <c r="X176" i="2"/>
  <c r="Z175" i="2" a="1"/>
  <c r="Z175" i="2" s="1"/>
  <c r="X175" i="2" a="1"/>
  <c r="X175" i="2" s="1"/>
  <c r="Z174" i="2" a="1"/>
  <c r="Z174" i="2"/>
  <c r="X174" i="2" a="1"/>
  <c r="X174" i="2" s="1"/>
  <c r="Z173" i="2" a="1"/>
  <c r="Z173" i="2"/>
  <c r="X173" i="2" a="1"/>
  <c r="X173" i="2" s="1"/>
  <c r="Z172" i="2" a="1"/>
  <c r="Z172" i="2" s="1"/>
  <c r="X172" i="2" a="1"/>
  <c r="X172" i="2"/>
  <c r="Z171" i="2" a="1"/>
  <c r="Z171" i="2" s="1"/>
  <c r="X171" i="2" a="1"/>
  <c r="X171" i="2" s="1"/>
  <c r="Z170" i="2" a="1"/>
  <c r="Z170" i="2"/>
  <c r="X170" i="2" a="1"/>
  <c r="X170" i="2" s="1"/>
  <c r="Z169" i="2" a="1"/>
  <c r="Z169" i="2"/>
  <c r="X169" i="2" a="1"/>
  <c r="X169" i="2" s="1"/>
  <c r="Z168" i="2" a="1"/>
  <c r="Z168" i="2" s="1"/>
  <c r="X168" i="2" a="1"/>
  <c r="X168" i="2"/>
  <c r="Z167" i="2" a="1"/>
  <c r="Z167" i="2" s="1"/>
  <c r="X167" i="2" a="1"/>
  <c r="X167" i="2" s="1"/>
  <c r="Z166" i="2" a="1"/>
  <c r="Z166" i="2"/>
  <c r="X166" i="2" a="1"/>
  <c r="X166" i="2" s="1"/>
  <c r="Z165" i="2" a="1"/>
  <c r="Z165" i="2"/>
  <c r="X165" i="2" a="1"/>
  <c r="X165" i="2" s="1"/>
  <c r="Z164" i="2" a="1"/>
  <c r="Z164" i="2" s="1"/>
  <c r="X164" i="2" a="1"/>
  <c r="X164" i="2"/>
  <c r="Z163" i="2" a="1"/>
  <c r="Z163" i="2" s="1"/>
  <c r="X163" i="2" a="1"/>
  <c r="X163" i="2" s="1"/>
  <c r="Z162" i="2" a="1"/>
  <c r="Z162" i="2"/>
  <c r="X162" i="2" a="1"/>
  <c r="X162" i="2" s="1"/>
  <c r="Z161" i="2" a="1"/>
  <c r="Z161" i="2"/>
  <c r="X161" i="2" a="1"/>
  <c r="X161" i="2" s="1"/>
  <c r="Z160" i="2" a="1"/>
  <c r="Z160" i="2" s="1"/>
  <c r="X160" i="2" a="1"/>
  <c r="X160" i="2"/>
  <c r="Z159" i="2" a="1"/>
  <c r="Z159" i="2" s="1"/>
  <c r="X159" i="2" a="1"/>
  <c r="X159" i="2" s="1"/>
  <c r="Z158" i="2" a="1"/>
  <c r="Z158" i="2"/>
  <c r="X158" i="2" a="1"/>
  <c r="X158" i="2" s="1"/>
  <c r="Z157" i="2" a="1"/>
  <c r="Z157" i="2"/>
  <c r="X157" i="2" a="1"/>
  <c r="X157" i="2" s="1"/>
  <c r="Z156" i="2" a="1"/>
  <c r="Z156" i="2" s="1"/>
  <c r="X156" i="2" a="1"/>
  <c r="X156" i="2"/>
  <c r="Z155" i="2" a="1"/>
  <c r="Z155" i="2" s="1"/>
  <c r="X155" i="2" a="1"/>
  <c r="X155" i="2" s="1"/>
  <c r="Z154" i="2" a="1"/>
  <c r="Z154" i="2"/>
  <c r="X154" i="2" a="1"/>
  <c r="X154" i="2" s="1"/>
  <c r="Z153" i="2" a="1"/>
  <c r="Z153" i="2"/>
  <c r="X153" i="2" a="1"/>
  <c r="X153" i="2" s="1"/>
  <c r="Z152" i="2" a="1"/>
  <c r="Z152" i="2" s="1"/>
  <c r="X152" i="2" a="1"/>
  <c r="X152" i="2"/>
  <c r="Z151" i="2" a="1"/>
  <c r="Z151" i="2" s="1"/>
  <c r="X151" i="2" a="1"/>
  <c r="X151" i="2" s="1"/>
  <c r="Z150" i="2" a="1"/>
  <c r="Z150" i="2"/>
  <c r="X150" i="2" a="1"/>
  <c r="X150" i="2" s="1"/>
  <c r="Z149" i="2" a="1"/>
  <c r="Z149" i="2"/>
  <c r="X149" i="2" a="1"/>
  <c r="X149" i="2" s="1"/>
  <c r="Z148" i="2" a="1"/>
  <c r="Z148" i="2" s="1"/>
  <c r="X148" i="2" a="1"/>
  <c r="X148" i="2"/>
  <c r="Z147" i="2" a="1"/>
  <c r="Z147" i="2" s="1"/>
  <c r="X147" i="2" a="1"/>
  <c r="X147" i="2" s="1"/>
  <c r="Z146" i="2" a="1"/>
  <c r="Z146" i="2"/>
  <c r="X146" i="2" a="1"/>
  <c r="X146" i="2" s="1"/>
  <c r="Z145" i="2" a="1"/>
  <c r="Z145" i="2"/>
  <c r="X145" i="2" a="1"/>
  <c r="X145" i="2" s="1"/>
  <c r="Z144" i="2" a="1"/>
  <c r="Z144" i="2" s="1"/>
  <c r="X144" i="2" a="1"/>
  <c r="X144" i="2"/>
  <c r="Z143" i="2" a="1"/>
  <c r="Z143" i="2" s="1"/>
  <c r="X143" i="2" a="1"/>
  <c r="X143" i="2" s="1"/>
  <c r="Z142" i="2" a="1"/>
  <c r="Z142" i="2"/>
  <c r="X142" i="2" a="1"/>
  <c r="X142" i="2" s="1"/>
  <c r="Z141" i="2" a="1"/>
  <c r="Z141" i="2"/>
  <c r="X141" i="2" a="1"/>
  <c r="X141" i="2" s="1"/>
  <c r="Z140" i="2" a="1"/>
  <c r="Z140" i="2" s="1"/>
  <c r="X140" i="2" a="1"/>
  <c r="X140" i="2"/>
  <c r="Z139" i="2" a="1"/>
  <c r="Z139" i="2" s="1"/>
  <c r="X139" i="2" a="1"/>
  <c r="X139" i="2" s="1"/>
  <c r="Z138" i="2" a="1"/>
  <c r="Z138" i="2"/>
  <c r="X138" i="2" a="1"/>
  <c r="X138" i="2" s="1"/>
  <c r="Z137" i="2" a="1"/>
  <c r="Z137" i="2"/>
  <c r="X137" i="2" a="1"/>
  <c r="X137" i="2" s="1"/>
  <c r="Z136" i="2" a="1"/>
  <c r="Z136" i="2" s="1"/>
  <c r="X136" i="2" a="1"/>
  <c r="X136" i="2"/>
  <c r="Z135" i="2" a="1"/>
  <c r="Z135" i="2" s="1"/>
  <c r="X135" i="2" a="1"/>
  <c r="X135" i="2" s="1"/>
  <c r="Z134" i="2" a="1"/>
  <c r="Z134" i="2"/>
  <c r="X134" i="2" a="1"/>
  <c r="X134" i="2" s="1"/>
  <c r="Z133" i="2" a="1"/>
  <c r="Z133" i="2"/>
  <c r="X133" i="2" a="1"/>
  <c r="X133" i="2" s="1"/>
  <c r="Z132" i="2" a="1"/>
  <c r="Z132" i="2" s="1"/>
  <c r="X132" i="2" a="1"/>
  <c r="X132" i="2"/>
  <c r="Z131" i="2" a="1"/>
  <c r="Z131" i="2" s="1"/>
  <c r="X131" i="2" a="1"/>
  <c r="X131" i="2" s="1"/>
  <c r="Z130" i="2" a="1"/>
  <c r="Z130" i="2"/>
  <c r="X130" i="2" a="1"/>
  <c r="X130" i="2" s="1"/>
  <c r="Z129" i="2" a="1"/>
  <c r="Z129" i="2"/>
  <c r="X129" i="2" a="1"/>
  <c r="X129" i="2" s="1"/>
  <c r="Z128" i="2" a="1"/>
  <c r="Z128" i="2" s="1"/>
  <c r="X128" i="2" a="1"/>
  <c r="X128" i="2"/>
  <c r="Z127" i="2" a="1"/>
  <c r="Z127" i="2" s="1"/>
  <c r="X127" i="2" a="1"/>
  <c r="X127" i="2" s="1"/>
  <c r="Z126" i="2" a="1"/>
  <c r="Z126" i="2"/>
  <c r="X126" i="2" a="1"/>
  <c r="X126" i="2" s="1"/>
  <c r="Z125" i="2" a="1"/>
  <c r="Z125" i="2"/>
  <c r="X125" i="2" a="1"/>
  <c r="X125" i="2" s="1"/>
  <c r="Z124" i="2" a="1"/>
  <c r="Z124" i="2" s="1"/>
  <c r="X124" i="2" a="1"/>
  <c r="X124" i="2"/>
  <c r="Z123" i="2" a="1"/>
  <c r="Z123" i="2" s="1"/>
  <c r="X123" i="2" a="1"/>
  <c r="X123" i="2" s="1"/>
  <c r="Z122" i="2" a="1"/>
  <c r="Z122" i="2"/>
  <c r="X122" i="2" a="1"/>
  <c r="X122" i="2" s="1"/>
  <c r="Z121" i="2" a="1"/>
  <c r="Z121" i="2"/>
  <c r="X121" i="2" a="1"/>
  <c r="X121" i="2" s="1"/>
  <c r="Z120" i="2" a="1"/>
  <c r="Z120" i="2" s="1"/>
  <c r="X120" i="2" a="1"/>
  <c r="X120" i="2"/>
  <c r="Z119" i="2" a="1"/>
  <c r="Z119" i="2" s="1"/>
  <c r="X119" i="2" a="1"/>
  <c r="X119" i="2" s="1"/>
  <c r="Z118" i="2" a="1"/>
  <c r="Z118" i="2"/>
  <c r="X118" i="2" a="1"/>
  <c r="X118" i="2" s="1"/>
  <c r="Z117" i="2" a="1"/>
  <c r="Z117" i="2"/>
  <c r="X117" i="2" a="1"/>
  <c r="X117" i="2" s="1"/>
  <c r="Z116" i="2" a="1"/>
  <c r="Z116" i="2" s="1"/>
  <c r="X116" i="2" a="1"/>
  <c r="X116" i="2"/>
  <c r="Z115" i="2" a="1"/>
  <c r="Z115" i="2" s="1"/>
  <c r="X115" i="2" a="1"/>
  <c r="X115" i="2" s="1"/>
  <c r="Z114" i="2" a="1"/>
  <c r="Z114" i="2"/>
  <c r="X114" i="2" a="1"/>
  <c r="X114" i="2" s="1"/>
  <c r="Z113" i="2" a="1"/>
  <c r="Z113" i="2"/>
  <c r="X113" i="2" a="1"/>
  <c r="X113" i="2" s="1"/>
  <c r="Z112" i="2" a="1"/>
  <c r="Z112" i="2" s="1"/>
  <c r="X112" i="2" a="1"/>
  <c r="X112" i="2"/>
  <c r="Z111" i="2" a="1"/>
  <c r="Z111" i="2" s="1"/>
  <c r="X111" i="2" a="1"/>
  <c r="X111" i="2" s="1"/>
  <c r="Z110" i="2" a="1"/>
  <c r="Z110" i="2"/>
  <c r="X110" i="2" a="1"/>
  <c r="X110" i="2" s="1"/>
  <c r="Z109" i="2" a="1"/>
  <c r="Z109" i="2"/>
  <c r="X109" i="2" a="1"/>
  <c r="X109" i="2" s="1"/>
  <c r="Z108" i="2" a="1"/>
  <c r="Z108" i="2" s="1"/>
  <c r="X108" i="2" a="1"/>
  <c r="X108" i="2"/>
  <c r="Z107" i="2" a="1"/>
  <c r="Z107" i="2" s="1"/>
  <c r="X107" i="2" a="1"/>
  <c r="X107" i="2" s="1"/>
  <c r="Z106" i="2" a="1"/>
  <c r="Z106" i="2"/>
  <c r="X106" i="2" a="1"/>
  <c r="X106" i="2" s="1"/>
  <c r="Z105" i="2" a="1"/>
  <c r="Z105" i="2"/>
  <c r="X105" i="2" a="1"/>
  <c r="X105" i="2" s="1"/>
  <c r="Z104" i="2" a="1"/>
  <c r="Z104" i="2" s="1"/>
  <c r="X104" i="2" a="1"/>
  <c r="X104" i="2"/>
  <c r="Z103" i="2" a="1"/>
  <c r="Z103" i="2" s="1"/>
  <c r="X103" i="2" a="1"/>
  <c r="X103" i="2" s="1"/>
  <c r="Z102" i="2" a="1"/>
  <c r="Z102" i="2"/>
  <c r="X102" i="2" a="1"/>
  <c r="X102" i="2" s="1"/>
  <c r="Z101" i="2" a="1"/>
  <c r="Z101" i="2"/>
  <c r="X101" i="2" a="1"/>
  <c r="X101" i="2" s="1"/>
  <c r="Z100" i="2" a="1"/>
  <c r="Z100" i="2" s="1"/>
  <c r="X100" i="2" a="1"/>
  <c r="X100" i="2"/>
  <c r="Z99" i="2" a="1"/>
  <c r="Z99" i="2" s="1"/>
  <c r="X99" i="2" a="1"/>
  <c r="X99" i="2" s="1"/>
  <c r="Z98" i="2" a="1"/>
  <c r="Z98" i="2"/>
  <c r="X98" i="2" a="1"/>
  <c r="X98" i="2" s="1"/>
  <c r="Z97" i="2" a="1"/>
  <c r="Z97" i="2"/>
  <c r="X97" i="2" a="1"/>
  <c r="X97" i="2" s="1"/>
  <c r="Z96" i="2" a="1"/>
  <c r="Z96" i="2" s="1"/>
  <c r="X96" i="2" a="1"/>
  <c r="X96" i="2"/>
  <c r="Z95" i="2" a="1"/>
  <c r="Z95" i="2" s="1"/>
  <c r="X95" i="2" a="1"/>
  <c r="X95" i="2" s="1"/>
  <c r="Z94" i="2" a="1"/>
  <c r="Z94" i="2"/>
  <c r="X94" i="2" a="1"/>
  <c r="X94" i="2" s="1"/>
  <c r="Z93" i="2" a="1"/>
  <c r="Z93" i="2"/>
  <c r="X93" i="2" a="1"/>
  <c r="X93" i="2" s="1"/>
  <c r="Z92" i="2" a="1"/>
  <c r="Z92" i="2" s="1"/>
  <c r="X92" i="2" a="1"/>
  <c r="X92" i="2"/>
  <c r="Z91" i="2" a="1"/>
  <c r="Z91" i="2" s="1"/>
  <c r="X91" i="2" a="1"/>
  <c r="X91" i="2" s="1"/>
  <c r="Z90" i="2" a="1"/>
  <c r="Z90" i="2"/>
  <c r="X90" i="2" a="1"/>
  <c r="X90" i="2" s="1"/>
  <c r="Z89" i="2" a="1"/>
  <c r="Z89" i="2"/>
  <c r="X89" i="2" a="1"/>
  <c r="X89" i="2" s="1"/>
  <c r="Z88" i="2" a="1"/>
  <c r="Z88" i="2" s="1"/>
  <c r="X88" i="2" a="1"/>
  <c r="X88" i="2"/>
  <c r="Z87" i="2" a="1"/>
  <c r="Z87" i="2" s="1"/>
  <c r="X87" i="2" a="1"/>
  <c r="X87" i="2" s="1"/>
  <c r="Z86" i="2" a="1"/>
  <c r="Z86" i="2"/>
  <c r="X86" i="2" a="1"/>
  <c r="X86" i="2" s="1"/>
  <c r="Z85" i="2" a="1"/>
  <c r="Z85" i="2"/>
  <c r="X85" i="2" a="1"/>
  <c r="X85" i="2" s="1"/>
  <c r="Z84" i="2" a="1"/>
  <c r="Z84" i="2" s="1"/>
  <c r="X84" i="2" a="1"/>
  <c r="X84" i="2"/>
  <c r="Z83" i="2" a="1"/>
  <c r="Z83" i="2" s="1"/>
  <c r="X83" i="2" a="1"/>
  <c r="X83" i="2" s="1"/>
  <c r="Z82" i="2" a="1"/>
  <c r="Z82" i="2"/>
  <c r="X82" i="2" a="1"/>
  <c r="X82" i="2" s="1"/>
  <c r="Z81" i="2" a="1"/>
  <c r="Z81" i="2"/>
  <c r="X81" i="2" a="1"/>
  <c r="X81" i="2" s="1"/>
  <c r="Z80" i="2" a="1"/>
  <c r="Z80" i="2" s="1"/>
  <c r="X80" i="2" a="1"/>
  <c r="X80" i="2" s="1"/>
  <c r="Z79" i="2" a="1"/>
  <c r="Z79" i="2" s="1"/>
  <c r="X79" i="2" a="1"/>
  <c r="X79" i="2" s="1"/>
  <c r="Z78" i="2" a="1"/>
  <c r="Z78" i="2"/>
  <c r="X78" i="2" a="1"/>
  <c r="X78" i="2" s="1"/>
  <c r="Z77" i="2" a="1"/>
  <c r="Z77" i="2" s="1"/>
  <c r="X77" i="2" a="1"/>
  <c r="X77" i="2" s="1"/>
  <c r="Z76" i="2" a="1"/>
  <c r="Z76" i="2" s="1"/>
  <c r="X76" i="2" a="1"/>
  <c r="X76" i="2" s="1"/>
  <c r="Z75" i="2" a="1"/>
  <c r="Z75" i="2" s="1"/>
  <c r="X75" i="2" a="1"/>
  <c r="X75" i="2" s="1"/>
  <c r="Z74" i="2" a="1"/>
  <c r="Z74" i="2"/>
  <c r="X74" i="2" a="1"/>
  <c r="X74" i="2" s="1"/>
  <c r="Z73" i="2" a="1"/>
  <c r="Z73" i="2" s="1"/>
  <c r="X73" i="2" a="1"/>
  <c r="X73" i="2" s="1"/>
  <c r="Z72" i="2" a="1"/>
  <c r="Z72" i="2" s="1"/>
  <c r="X72" i="2" a="1"/>
  <c r="X72" i="2" s="1"/>
  <c r="Z71" i="2" a="1"/>
  <c r="Z71" i="2" s="1"/>
  <c r="X71" i="2" a="1"/>
  <c r="X71" i="2" s="1"/>
  <c r="Z70" i="2" a="1"/>
  <c r="Z70" i="2"/>
  <c r="X70" i="2" a="1"/>
  <c r="X70" i="2" s="1"/>
  <c r="Z69" i="2" a="1"/>
  <c r="Z69" i="2" s="1"/>
  <c r="X69" i="2" a="1"/>
  <c r="X69" i="2" s="1"/>
  <c r="Z68" i="2" a="1"/>
  <c r="Z68" i="2" s="1"/>
  <c r="X68" i="2" a="1"/>
  <c r="X68" i="2" s="1"/>
  <c r="Z67" i="2" a="1"/>
  <c r="Z67" i="2" s="1"/>
  <c r="X67" i="2" a="1"/>
  <c r="X67" i="2" s="1"/>
  <c r="Z66" i="2" a="1"/>
  <c r="Z66" i="2"/>
  <c r="X66" i="2" a="1"/>
  <c r="X66" i="2" s="1"/>
  <c r="Z65" i="2" a="1"/>
  <c r="Z65" i="2" s="1"/>
  <c r="X65" i="2" a="1"/>
  <c r="X65" i="2" s="1"/>
  <c r="Z64" i="2" a="1"/>
  <c r="Z64" i="2" s="1"/>
  <c r="X64" i="2" a="1"/>
  <c r="X64" i="2" s="1"/>
  <c r="Z63" i="2" a="1"/>
  <c r="Z63" i="2" s="1"/>
  <c r="X63" i="2" a="1"/>
  <c r="X63" i="2" s="1"/>
  <c r="Z62" i="2" a="1"/>
  <c r="Z62" i="2"/>
  <c r="X62" i="2" a="1"/>
  <c r="X62" i="2" s="1"/>
  <c r="Z61" i="2" a="1"/>
  <c r="Z61" i="2" s="1"/>
  <c r="X61" i="2" a="1"/>
  <c r="X61" i="2" s="1"/>
  <c r="Z60" i="2" a="1"/>
  <c r="Z60" i="2" s="1"/>
  <c r="X60" i="2" a="1"/>
  <c r="X60" i="2" s="1"/>
  <c r="Z59" i="2" a="1"/>
  <c r="Z59" i="2" s="1"/>
  <c r="X59" i="2" a="1"/>
  <c r="X59" i="2" s="1"/>
  <c r="Z58" i="2" a="1"/>
  <c r="Z58" i="2"/>
  <c r="X58" i="2" a="1"/>
  <c r="X58" i="2" s="1"/>
  <c r="Z57" i="2" a="1"/>
  <c r="Z57" i="2" s="1"/>
  <c r="X57" i="2" a="1"/>
  <c r="X57" i="2" s="1"/>
  <c r="Z56" i="2" a="1"/>
  <c r="Z56" i="2" s="1"/>
  <c r="X56" i="2" a="1"/>
  <c r="X56" i="2" s="1"/>
  <c r="Z55" i="2" a="1"/>
  <c r="Z55" i="2" s="1"/>
  <c r="X55" i="2" a="1"/>
  <c r="X55" i="2" s="1"/>
  <c r="Z54" i="2" a="1"/>
  <c r="Z54" i="2"/>
  <c r="X54" i="2" a="1"/>
  <c r="X54" i="2" s="1"/>
  <c r="Z53" i="2" a="1"/>
  <c r="Z53" i="2" s="1"/>
  <c r="X53" i="2" a="1"/>
  <c r="X53" i="2" s="1"/>
  <c r="Z52" i="2" a="1"/>
  <c r="Z52" i="2" s="1"/>
  <c r="X52" i="2" a="1"/>
  <c r="X52" i="2" s="1"/>
  <c r="Z51" i="2" a="1"/>
  <c r="Z51" i="2" s="1"/>
  <c r="X51" i="2" a="1"/>
  <c r="X51" i="2" s="1"/>
  <c r="Z50" i="2" a="1"/>
  <c r="Z50" i="2"/>
  <c r="X50" i="2" a="1"/>
  <c r="X50" i="2" s="1"/>
  <c r="Z49" i="2" a="1"/>
  <c r="Z49" i="2" s="1"/>
  <c r="X49" i="2" a="1"/>
  <c r="X49" i="2" s="1"/>
  <c r="Z48" i="2" a="1"/>
  <c r="Z48" i="2" s="1"/>
  <c r="X48" i="2" a="1"/>
  <c r="X48" i="2" s="1"/>
  <c r="Z47" i="2" a="1"/>
  <c r="Z47" i="2" s="1"/>
  <c r="X47" i="2" a="1"/>
  <c r="X47" i="2" s="1"/>
  <c r="Z46" i="2" a="1"/>
  <c r="Z46" i="2"/>
  <c r="X46" i="2" a="1"/>
  <c r="X46" i="2" s="1"/>
  <c r="Z45" i="2" a="1"/>
  <c r="Z45" i="2" s="1"/>
  <c r="X45" i="2" a="1"/>
  <c r="X45" i="2" s="1"/>
  <c r="Z44" i="2" a="1"/>
  <c r="Z44" i="2" s="1"/>
  <c r="X44" i="2" a="1"/>
  <c r="X44" i="2" s="1"/>
  <c r="Z43" i="2" a="1"/>
  <c r="Z43" i="2" s="1"/>
  <c r="X43" i="2" a="1"/>
  <c r="X43" i="2" s="1"/>
  <c r="Z42" i="2" a="1"/>
  <c r="Z42" i="2"/>
  <c r="X42" i="2" a="1"/>
  <c r="X42" i="2" s="1"/>
  <c r="Z41" i="2" a="1"/>
  <c r="Z41" i="2" s="1"/>
  <c r="X41" i="2" a="1"/>
  <c r="X41" i="2" s="1"/>
  <c r="Z40" i="2" a="1"/>
  <c r="Z40" i="2" s="1"/>
  <c r="X40" i="2" a="1"/>
  <c r="X40" i="2" s="1"/>
  <c r="Z39" i="2" a="1"/>
  <c r="Z39" i="2" s="1"/>
  <c r="X39" i="2" a="1"/>
  <c r="X39" i="2" s="1"/>
  <c r="Z38" i="2" a="1"/>
  <c r="Z38" i="2"/>
  <c r="X38" i="2" a="1"/>
  <c r="X38" i="2" s="1"/>
  <c r="Z37" i="2" a="1"/>
  <c r="Z37" i="2" s="1"/>
  <c r="X37" i="2" a="1"/>
  <c r="X37" i="2" s="1"/>
  <c r="Z36" i="2" a="1"/>
  <c r="Z36" i="2" s="1"/>
  <c r="X36" i="2" a="1"/>
  <c r="X36" i="2" s="1"/>
  <c r="Z35" i="2" a="1"/>
  <c r="Z35" i="2" s="1"/>
  <c r="X35" i="2" a="1"/>
  <c r="X35" i="2" s="1"/>
  <c r="Z34" i="2" a="1"/>
  <c r="Z34" i="2"/>
  <c r="X34" i="2" a="1"/>
  <c r="X34" i="2" s="1"/>
  <c r="Z33" i="2" a="1"/>
  <c r="Z33" i="2" s="1"/>
  <c r="X33" i="2" a="1"/>
  <c r="X33" i="2" s="1"/>
  <c r="Z32" i="2" a="1"/>
  <c r="Z32" i="2" s="1"/>
  <c r="X32" i="2" a="1"/>
  <c r="X32" i="2" s="1"/>
  <c r="Z31" i="2" a="1"/>
  <c r="Z31" i="2" s="1"/>
  <c r="X31" i="2" a="1"/>
  <c r="X31" i="2" s="1"/>
  <c r="Z30" i="2" a="1"/>
  <c r="Z30" i="2" s="1"/>
  <c r="X30" i="2" a="1"/>
  <c r="X30" i="2" s="1"/>
  <c r="Z29" i="2" a="1"/>
  <c r="Z29" i="2"/>
  <c r="X29" i="2" a="1"/>
  <c r="X29" i="2" s="1"/>
  <c r="Z28" i="2" a="1"/>
  <c r="Z28" i="2" s="1"/>
  <c r="X28" i="2" a="1"/>
  <c r="X28" i="2"/>
  <c r="Z27" i="2" a="1"/>
  <c r="Z27" i="2" s="1"/>
  <c r="X27" i="2" a="1"/>
  <c r="X27" i="2" s="1"/>
  <c r="Z26" i="2" a="1"/>
  <c r="Z26" i="2" s="1"/>
  <c r="X26" i="2" a="1"/>
  <c r="X26" i="2" s="1"/>
  <c r="Z25" i="2" a="1"/>
  <c r="Z25" i="2" s="1"/>
  <c r="X25" i="2" a="1"/>
  <c r="X25" i="2" s="1"/>
  <c r="Z24" i="2" a="1"/>
  <c r="Z24" i="2" s="1"/>
  <c r="X24" i="2" a="1"/>
  <c r="X24" i="2" s="1"/>
  <c r="Z23" i="2" a="1"/>
  <c r="Z23" i="2" s="1"/>
  <c r="X23" i="2" a="1"/>
  <c r="X23" i="2" s="1"/>
  <c r="Z22" i="2" a="1"/>
  <c r="Z22" i="2" s="1"/>
  <c r="X22" i="2" a="1"/>
  <c r="X22" i="2" s="1"/>
  <c r="Z21" i="2" a="1"/>
  <c r="Z21" i="2" s="1"/>
  <c r="X21" i="2" a="1"/>
  <c r="X21" i="2" s="1"/>
  <c r="Z20" i="2" a="1"/>
  <c r="Z20" i="2" s="1"/>
  <c r="X20" i="2" a="1"/>
  <c r="X20" i="2" s="1"/>
  <c r="Z19" i="2" a="1"/>
  <c r="Z19" i="2" s="1"/>
  <c r="X19" i="2" a="1"/>
  <c r="X19" i="2" s="1"/>
  <c r="Z18" i="2" a="1"/>
  <c r="Z18" i="2" s="1"/>
  <c r="X18" i="2" a="1"/>
  <c r="X18" i="2" s="1"/>
  <c r="Z17" i="2" a="1"/>
  <c r="Z17" i="2" s="1"/>
  <c r="X17" i="2" a="1"/>
  <c r="X17" i="2" s="1"/>
  <c r="Z16" i="2" a="1"/>
  <c r="Z16" i="2" s="1"/>
  <c r="X16" i="2" a="1"/>
  <c r="X16" i="2" s="1"/>
  <c r="Z15" i="2" a="1"/>
  <c r="Z15" i="2" s="1"/>
  <c r="X15" i="2" a="1"/>
  <c r="X15" i="2" s="1"/>
  <c r="Z14" i="2" a="1"/>
  <c r="Z14" i="2" s="1"/>
  <c r="X14" i="2" a="1"/>
  <c r="X14" i="2" s="1"/>
  <c r="Z13" i="2" a="1"/>
  <c r="Z13" i="2" s="1"/>
  <c r="X13" i="2" a="1"/>
  <c r="X13" i="2" s="1"/>
  <c r="Z12" i="2" a="1"/>
  <c r="Z12" i="2" s="1"/>
  <c r="X12" i="2" a="1"/>
  <c r="X12" i="2" s="1"/>
  <c r="Z11" i="2" a="1"/>
  <c r="Z11" i="2" s="1"/>
  <c r="X11" i="2" a="1"/>
  <c r="X11" i="2" s="1"/>
  <c r="Z10" i="2" a="1"/>
  <c r="Z10" i="2" s="1"/>
  <c r="X10" i="2" a="1"/>
  <c r="X10" i="2" s="1"/>
  <c r="Z9" i="2" a="1"/>
  <c r="Z9" i="2" s="1"/>
  <c r="X9" i="2" a="1"/>
  <c r="X9" i="2" s="1"/>
  <c r="Z8" i="2" a="1"/>
  <c r="Z8" i="2" s="1"/>
  <c r="X8" i="2" a="1"/>
  <c r="X8" i="2" s="1"/>
  <c r="Z7" i="2" a="1"/>
  <c r="Z7" i="2" s="1"/>
  <c r="X7" i="2" a="1"/>
  <c r="X7" i="2" s="1"/>
  <c r="Z6" i="2" a="1"/>
  <c r="Z6" i="2" s="1"/>
  <c r="X6" i="2" a="1"/>
  <c r="X6" i="2" s="1"/>
  <c r="Z5" i="2" a="1"/>
  <c r="Z5" i="2" s="1"/>
  <c r="X5" i="2" a="1"/>
  <c r="X5" i="2" s="1"/>
  <c r="Z4" i="2" a="1"/>
  <c r="Z4" i="2" s="1"/>
  <c r="X4" i="2" a="1"/>
  <c r="X4" i="2" s="1"/>
  <c r="N4" i="2"/>
  <c r="P3" i="2"/>
</calcChain>
</file>

<file path=xl/sharedStrings.xml><?xml version="1.0" encoding="utf-8"?>
<sst xmlns="http://schemas.openxmlformats.org/spreadsheetml/2006/main" count="7707" uniqueCount="2413">
  <si>
    <t>This tab describes how to use the SCTM Accelerator. Please read this first before editing any other tabs.</t>
  </si>
  <si>
    <t>Overview:</t>
  </si>
  <si>
    <t>The Finished SCTM is the version that should be presented to the SCA/AO for assessment. The Accelerator Variables and VARIABLE Accelerator SCTM are edited and will automatically populate the Finished SCTM tab.</t>
  </si>
  <si>
    <t>Accelerators Variables Tab:</t>
  </si>
  <si>
    <t>This tab is where you put all of the information for the variables throughout the SCTM. Once you populate the Variable Input column, the information will automatically populate into the FINISHED SCTM tab with answers in the Narrative. This tab will only address the specific variables listed, but will populate the answers throughout the SCTM. For example, instead of having to type the system name over and over, by filling in the variables, it will automatically generate this in the Finished SCTM when the button below is clicked.</t>
  </si>
  <si>
    <t>VARIABLE Accelerator SCTM Tab:</t>
  </si>
  <si>
    <t>This tab is where you will update Narrative text that is not a variable. Then this information will be automatically populated into the Finished SCTM tab. 
Draft Narrative text is provided for ~80% of the controls. If you want to edit this text or when you want to add content to the remaining 20%, that work should be accomplished in this tab.</t>
  </si>
  <si>
    <t>Finished SCTM Tab:</t>
  </si>
  <si>
    <r>
      <t xml:space="preserve">This tab will be automatically generated when the button below is clicked. It is intended to be read-only. All changes should be made in one of the variable tabs.
A new tab will be created each time the button is clicked.
</t>
    </r>
    <r>
      <rPr>
        <b/>
        <sz val="10"/>
        <rFont val="Arial"/>
        <family val="2"/>
      </rPr>
      <t>This may take a minute or longer to execute..</t>
    </r>
  </si>
  <si>
    <t>See instructions worksheet for details on completing this worksheet</t>
  </si>
  <si>
    <t>&gt;
&gt;
&gt;
&gt;</t>
  </si>
  <si>
    <t xml:space="preserve">App K to CNSSI 1253
May 2014
</t>
  </si>
  <si>
    <t>&lt;
&lt;
&lt;
&lt;</t>
  </si>
  <si>
    <t>Enter "1" cell below to use Complex Filter</t>
  </si>
  <si>
    <t>``</t>
  </si>
  <si>
    <t xml:space="preserve"> </t>
  </si>
  <si>
    <t>&gt;</t>
  </si>
  <si>
    <t>Overlays</t>
  </si>
  <si>
    <t>Overlay</t>
  </si>
  <si>
    <t>&lt;</t>
  </si>
  <si>
    <t>Status</t>
  </si>
  <si>
    <t>Accelerator Narrative</t>
  </si>
  <si>
    <t>WC LOE</t>
  </si>
  <si>
    <t>Filtering Column</t>
  </si>
  <si>
    <t>Ctrl #</t>
  </si>
  <si>
    <t>Control ID</t>
  </si>
  <si>
    <t>Control Title</t>
  </si>
  <si>
    <t>Control Text</t>
  </si>
  <si>
    <t>M</t>
  </si>
  <si>
    <t>&gt;
&gt;</t>
  </si>
  <si>
    <t>Int  B</t>
  </si>
  <si>
    <t>A   C   C</t>
  </si>
  <si>
    <t>Cl</t>
  </si>
  <si>
    <t>&lt;
&lt;</t>
  </si>
  <si>
    <t>JSIG Imp Guidance</t>
  </si>
  <si>
    <t>Security Category</t>
  </si>
  <si>
    <t>Security Guidance</t>
  </si>
  <si>
    <t>Rev 4 Filter</t>
  </si>
  <si>
    <t>Rev 4 Complex Filter</t>
  </si>
  <si>
    <t>AC-1</t>
  </si>
  <si>
    <t>Access Control Policy And Procedures</t>
  </si>
  <si>
    <t xml:space="preserve">The organization:
a. Develops, documents, and disseminates to all personnel having a role in Access Control:
1. An access control policy that addresses purpose, scope, roles, responsibilities, management commitment, coordination among organizational entities, and compliance; and
2. Procedures to facilitate the implementation of the access control policy and associated access controls; and
b. Reviews and updates the current:
1. Access control policy annually or as policy and procedures dictate changes are required; and
2. Access control procedures annually or as policy and procedures dictate changes are required.
</t>
  </si>
  <si>
    <t>X</t>
  </si>
  <si>
    <t>C</t>
  </si>
  <si>
    <t>I, V</t>
  </si>
  <si>
    <t>Local Security Officer (LSO) will draft Standard Operating Procedures (SOP) to include access control policies and will participate in development of AFT procedures. PSO (in conjunction with SCA) will participate in approving access control policies.  PSO is responsible for approving SOPs, has involvement in approving AFT policies/procedures, approves unattended processing, provides guidance on security attributes of information, enforces WIFI prohibitions, and provides guidance on prohibited PEDs. PSOs will also validate existence of appropriate policy documents during compliance inspections.</t>
  </si>
  <si>
    <t>DO NOT MODIFY THE FORMULAS IN THIS WORKSHEET UNLESS YOU KNOW WHAT YOU ARE DOING!</t>
  </si>
  <si>
    <t>AC-2</t>
  </si>
  <si>
    <t>Account Management</t>
  </si>
  <si>
    <t>The organization:
a. Identifies and selects the following types of information system accounts to support organizational missions/business functions: as defined by the service or program;
b. Assigns account managers for information system accounts;
c. Establishes conditions for group and role membership;
d. Specifies authorized users of the information system, group and role membership, and access authorizations (i.e., privileges) and other attributes (as required) for each account;
e. Requires approvals by ISO or designee for requests to create information system accounts;
f. Creates, enables, modifies, disables, and removes information system accounts in accordance with  the service or program policy;
g. Monitors the use of information system accounts;
h. Notifies account managers:
1. When accounts are no longer required;
2. When users are terminated or transferred; and
3. When individual information system usage or need-to-know changes;
i. Authorizes access to the information system based on:
1. A valid access authorization;
2. Intended system usage; and
3. Other attributes as required by the organization or associated missions/business functions;
j. Reviews accounts for compliance with account management requirements at least annually; and
k. Establishes a process for reissuing shared/group account credentials (if deployed) when individuals are removed from the group.</t>
  </si>
  <si>
    <t>a. [WC] defines [WC Approach: Accounts] as necessary system accounts to support the mission
b. All [WC] system accounts are assigned account manager(s) as defined by the [WC] Account Management Policy. 
c. Conditions for group and role membership are defined in the [WC Access Control Plan] and adhere to the principle of Least Privilege.
d. [WC] specifies authorized users of the information system, group and role membership, and access authorizations for each account by identifying the entity and appropriate assignments as defined in the [WC] Account Approval Process.    
e. All system accounts receive Account Manager approval prior to account creation as described by the [WC] Access Approval Process and defined in the [WC Access Control Plan].
f. [WC] Access Control Plan corresponds to [WC] policy to ensure that account creation, enablement, modifications, disablement, &amp; removal adheres to directives. System account lifecycle activities are controlled by the [WC] Account Manager.
g. [WC Approach:Monitoring]  
h. [WC Approach: Notification], as defined in the [WC] Access Control Plan, when accounts become unnecessary due to user termination, unmet usage-requirements, or altered need-to-know.
i. The [WC Access Control Plan], Account Approval Process requires that authorized information system access is based on least privilege, mission needs, &amp; job function.
j. The [WC] accounts are reviewed annually by the Account Manager(s) review as defined in the [WC Access Control Plan].
k. As defined in the [WC Accesss Control Plan], [WC] does not support the use of shared/group accounts. 
Ref: [WC Access Control Plan]  
Ref: [WC Privileged User Matrix]</t>
  </si>
  <si>
    <t>A</t>
  </si>
  <si>
    <t xml:space="preserve">LSO must be aware of account management policies and procedures. </t>
  </si>
  <si>
    <t>AC-2(1)</t>
  </si>
  <si>
    <t>AUTOMATED SYSTEM ACCOUNT MANAGEMENT</t>
  </si>
  <si>
    <t>The organization employs automated mechanisms to support the management of information system accounts.</t>
  </si>
  <si>
    <t>PC</t>
  </si>
  <si>
    <t>Automated [WC] system account management is performed by [WC Approach: AutoUtil].</t>
  </si>
  <si>
    <t>AC-2(2)</t>
  </si>
  <si>
    <t>REMOVAL OF TEMPORARY / EMERGENCY ACCOUNTS</t>
  </si>
  <si>
    <t>The information system automatically disables temporary and emergency accounts after not to exceed 72 hours.</t>
  </si>
  <si>
    <t>As a best practice, [WC] to does not employ temporary or emergency accounts.</t>
  </si>
  <si>
    <t>V</t>
  </si>
  <si>
    <t>AC-2(3)</t>
  </si>
  <si>
    <t>DISABLE INACTIVE ACCOUNTS</t>
  </si>
  <si>
    <t>The information system automatically disables inactive accounts after not to exceed ninety (90) days.</t>
  </si>
  <si>
    <t>[WC Approach: SolutionSetting]</t>
  </si>
  <si>
    <t>AC-2(4)</t>
  </si>
  <si>
    <t>AUTOMATED AUDIT ACTIONS</t>
  </si>
  <si>
    <t>The information system automatically audits account creation, modification, enabling, disabling, and removal actions, and notifies the ISSM/ISSO.</t>
  </si>
  <si>
    <t>[WC Approach: AuditEvents]</t>
  </si>
  <si>
    <t>AC-2(5)</t>
  </si>
  <si>
    <t>INACTIVITY LOGOUT</t>
  </si>
  <si>
    <t>The organization requires that users log out when user’s work day has ended or there is an extended absence (more than six (6) hours).</t>
  </si>
  <si>
    <t>+</t>
  </si>
  <si>
    <t>[WC] users are required by the [WC Acceptable Use Policy] to log out when the workday has ended and to exit prior to an extended absence greater than 6hrs.</t>
  </si>
  <si>
    <t xml:space="preserve">LSO must be aware of inactivity logout policy as part of general awareness of security posture at sites.    </t>
  </si>
  <si>
    <t>AC-2(7)</t>
  </si>
  <si>
    <t>ROLE-BASED SCHEMES</t>
  </si>
  <si>
    <t>The organization:
(a) Establishes and administers privileged user accounts in accordance with a role-based access scheme that organizes allowed information system access and privileges into roles;
(b) Monitors privileged role assignments; and
(c) Takes the following action: Disables (or revokes) privileged user accounts when privileged role assignments are no longer appropriate.</t>
  </si>
  <si>
    <t xml:space="preserve">a. [WC] privileged users are assigned access according to role as defined in the [WC Access Control Plan].
b. [WC Approach: Monitoring2]
c. [WC Approach: Disables]
</t>
  </si>
  <si>
    <t>AC-2(9)</t>
  </si>
  <si>
    <t>RESTRICTIONS ON USE OF SHARED GROUPS / ACCOUNTS</t>
  </si>
  <si>
    <t>The organization only permits the use of shared/group accounts that meet AO/DAO approved conditions, are in support of specific mission requirements, and are documented in the SSP.</t>
  </si>
  <si>
    <t>TO</t>
  </si>
  <si>
    <t>As a best practice, [WC] does not use shared/group accounts.</t>
  </si>
  <si>
    <t>I</t>
  </si>
  <si>
    <t>AC-2(10)</t>
  </si>
  <si>
    <t>SHARED / GROUP ACCOUNT CREDENTIAL TERMINATION</t>
  </si>
  <si>
    <t>The information system terminates shared/group account credentials when members leave the group.</t>
  </si>
  <si>
    <t>AC-2(12)</t>
  </si>
  <si>
    <t>ACCOUNT MONITORING / ATYPICAL USAGE</t>
  </si>
  <si>
    <t>The organization:
(a) Monitors information system accounts for atypical usage, including but not limited to the following:
during "non-standard" work hours; from "non-standard" locations; during scheduled out-of-office periods; logging into multiple workstations concurrently; attemped logins/use of unauthorized applications; and attempted I/O port usage; and
(b) Reports atypical usage of information system accounts to appropriate security personnel (i.e., ISSM/ISSO/CPSO/GSSO/PSO).</t>
  </si>
  <si>
    <t xml:space="preserve">a. [WC Approach: Monitoring3]
b. [WC Approach: Reporting] </t>
  </si>
  <si>
    <t>AC-2(13)</t>
  </si>
  <si>
    <t>DISABLE ACCOUNTS FOR HIGH-RISK INDIVIDUALS</t>
  </si>
  <si>
    <t>The organization disables accounts of users posing a significant risk within 30 minutes of discovery of the risk</t>
  </si>
  <si>
    <t>[WC Approach: Disable]</t>
  </si>
  <si>
    <t xml:space="preserve">LSO is responsible for identifying high risk individuals and coordinating that information with the PSO/ISSM/ISSO. The ISSM/ISSO is responsible for disabling the accounts. </t>
  </si>
  <si>
    <t>AC-3</t>
  </si>
  <si>
    <t>Access Enforcement</t>
  </si>
  <si>
    <t>The information system enforces approved authorizations for logical access to information and system resources in accordance with applicable access control policies.</t>
  </si>
  <si>
    <t>[WC Approach: AA Solution] enforces approved authorizations for logical access.</t>
  </si>
  <si>
    <t>AC-3(2)</t>
  </si>
  <si>
    <t>DUAL AUTHORIZATION</t>
  </si>
  <si>
    <t>The information system enforces dual authorization for all transfers of data from a classified computer network to removable media.</t>
  </si>
  <si>
    <t>+VR</t>
  </si>
  <si>
    <t>Tailored-out: 
[WC] has no mechanism to attach removable media to its environment.</t>
  </si>
  <si>
    <t>AC-3(4)</t>
  </si>
  <si>
    <t>DISCRETIONARY ACCESS CONTROL</t>
  </si>
  <si>
    <t>The information system enforces user/identity-based discretionary access control policy over defined subjects and objects where the policy specifies that a subject that has been granted access to information can do one or more of the following:
(a) Pass the information to any other subjects or objects;
(b) Grant its privileges to other subjects;
(c) Change security attributes on subjects, objects, the information system, or the information system’s components;
(d) Choose the security attributes to be associated with newly created or revised objects; or
(e) Change the rules governing access control.</t>
  </si>
  <si>
    <t>+R</t>
  </si>
  <si>
    <t>[WC Approach: IB Discretion]</t>
  </si>
  <si>
    <t>AC-3(8)</t>
  </si>
  <si>
    <t>REVOCATION OF ACCESS AUTHORIZATIONS</t>
  </si>
  <si>
    <t>The information system enforces the revocation of access authorizations resulting from changes to the security attributes of subjects and objects based on AWS IAM immediately and Domain Controller memberships and policies upon reauthentication.</t>
  </si>
  <si>
    <t>[WC Approach: Revocation]</t>
  </si>
  <si>
    <t>AC-4</t>
  </si>
  <si>
    <t>Information Flow Enforcement</t>
  </si>
  <si>
    <t>The information system enforces approved authorizations for controlling the flow of information within the system and between interconnected systems based on approved Assured File Transfer processes and Controlled Interface policies.</t>
  </si>
  <si>
    <t xml:space="preserve">[WC] enforces controlled internal information flow by way of host-based firewalls while inheriting external VPC information flow enforcement from Fences.
</t>
  </si>
  <si>
    <t>The LSO must have an awareness of interconnections that are occurring within their facilities, validate that approvals are in place, and collaborate with the ISSM on development of AFT procedures. PSO will collaborate with the AO in approving AFT procedures and ensuring devices such as Cross Domain Solutions (CDS) are appropriately authorized and interconnection agreements are signed.</t>
  </si>
  <si>
    <t>AC-5</t>
  </si>
  <si>
    <t>Separation Of Duties</t>
  </si>
  <si>
    <t>The organization:
a. Separates at a minimum, duties of system administrators from audit administration functions; and duties of DTAs from media custodians;
b. Documents separation of duties of individuals; and 
c. Defines information system access authorizations to support separation of duties.</t>
  </si>
  <si>
    <t>+GR</t>
  </si>
  <si>
    <t>a. [WC] separates duties by [WC Approach: Roles] roles.
b. Duties of individuals are documented in [WC Access Control Plan].
c. Information system access authorizations supporting separation of duties are defined in [WC Access Control Plan].</t>
  </si>
  <si>
    <t>AC-6</t>
  </si>
  <si>
    <t>Least Privilege</t>
  </si>
  <si>
    <t>The organization employs the principle of least privilege, allowing only authorized accesses for users (or processes acting on behalf of users) which are necessary to accomplish assigned tasks in accordance with organizational missions and business functions.</t>
  </si>
  <si>
    <t>[WC Approach: LeastPriv]</t>
  </si>
  <si>
    <t>AC-6(1)</t>
  </si>
  <si>
    <t>AUTHORIZE ACCESS TO SECURITY FUNCTIONS</t>
  </si>
  <si>
    <t>The organization explicitly authorizes access to all security-relevant system functions (e.g., auditing, configuration of security settings, performing backups, installing SW), IS configuration tools (e.g., BIOS, system configuration tools, audit tools) and I/O ports (e.g., CD/DVD, USB) and security-relevant information.</t>
  </si>
  <si>
    <t>[WC] explicitly authorizes access to all security functions by [WC Approach: SecAuth]</t>
  </si>
  <si>
    <t xml:space="preserve">LSO will be involved in establishing the process for enforcing least privileged users for security functions.  As part of overall awareness of security posture of the site, the LSO must be aware of procedures for establishing authorized access to security functions on the system. </t>
  </si>
  <si>
    <t>AC-6(2)</t>
  </si>
  <si>
    <t>NON-PRIVILEGED ACCESS FOR NONSECURITY FUNCTIONS</t>
  </si>
  <si>
    <t>The organization requires that users of information system accounts, or roles, with access to privileged functions (except the DTA role), use non-privileged accounts or roles, when accessing nonsecurity functions.</t>
  </si>
  <si>
    <t>AC-6(5)</t>
  </si>
  <si>
    <t>PRIVILEGED ACCOUNTS</t>
  </si>
  <si>
    <t>The organization restricts privileged accounts on the information system to absolute minimum number of privileged users needed to manage the system.</t>
  </si>
  <si>
    <t>[WC] privileged accounts are restricted by least privilege principle and by the account authorization process as described in [WC Access Control Plan].</t>
  </si>
  <si>
    <t>AC-6(7)</t>
  </si>
  <si>
    <t>REVIEW OF USER PRIVILEGES</t>
  </si>
  <si>
    <t>The organization: 
(a) Reviews at least quarterly the privileges assigned to privileged user accounts including DTA role to validate the need for such privileges; and
(b) Reassigns or removes privileges, if necessary, to correctly reflect organizational mission/business needs.</t>
  </si>
  <si>
    <t>a. The [WC] ISSM manually reviews privileged user accounts quarterly as defined in [WC Access Control Plan]
b. The [WC] ISSM removes privileges as when accesses exceed mission needs.</t>
  </si>
  <si>
    <t>AC-6(8)</t>
  </si>
  <si>
    <t>PRIVILEGE LEVELS FOR CODE EXECUTION</t>
  </si>
  <si>
    <t>The information system prevents software applications/programs from executing at higher privilege levels than users executing the software.</t>
  </si>
  <si>
    <t>[WC Approach: UAC]</t>
  </si>
  <si>
    <t>AC-6(9)</t>
  </si>
  <si>
    <t>AUDITING USE OF PRIVILEGED FUNCTIONS</t>
  </si>
  <si>
    <t>The information system audits the execution of privileged functions.</t>
  </si>
  <si>
    <t>[WC Approach: PrivAuditFn]</t>
  </si>
  <si>
    <t>AC-6(10)</t>
  </si>
  <si>
    <t>PROHIBIT NON-PRIVILEGED USERS FROM EXECUTING PRIVILEGED FUNCTIONS</t>
  </si>
  <si>
    <t>The information system prevents non-privileged users from executing privileged functions to include disabling, circumventing, or altering implemented security safeguards/countermeasures.</t>
  </si>
  <si>
    <t>[WC Approach: NonPrivUsr]</t>
  </si>
  <si>
    <t>AC-7</t>
  </si>
  <si>
    <t>Unsuccessful Logon Attempts</t>
  </si>
  <si>
    <t xml:space="preserve">The information system:
a. Enforces a limit of maximum of three (3) consecutive invalid logon attempts by a user during a fifteen (15) minute time period; and
b. Automatically locks the account/node until released by an administrator when the maximum number of unsuccessful attempts is exceeded.
</t>
  </si>
  <si>
    <t>a. [WC Approach: CILA]
b. [WC Approach: AutoLock]</t>
  </si>
  <si>
    <t>AC-7(2)</t>
  </si>
  <si>
    <t>PURGE / WIPE MOBILE DEVICE</t>
  </si>
  <si>
    <t>The information system purges/wipes information from [Assignment: organization-defined mobile devices] based on [Assignment: organization-defined purging/wiping requirements/techniques] after 10 consecutive, unsuccessful device logon attempts.</t>
  </si>
  <si>
    <t>Tailored-out:
Fences PaaS does not employ or support mobile devices.</t>
  </si>
  <si>
    <t>AC-8</t>
  </si>
  <si>
    <t>System Use Notification</t>
  </si>
  <si>
    <t>The information system:
a. Displays to users DoD Information Systems Standard Consent Banner before granting access to the system that provides privacy and security notices consistent with applicable federal laws, Executive Orders, directives, policies, regulations, standards, and guidance and states that:
1. Users are accessing a U.S. Government information system;
2. Information system usage may be monitored, recorded, and subject to audit;
3. Unauthorized use of the information system is prohibited and subject to criminal and civil penalties; and
4. Use of the information system indicates consent to monitoring and recording;
b. Retains the notification message or banner on the screen until users acknowledge the usage conditions and take explicit actions to log on to or further access the information system; and
c. For publicly accessible systems:
1. Displays system use information [Assignment: organization-defined conditions], before granting further access;
2. Displays references, if any, to monitoring, recording, or auditing that are consistent with privacy accommodations for such systems that generally prohibit those activities; and
3. Includes a description of the authorized uses of the system.</t>
  </si>
  <si>
    <t>a. [WC Approach: ConsentBanner]
b. [WC Approach: BannerRetention]
c. [WC] is not publicly accessible.</t>
  </si>
  <si>
    <t>AC-9</t>
  </si>
  <si>
    <t>Previous Logon (Access) Notification</t>
  </si>
  <si>
    <t>The information system notifies the user, upon successful logon (access) to the system, of the date and time of the last logon (access).</t>
  </si>
  <si>
    <t>[WC Approach: Notification1]</t>
  </si>
  <si>
    <t>AC-9(1)</t>
  </si>
  <si>
    <t>UNSUCCESSFUL LOGONS</t>
  </si>
  <si>
    <t>The information system notifies the user, upon successful logon/access, of the number of unsuccessful logon/access attempts since the last successful logon/access.</t>
  </si>
  <si>
    <t>[WC Approach: Notification2]</t>
  </si>
  <si>
    <t>AC-10</t>
  </si>
  <si>
    <t>Concurrent Session Control</t>
  </si>
  <si>
    <t>The information system limits the number of concurrent sessions for each non-privileged and privileged to maximum of three (3) sessions.</t>
  </si>
  <si>
    <t>[WC Approach: ConcurrentSession]</t>
  </si>
  <si>
    <t>AC-11</t>
  </si>
  <si>
    <t>Session Lock</t>
  </si>
  <si>
    <t>The information system:
a. Prevents further access to the system by initiating a session lock after not to exceed fifteen (15) minutes of inactivity or upon receiving a request from a user; and
b. Retains the session lock until the user reestablishes access using established identification and authentication procedures.</t>
  </si>
  <si>
    <t>+EVR</t>
  </si>
  <si>
    <t>a. Session Lock, after 15 minutes of inactivity or by user initiation, is enabled by [WC Approach: SessionLock].
b. [WC Approach: SessionLock] retains the session lock until user reauthentication occurs.</t>
  </si>
  <si>
    <t>AC-11(1)</t>
  </si>
  <si>
    <t>PATTERN-HIDING DISPLAYS</t>
  </si>
  <si>
    <t>The information system conceals, via the session lock, information previously visible on the display with a publicly viewable image.</t>
  </si>
  <si>
    <t xml:space="preserve">[WC Approach: SessionLock] session lock replaces presented user information with a general screen when session lock is activated.  </t>
  </si>
  <si>
    <t>AC-12</t>
  </si>
  <si>
    <t>Session Termination</t>
  </si>
  <si>
    <t>The information system automatically terminates a user session after 6 hours of inactivity.</t>
  </si>
  <si>
    <t>By [WC Approach: SessionTerm], session termination automatically occurs after 6 hours of user inactivity.</t>
  </si>
  <si>
    <t>AC-12(1)</t>
  </si>
  <si>
    <t>USER-INITIATED LOGOUTS / MESSAGE DISPLAYS</t>
  </si>
  <si>
    <t>The information system:
(a) Provides a logout capability for user-initiated communications sessions whenever authentication is used to gain access to all information resources; and
(b) Displays an explicit logout message to users indicating the reliable termination of authenticated communications sessions.</t>
  </si>
  <si>
    <t>a. User initiated logout capability is provided by [WC Approach: UsrLogOut]
b. Upon user logout, [WC Approach: UsrLogOut] presents a notification message to the user.</t>
  </si>
  <si>
    <t>AC-14</t>
  </si>
  <si>
    <t>Permitted Actions Without Identification Or Authentication</t>
  </si>
  <si>
    <t>The organization:
a. Identifies that no user actions can be performed on the information system without identification or authentication consistent with organizational missions/business functions; and
b. Documents and provides supporting rationale in the security plan for the information system, user actions not requiring identification or authentication.</t>
  </si>
  <si>
    <t>a. No user actions can be performed  on [WC] without identification and authentication.
b. Not applicable as no user actions can be perfomed without identification &amp; authentication.</t>
  </si>
  <si>
    <t>AC-16</t>
  </si>
  <si>
    <t>Security Attributes</t>
  </si>
  <si>
    <t>The organization:
a. Provides the means to associate appropriate classification, caveats and dissemination controls implemented via headers, footers, and portion marking with information in storage, in process, and/or in transmission;
b. Ensures that the security attribute associations are made and retained with the information;
c. Establishes the permitted classification, caveats and dissemination controls for the IS; and
d. Determines the permitted parameters for each of the established security attributes.</t>
  </si>
  <si>
    <t>T</t>
  </si>
  <si>
    <t>a. [WC Approach: SecAtt]
b. [WC] security attributes are made by [WC Approach: SecAttC] and retain by way of [WC Approach: SecAttR].
c. Perrmitted classification and caveats for [WC] are defined in [WC Access Control Plan].
d. Permitted parameters for each security attribute is defined in [WC Access Control Plan].</t>
  </si>
  <si>
    <t xml:space="preserve">The LSO provides guidance to the ISSM/ISSO on the appropriate security attributes (i.e. U/C/S/TS and PIDs/Caveats) based on the applicable Security Classification Guide. LSO ensures applied rules comply with security marking guidance and system access policies. </t>
  </si>
  <si>
    <t>AC-16(3)</t>
  </si>
  <si>
    <t>MAINTENANCE OF ATTRIBUTE ASSOCIATIONS BY INFORMATION SYSTEM</t>
  </si>
  <si>
    <t>The information system maintains the association and integrity of Workload Classification Labels to Workloads and Workload Applications</t>
  </si>
  <si>
    <t>[WC Approach: SecAttMain]</t>
  </si>
  <si>
    <t>AC-16(4)</t>
  </si>
  <si>
    <t>ASSOCIATION OF ATTRIBUTES BY AUTHORIZED INDIVIDUALS</t>
  </si>
  <si>
    <t>The information system supports the association of User Roles and Memberships with AWS Roles &amp; Policies, Portal Workloads and Domain object by authorized individuals (or processes acting on behalf of individuals).</t>
  </si>
  <si>
    <t>[WC Approach: SecAttAuthUsr]</t>
  </si>
  <si>
    <t>AC-16(5)</t>
  </si>
  <si>
    <t>ATTRIBUTE DISPLAYS FOR OUTPUT DEVICES</t>
  </si>
  <si>
    <t>The information system displays security attributes in human-readable form on each object that the system transmits to output devices to identify the proper classification, caveats and dissemination controls  using AO/DAO approved tools/methods.</t>
  </si>
  <si>
    <t>[WC] security attributes are displayed by [WC Approach: SecAttDisplay]</t>
  </si>
  <si>
    <t xml:space="preserve">LSO will ensure that displays and printouts display appropriate classification banners and labels. LSO will provide guidance to the ISSM/ISSO to ensure all automated banners and displays are marked and classified correctly in accordance with the level of the system and marking policy. </t>
  </si>
  <si>
    <t>AC-16(6)</t>
  </si>
  <si>
    <t>MAINTENANCE OF ATTRIBUTE ASSOCIATION BY ORGANIZATION</t>
  </si>
  <si>
    <t>The organization allows personnel to associate, and maintain the association of appropriate classification, caveats, and dissemination controls with all subjects and objects in accordance with the approved Security Classification Guide.</t>
  </si>
  <si>
    <t>[WC Approach: SecAttPersonnel]</t>
  </si>
  <si>
    <t>AC-16(7)</t>
  </si>
  <si>
    <t>CONSISTENT ATTRIBUTE INTERPRETATION</t>
  </si>
  <si>
    <t>The organization provides a consistent interpretation of security attributes transmitted between distributed information system components.</t>
  </si>
  <si>
    <t xml:space="preserve">Consistent interpretation of security attributes transmitted within the [WC] VPC is accomplished as a function of [WC Approach: SecAtt] </t>
  </si>
  <si>
    <t>AC-16(8)</t>
  </si>
  <si>
    <t>ASSOCIATION TECHNIQUES / TECHNOLOGIES</t>
  </si>
  <si>
    <t>The information system implements database lookups of classification labels with drop-down controls in associating security attributes to information.</t>
  </si>
  <si>
    <t>[WC Approach: DBL]</t>
  </si>
  <si>
    <t>AC-17</t>
  </si>
  <si>
    <t>Remote Access</t>
  </si>
  <si>
    <t>The organization:
a. Establishes and documents usage restrictions, configuration/connection requirements, and implementation guidance for each type of remote access allowed; and
b. Authorizes remote access to the information system prior to allowing such connections.</t>
  </si>
  <si>
    <t xml:space="preserve">a. [WC] has documented remote access usage restrictions, and configuration/implementation details for each type of permitted remote access point within [WC Access Control Plan].
b. Remote access connections require approval prior to establishing connectivity, as documented within [WC Access Control Plan].
</t>
  </si>
  <si>
    <t>LSO must be aware of instances of remote access to SAP IS and coordinate with the ISSM to ensure adequate protection of information (i.e. access occurs by cleared individuals from approved areas). The PSO will ensure appropriate approvals are in place at remote sites. This control is not typically applicable in the SAP community.</t>
  </si>
  <si>
    <t>AC-17(1)</t>
  </si>
  <si>
    <t>AUTOMATED MONITORING / CONTROL</t>
  </si>
  <si>
    <t>The information system monitors and controls remote access methods.</t>
  </si>
  <si>
    <t>Inherited from Fences</t>
  </si>
  <si>
    <t>AC-17(2)</t>
  </si>
  <si>
    <t>PROTECTION OF CONFIDENTIALITY / INTEGRITY USING ENCRYPTION</t>
  </si>
  <si>
    <t>The information system implements cryptographic mechanisms to protect the confidentiality and integrity of remote access sessions.</t>
  </si>
  <si>
    <t>AC-17(3)</t>
  </si>
  <si>
    <t>MANAGED ACCESS CONTROL POINTS</t>
  </si>
  <si>
    <t>The information system routes all remote accesses through a very limited number of AO-authorized managed network access control points.</t>
  </si>
  <si>
    <t>AC-17(4)</t>
  </si>
  <si>
    <t>PRIVILEGED COMMANDS / ACCESS</t>
  </si>
  <si>
    <t>The organization:
a. Authorizes the execution of privileged commands and access to security-relevant information via remote access only for documented compelling operational needs; and
b. Documents the rationale for such access in the security plan for the information system.</t>
  </si>
  <si>
    <t>AC-17(6)</t>
  </si>
  <si>
    <t>PROTECTION OF INFORMATION</t>
  </si>
  <si>
    <t>The organization ensures that users protect information about remote access mechanisms from unauthorized use and disclosure.</t>
  </si>
  <si>
    <t>The [WC] ISSM ensures that users protect information about remote access mechanisms from unauthorized use and disclosure. 
This policy is documented in the [WC Access Control Plan]</t>
  </si>
  <si>
    <t>AC-17(9)</t>
  </si>
  <si>
    <t>DISCONNECT / DISABLE ACCESS</t>
  </si>
  <si>
    <t>The organization provides the capability to expeditiously disconnect or disable remote access to the information system within 30 minutes of identification of an event or inactivity for low confidentiality or integrity impact; 20 minutes for moderate confidentiality or integrity impact; or 10 minutes for high confidentiality or integrity impact.</t>
  </si>
  <si>
    <t>AC-18</t>
  </si>
  <si>
    <t>Wireless Access</t>
  </si>
  <si>
    <t>The organization:
a. Establishes usage restrictions, configuration/connection requirements, and implementation guidance for wireless access; and
b. Authorizes wireless access to the information system prior to allowing such connections.</t>
  </si>
  <si>
    <t>Tailored-out:
Fences PaaS does not support wireless access.</t>
  </si>
  <si>
    <t>LSO must ensure policies, procedures, and approvals are in place to restrict wireless access points and introduce/prohibit certain types of wireless devices in the SAPF. The PSO will coordinate with the AO to approve introduction of wireless equipment.</t>
  </si>
  <si>
    <t>AC-18(1)</t>
  </si>
  <si>
    <t>AUTHENTICATION AND ENCRYPTION</t>
  </si>
  <si>
    <t>The information system protects wireless access to the system using authentication of both users and devices as appropriate e.g. devices to wireless networks (e.g., Wi-Fi) and users to enterprise services and encryption.</t>
  </si>
  <si>
    <t>AC-18(3)</t>
  </si>
  <si>
    <t>DISABLE WIRELESS NETWORKING</t>
  </si>
  <si>
    <t>The organization disables, when not intended for use, wireless networking capabilities internally embedded within information system components prior to issuance and deployment.</t>
  </si>
  <si>
    <t>AC-18(4)</t>
  </si>
  <si>
    <t>RESTRICT CONFIGURATIONS BY USERS</t>
  </si>
  <si>
    <t>The organization identifies and explicitly authorizes users allowed to independently configure wireless networking capabilities.</t>
  </si>
  <si>
    <t>AC-19</t>
  </si>
  <si>
    <t>Access Control For Mobile Devices</t>
  </si>
  <si>
    <t xml:space="preserve">The organization:
a. Establishes usage restrictions, configuration requirements, connection requirements, and implementation guidance for organization-controlled mobile devices; and
b. Authorizes the connection of mobile devices to organizational information systems.
</t>
  </si>
  <si>
    <t>Tailored-out:
Fences PaaS does not allow or support mobile devices.</t>
  </si>
  <si>
    <t>LSO will ensure sites implement an appropriate handling policy for mobile devices (PED restrictions) in accordance with the specific guidance in the JSIG Rev 4 AC-19 and obtain PSO approval as required. ISSM/ISSO will assist with risk assessment of the mobile device and ensure protection measures are in place for all mobile devices that connect to the IS.</t>
  </si>
  <si>
    <t>AC-19(5)</t>
  </si>
  <si>
    <t>FULL DEVICE / CONTAINER-BASED ENCRYPTION</t>
  </si>
  <si>
    <t>The organization employs full-device encryption to protect the confidentiality and integrity of information on all mobile devices authorized to connect to the organization's IS.</t>
  </si>
  <si>
    <t>AC-20</t>
  </si>
  <si>
    <t>Use Of External Information Systems</t>
  </si>
  <si>
    <t>The organization establishes terms and conditions, consistent with any trust relationships established with other organizations owning, operating, and/or maintaining external information systems, allowing authorized individuals to:
a. Access the information system from external information systems; and
b. Process, store, or transmit organization-controlled information using external information systems.</t>
  </si>
  <si>
    <t xml:space="preserve">Inherited:
External IS access to [WC] is restricted to by Fences PaaS.
</t>
  </si>
  <si>
    <t xml:space="preserve">LSO will coordinate with ISSM/ISSO to ensure that appropriate ATO and agreements exist for external information systems located in the SAPF.  LSO will request PSO approval prior to entry of these systems into a SAPF.
</t>
  </si>
  <si>
    <t>AC-20(1)</t>
  </si>
  <si>
    <t>LIMITS ON AUTHORIZED USE</t>
  </si>
  <si>
    <t>The organization permits authorized individuals to use an external information system to access the information system or to process, store, or transmit organization-controlled information only when the organization:
(a) Verifies the implementation of required security controls on the external system as specified in the organization’s information security policy and security plan; or
(b) Retains approved information system connection or processing agreements with the organizational entity hosting the external information system.</t>
  </si>
  <si>
    <t xml:space="preserve">Inherited:
External IS access to [WC] is restricted to by Fences PaaS.
</t>
  </si>
  <si>
    <t>AC-20(2)</t>
  </si>
  <si>
    <t>PORTABLE STORAGE DEVICES</t>
  </si>
  <si>
    <t>The organization restricts the use of organization-controlled portable storage devices by authorized individuals on external information systems.</t>
  </si>
  <si>
    <t>Tailored-out:
Fences PaaS prohibits portable storage devices.</t>
  </si>
  <si>
    <t>P</t>
  </si>
  <si>
    <t xml:space="preserve">LSO will ensure procedures involving portable storage devices with external information systems are authorized and documented. These procedures will be documented in the media control section of the SOP. LSO will request PSO approval of introduction and removal procedures for portable storage devices to be used on an external information system. 
</t>
  </si>
  <si>
    <t>AC-20(3)</t>
  </si>
  <si>
    <t>NON-ORGANIZATIONALLY OWNED SYSTEMS / COMPONENTS / DEVICES</t>
  </si>
  <si>
    <t>The organization restricts the use of non-organizationally owned information systems, system components, or devices to process, store, or transmit organizational information.</t>
  </si>
  <si>
    <t>+EGR</t>
  </si>
  <si>
    <t xml:space="preserve">Inherited:
External information systems access &amp; non-organizationally owed information systems access to [WC] are restricted to by Fences PaaS.
</t>
  </si>
  <si>
    <t>AC-20(4)</t>
  </si>
  <si>
    <t>NETWORK ACCESSIBLE STORAGE DEVICES</t>
  </si>
  <si>
    <t>The organization prohibits the use of all network accessible storage devices in external information systems.</t>
  </si>
  <si>
    <t xml:space="preserve">Inherited:
Access external storage devices is restricted to by Fences PaaS.
</t>
  </si>
  <si>
    <t>AC-21</t>
  </si>
  <si>
    <t>Information Sharing</t>
  </si>
  <si>
    <t>The organization:
a. Facilitates information sharing by enabling authorized users to determine whether access authorizations assigned to the sharing partner match the access restrictions on the information for information sharing circumstances where the IS cannot enforce appropriate sharing controls; and
b. Employs PSO-approved mechanism (either a tool (e.g., Access Look-up, Joint Access Database Environment (JADE)) or appropriate guidance on a manual process (e.g., contact PSO, HR) to assist users in making information sharing/collaboration decisions.</t>
  </si>
  <si>
    <t>Inherited: 
Intra-workload communication is restricted by Fences PaaS.</t>
  </si>
  <si>
    <t>AC-21(1)</t>
  </si>
  <si>
    <t>AUTOMATED DECISION SUPPORT</t>
  </si>
  <si>
    <t>The information system enforces information-sharing decisions by authorized users based on access authorizations of sharing partners and access restrictions on information to be shared.</t>
  </si>
  <si>
    <t>Tailored-out:
[WC] does not support information-sharing and does not have sharing partners.</t>
  </si>
  <si>
    <t>AC-22</t>
  </si>
  <si>
    <t>Publicly Accessible Content</t>
  </si>
  <si>
    <t>The organization:
a. Designates individuals authorized to post information onto a publicly accessible information system;
b. Trains authorized individuals to ensure that publicly accessible information does not contain nonpublic information;
c. Reviews the proposed content of information prior to posting onto the publicly accessible information system to ensure that nonpublic information is not included; and
d. Reviews the content on the publicly accessible information system for nonpublic information at least quarterly or as new information is posted and removes such information, if discovered.</t>
  </si>
  <si>
    <t xml:space="preserve">a. The [WC] PM prohibits individuals from posting [WC] data on publicly accessible information systems.  The policy is documented in the general and privileged user agreement.
b. Not applicable. Posting [WC] data on publicly accessible information systems is prohibited.
c. Not applicable. Posting [WC] data on publicly accessible information systems is prohibited.
d. Not applicable. Posting [WC] data on publicly accessible information systems is prohibited.
Ref: [WC Acceptable Use Policy]
</t>
  </si>
  <si>
    <t xml:space="preserve">LSO will ensure that public disclosure is in accordance with policy/DD254 and will ensure this content is part of a training program. </t>
  </si>
  <si>
    <t>AC-23</t>
  </si>
  <si>
    <t>DATA MINING PROTECTION</t>
  </si>
  <si>
    <t>The organization employs auditing of failed file access attempts for all data storage objects to adequately detect and protect against data mining.</t>
  </si>
  <si>
    <t xml:space="preserve">[WC] audits failed access attempts to all storage objects within the [WC] VPC by [WC Approach: AuditFaAcAt] </t>
  </si>
  <si>
    <t xml:space="preserve">LSO must be aware of methods implemented to protect the system from data mining. </t>
  </si>
  <si>
    <t>AT-1</t>
  </si>
  <si>
    <t>Security Awareness And Training Policy And Procedures</t>
  </si>
  <si>
    <t>The organization:
a. Develops, documents, and disseminates to all personnel having a role in Security Awareness and Training:
1. A security awareness and training policy that addresses purpose, scope, roles, responsibilities, management commitment, coordination among organizational entities, and compliance; and
2. Procedures to facilitate the implementation of the security awareness and training policy and associated security awareness and training controls; and
b. Reviews and updates the current:
1. Security awareness and training policy at least annually; and
2. Security awareness and training procedures at least annually.</t>
  </si>
  <si>
    <t>a. [WC] has developed the [WC Training Plan] which documents the security awareness and training policy and procedures. The [WC Training Plan] is disseminated to all personnel having a role in Security Awareness &amp; Training.
b. The security awareness and training policy and training procedures are reviewed annually.</t>
  </si>
  <si>
    <t xml:space="preserve">LSO develops and implements an approved Security Education, Training and Awareness (SETA) program that addresses purpose, scope, roles, responsibilities, management commitment, coordination among organizational entities, and compliance. LSO will coordinate with the ISSM/ISSO to provide inputs to the program as it relates to information system usage. 
</t>
  </si>
  <si>
    <t>AT-2</t>
  </si>
  <si>
    <t>Security Awareness Training</t>
  </si>
  <si>
    <t>The organization provides basic security awareness training to information system users (including managers, senior executives, and contractors):
a. As part of initial training for new users;
b. When required by information system changes; and
c. At least annually thereafter.</t>
  </si>
  <si>
    <t xml:space="preserve">[WC] provides basic security awareness training via [WC Training], which is provided a part of initial new user training, when required by information system changes, and at least anually thereafter. </t>
  </si>
  <si>
    <t>LSO will coordinate with the ISSM/ISSO to ensure required training includes the appropriate content and is conducted for all required users.</t>
  </si>
  <si>
    <t>AT-2(2)</t>
  </si>
  <si>
    <t>INSIDER THREAT</t>
  </si>
  <si>
    <t>The organization includes security awareness training on recognizing and reporting potential indicators of insider threat.</t>
  </si>
  <si>
    <t>Insider threat trainining for recognizing and reporting potential indicators is included in the [WC Training].</t>
  </si>
  <si>
    <t xml:space="preserve">LSO ensures insider threat risks are incorporated into their SETA program. LSO will submit SETA program to PSO for approval.
</t>
  </si>
  <si>
    <t>AT-3</t>
  </si>
  <si>
    <t>Role-Based Security Training</t>
  </si>
  <si>
    <t>The organization provides role-based security training to personnel with assigned security roles and responsibilities:
a. Before authorizing access to the information system or performing assigned duties;
b. When required by information system changes; and
c. At least annually thereafter.</t>
  </si>
  <si>
    <t>G</t>
  </si>
  <si>
    <t>Role-based security training is provided via [WC Training Role]. Training is provided prior to accessing the information system to perform assigned role-based duties, when required by information system changes, and at least annually thereafter.</t>
  </si>
  <si>
    <t xml:space="preserve">LSO will have awareness of the security centric roles on the IS and will validate training in coordination with the ISSM/ISSO. PSO will validate processes and training are in place. </t>
  </si>
  <si>
    <t>AT-3(2)</t>
  </si>
  <si>
    <t>PHYSICAL SECURITY CONTROLS</t>
  </si>
  <si>
    <t>The organization provides personnel with specific roles and responsibilities associated with physical security controls with initial and at least annually or when sufficient changes are made to physical security systems training in the employment and operation of physical security controls.</t>
  </si>
  <si>
    <t>Physical security controls are covered in the [WC Training]. 
Inherited:
There is no physical access to Fences hardware/infrastructure becasue it is all controlled and maintained by Aamazon C2S</t>
  </si>
  <si>
    <t xml:space="preserve">LSO will ensure all physical security controls are documented in the FFC and/or SOP. Site personnel with physical security responsibilities for the SAPF are trained initially and at least annually on processes and procedures (e.g. open/close procedures, guard force response, badge system operation).
</t>
  </si>
  <si>
    <t>AT-3(4)</t>
  </si>
  <si>
    <t>SUSPICIOUS COMMUNICATIONS AND ANOMALOUS SYSTEM BEHAVIOR</t>
  </si>
  <si>
    <t>The organization provides training to its personnel on suspicious emails, opening suspicious attachments, clicking on suspicious links/URLs, phishing attempts, virus alerts and malcode detection notifications to recognize suspicious communications and anomalous behavior in organizational information systems.</t>
  </si>
  <si>
    <t>Suspicious communications and anomalous system behavior is coverd in the [WC Training].</t>
  </si>
  <si>
    <t xml:space="preserve">The LSO and ISSM/ISSO will ensure this topic material is covered in the SETA or another IA related training. During compliance inspections, the PSO will validate the approved training has been provided to users. </t>
  </si>
  <si>
    <t>AT-4</t>
  </si>
  <si>
    <t>Security Training Records</t>
  </si>
  <si>
    <t>The organization:
a. Documents and monitors individual information system security training activities including basic security awareness training and specific information system security training; and
b. Retains individual training records for a minimum of five (5) years.</t>
  </si>
  <si>
    <t>The [WC] ISSM 
a. documents and monitors information system and security training activities, and
b. retains individual training records for 5 years.</t>
  </si>
  <si>
    <t xml:space="preserve">LSO and ISSM/ISSO will document where IA training records will be retained. PSO will validate training records during security compliance inspections. </t>
  </si>
  <si>
    <t>AU-1</t>
  </si>
  <si>
    <t>Audit And Accountability Policy And Procedures</t>
  </si>
  <si>
    <t xml:space="preserve"> The organization:
a. Develops, documents, and disseminates to all personnel having a role in Audit and Accountability:
1. An audit and accountability policy that addresses purpose, scope, roles, responsibilities, management commitment, coordination among organizational entities, and compliance; and
2. Procedures to facilitate the implementation of the audit and accountability policy and associated audit and accountability controls; and
b. Reviews and updates the current:
1. Audit and accountability policy at least annually; and
2. Audit and accountability procedures at least annually.</t>
  </si>
  <si>
    <t>a. [WC] has document its Audit Policy and Procedures in the [WC Auditl Plan] and disseminates the [WC AuditPlan] to all personal having a role in Auditing and Accountability.
b. As defined in the [WC Audit Plan], the ISSM will annually review the policies and procedures of the document and update the document as necessary.
Ref: [WC Audit Plan]</t>
  </si>
  <si>
    <t xml:space="preserve">LSO should have general awareness of audit policy associated with information systems within their accredited SAPFs.  </t>
  </si>
  <si>
    <t>AU-2</t>
  </si>
  <si>
    <t>Audit Events</t>
  </si>
  <si>
    <t>The organization:
a. Determines that the information system is capable of auditing the following events: 
1. Authentication events:
(1) Logons (Success/Failure)
(2) Logoffs (Success)
2. Security Relevant File and Objects events:
(1) Create (Success/Failure)
(2) Access (Success/Failure)
(3) Delete (Success/Failure)
(4) Modify (Success/Failure)
(5) Permission Modification (Success/Failure)
(6) Ownership Modification (Success/Failure)
3. Export/Writes/downloads to devices/digital media (e.g., CD/DVD, USB, SD) (Success/Failure)
4. Import/Uploads from devices/digital media (e.g., CD/DVD, USB, SD) (Success/Failure)
5. User and Group Management events:
(1) User add, delete, modify, disable, lock (Success/Failure)
(2) Group/Role add, delete, modify (Success/Failure)
6. Use of Privileged/Special Rights events:
(1) Security or audit policy changes (Success/Failure)
(2) Configuration changes (Success/Failure)
7. Admin or root-level access (Success/Failure)
8. Privilege/Role escalation (Success/Failure)
9. Audit and security relevant log data accesses (Success/Failure)
10. System reboot, restart and shutdown (Success/Failure)
11. Print to a device (Success/Failure)
12. Print to a file (e.g., pdf format) (Success/Failure)
13. Application (e.g., Adobe, Firefox, MS Office Suite) initialization (Success/Failure);
b. Coordinates the security audit function with other organizational entities requiring audit-related information to enhance mutual support and to help guide the selection of auditable events;
c. Provides a rationale for why the auditable events are deemed to be adequate to support after-the-fact investigations of security incidents; and
d. Determines that the following events are to be audited within the information system: same as ‘a’ above, during all periods of system operation.</t>
  </si>
  <si>
    <t>AU-2(3)</t>
  </si>
  <si>
    <t>REVIEWS AND UPDATES</t>
  </si>
  <si>
    <t>The organization reviews and updates the audited events at least annually.</t>
  </si>
  <si>
    <t>The [WC] ISSM reviews adn updates audited events at least annually in accordance with the [WC Audit Plan].</t>
  </si>
  <si>
    <t>AU-3</t>
  </si>
  <si>
    <t>Content Of Audit Records</t>
  </si>
  <si>
    <t>The information system generates audit records containing information that establishes what type of event occurred, when the event occurred, where the event occurred, the source of the event, the outcome of the event, and the identity of any individuals or subjects associated with the event.</t>
  </si>
  <si>
    <t>[Workload Approach: AuditRecordsContent]</t>
  </si>
  <si>
    <t>AU-3(1)</t>
  </si>
  <si>
    <t>ADDITIONAL AUDIT INFORMATION</t>
  </si>
  <si>
    <t>The information system generates audit records containing the following additional information: at a minimum, full-text recording of privileged commands and the individual identities of group account users.</t>
  </si>
  <si>
    <t>[Workload Approach: AdditionalAudit]</t>
  </si>
  <si>
    <t>AU-4</t>
  </si>
  <si>
    <t>Audit Storage Capacity</t>
  </si>
  <si>
    <t>The organization allocates audit record storage capacity in accordance with community best practice and configures auditing to reduce the likelihood of such capacity being exceeded.</t>
  </si>
  <si>
    <t>[Workload Approach: AuditStorageCapacity]</t>
  </si>
  <si>
    <t>AU-4(1)</t>
  </si>
  <si>
    <t>TRANSFER TO ALTERNATE STORAGE</t>
  </si>
  <si>
    <t>The information system off-loads audit records at least weekly onto a different system or media than the system being audited.</t>
  </si>
  <si>
    <t>[Workload Approach: AuditOffload]</t>
  </si>
  <si>
    <t>AU-5</t>
  </si>
  <si>
    <t>Response To Audit Processing Failures</t>
  </si>
  <si>
    <t>The information system:
a. Alerts the ISSM/ISSO/System Admins in the event of an audit processing failure; and
b. Takes the following additional actions: records any audit processing failures and shuts down the IS until auditing can be reenabled.</t>
  </si>
  <si>
    <t>a. The [WC] ISSM is notified by [Workload Approach: AuditFailure]
b. The [WC] ISSM [Workload Approach: AuditFailure1]</t>
  </si>
  <si>
    <t>AU-5(1)</t>
  </si>
  <si>
    <t>AUDIT STORAGE CAPACITY</t>
  </si>
  <si>
    <t>The information system provides a warning to the ISSM/ISSO/System Admins within 5 minutes when allocated audit record storage volume reaches maximum of 75 percent maximum audit record storage capacity of repository maximum audit record storage capacity.</t>
  </si>
  <si>
    <t>[Workload Approach: AuditStorageCapacity1]</t>
  </si>
  <si>
    <t>AU-5(2)</t>
  </si>
  <si>
    <t>REAL-TIME ALERTS</t>
  </si>
  <si>
    <t>The information system provides an alert in real-time to all individuals performing auditing functions when the following audit failure events occur: minimally but not limited to: auditing software/hardware errors, failures in the audit capturing mechanisms, and audit storage capacity being reached or exceeded.</t>
  </si>
  <si>
    <t>[Workload Approach: AuditAlerts]</t>
  </si>
  <si>
    <t>AU-6</t>
  </si>
  <si>
    <t>Audit Review, Analysis, And Reporting</t>
  </si>
  <si>
    <t>The organization:
a. Reviews and analyzes information system audit records at least weekly for indications of any inappropriate or unusual activity; and
b. Reports findings to at a minimum, the ISSM/ISSO, CPSO/GSSO, ISO, and PSO.</t>
  </si>
  <si>
    <t>a. The [WC] IA personnel review and analizes audit records weekly for inappropriate or unusual activity.
b. Findings are presented to the ISSM, PSO, and ISO.</t>
  </si>
  <si>
    <t xml:space="preserve">LSO is one of the organizational entities to which audits that indicate inappropriate or unusual activity should be reported.  The PSO will be notified of all adverse reports. </t>
  </si>
  <si>
    <t>AU-6(1)</t>
  </si>
  <si>
    <t>PROCESS INTEGRATION</t>
  </si>
  <si>
    <t>The organization employs automated mechanisms to integrate audit review, analysis, and reporting processes to support organizational processes for investigation and response to suspicious activities.</t>
  </si>
  <si>
    <t>[Workload Approach: ProcessIntegration]</t>
  </si>
  <si>
    <t>AU-6(3)</t>
  </si>
  <si>
    <t>CORRELATE AUDIT REPOSITORIES</t>
  </si>
  <si>
    <t>The organization analyzes and correlates audit records across different repositories to gain organization-wide situational awareness.</t>
  </si>
  <si>
    <t>[Workload Approach: AuditCorrelation]</t>
  </si>
  <si>
    <t>AU-6(4)</t>
  </si>
  <si>
    <t>CENTRAL REVIEW AND ANALYSIS</t>
  </si>
  <si>
    <t>The information system provides the capability to centrally review and analyze audit records from multiple components within the system.</t>
  </si>
  <si>
    <t>[Workload Approach: CentralReview]</t>
  </si>
  <si>
    <t>AU-6(5)</t>
  </si>
  <si>
    <t>INTEGRATION / SCANNING AND MONITORING CAPABILITIES</t>
  </si>
  <si>
    <t>The organization integrates analysis of audit records with analysis of  vulnerability scanning information (e.g., SCAP/STIG/ACAS results) to further enhance the ability to identify inappropriate or unusual activity.</t>
  </si>
  <si>
    <t>[Workload Approach: IntegratedAnalysis]</t>
  </si>
  <si>
    <t>AU-6(6)</t>
  </si>
  <si>
    <t>CORRELATION WITH PHYSICAL MONITORING</t>
  </si>
  <si>
    <t>The organization correlates information from audit records with information obtained from monitoring physical access to further enhance the ability to identify suspicious, inappropriate, unusual, or malevolent activity.</t>
  </si>
  <si>
    <t>Tailored Implementation:
Physical access to AWS data-centers is monitored by C2S.  Physical access logs are not correlated with Fences PaaS audits.</t>
  </si>
  <si>
    <t xml:space="preserve">In the event of suspicious behavior, the LSO will coordinate with the ISSM/ISSO on the process to request physical security logs. IS activity may be cross referenced with physical access audits to provide an integrated audit review. The PSO will review this process and will be notified of all suspicious behavior reports.  </t>
  </si>
  <si>
    <t>AU-6(7)</t>
  </si>
  <si>
    <t>PERMITTED ACTIONS</t>
  </si>
  <si>
    <t>The organization specifies the permitted actions for each role/user associated with the review, analysis, and reporting of audit information.</t>
  </si>
  <si>
    <t>[Workload Approach: PermittedActions]</t>
  </si>
  <si>
    <t>AU-6(8)</t>
  </si>
  <si>
    <t>FULL TEXT ANALYSIS OF PRIVILEGED COMMANDS</t>
  </si>
  <si>
    <t>The organization performs a full text analysis of audited privileged commands in a physically distinct component or subsystem of the information system, or other information system that is dedicated to that analysis.</t>
  </si>
  <si>
    <t>[Workload Approach: FullTextAnalysis]</t>
  </si>
  <si>
    <t>AU-6(9)</t>
  </si>
  <si>
    <t>CORRELATION WITH INFORMATION FROM NONTECHNICAL SOURCES</t>
  </si>
  <si>
    <t>The organization correlates information from nontechnical sources with audit information to enhance organization-wide situational awareness.</t>
  </si>
  <si>
    <t>NC</t>
  </si>
  <si>
    <t>AU-6(10)</t>
  </si>
  <si>
    <t>AUDIT LEVEL ADJUSTMENT</t>
  </si>
  <si>
    <t>The organization adjusts the level of audit review, analysis, and reporting within the information system when there is a change in risk based on law enforcement information, intelligence information, or other credible sources of information.</t>
  </si>
  <si>
    <t xml:space="preserve">In accordance with the [WC Audit Plan], [WC] adjusts the level of audit review, analysis, and reporting when there is a change in risk. </t>
  </si>
  <si>
    <t xml:space="preserve">LSO is one of the credible sources that can provide notification when a change in risk warrants an adjustment to level of audit review and analysis. PSO will be notified in cases of suspected threats. </t>
  </si>
  <si>
    <t>AU-7</t>
  </si>
  <si>
    <t>Audit Reduction And Report Generation</t>
  </si>
  <si>
    <t>The information system provides an audit reduction and report generation capability that:
a. Supports on-demand audit review, analysis, and reporting requirements and after-the-fact investigations of security incidents; and
b. Does not alter the original content or time ordering of audit records.</t>
  </si>
  <si>
    <t>[Workload Approach: AuditReduction]</t>
  </si>
  <si>
    <t>AU-7(1)</t>
  </si>
  <si>
    <t>AUTOMATIC PROCESSING</t>
  </si>
  <si>
    <t>The information system provides the capability to process audit records for events of interest based on audit information captured in AU-2 and AU-3.</t>
  </si>
  <si>
    <t>AU-7(2)</t>
  </si>
  <si>
    <t>AUTOMATIC SORT AND SEARCH</t>
  </si>
  <si>
    <t>The information system provides the capability to sort and search audit records for events of interest based on the content of all audit fields.</t>
  </si>
  <si>
    <t>[Workload Approach: AuditSort]</t>
  </si>
  <si>
    <t>AU-8</t>
  </si>
  <si>
    <t>Time Stamps</t>
  </si>
  <si>
    <t>The information system:
a. Uses internal system clocks to generate time stamps for audit records; and
b. Records time stamps for audit records that can be mapped to Coordinated Universal Time (UTC) or Greenwich Mean Time (GMT) and meets organization-defined granularity of time measurement of a minimum of one (1) minute.</t>
  </si>
  <si>
    <t>I / C</t>
  </si>
  <si>
    <t>Inherited from Fences and Amazon C2S
a. [WC] uses the Fences NTP for all time within the system. 
b. [WC] records timestamps for audit records which are mapped using the Fences NTP.</t>
  </si>
  <si>
    <t>AU-8(1)</t>
  </si>
  <si>
    <t>SYNCHRONIZATION WITH AUTHORITATIVE TIME SOURCE</t>
  </si>
  <si>
    <t>The information system: 
(a) Compares the internal information system clocks at least every 24 hours  with an organization-defined authoritative time source e.g., Domain Controller, US Naval Observatory time server; and
(b) Synchronizes the internal system clocks to the authoritative time source when the time difference is greater than the organizationally defined granularity in AU-8.</t>
  </si>
  <si>
    <t>[WC] synchornizes with the Fences NTP as its authoritative source. 
Inherited from Fences: 
Fences NTP which is synchronized with C2S NTP as the authoritative source.</t>
  </si>
  <si>
    <t>AU-9</t>
  </si>
  <si>
    <t>Protection Of Audit Information</t>
  </si>
  <si>
    <t>The information system protects audit information and audit tools from unauthorized access, modification, and deletion.</t>
  </si>
  <si>
    <t>[Workload Approach: AuditProtection]</t>
  </si>
  <si>
    <t>AU-9(2)</t>
  </si>
  <si>
    <t>AUDIT BACKUP ON SEPARATE PHYSICAL SYSTEMS / COMPONENTS</t>
  </si>
  <si>
    <t>The information system backs up audit records at least weekly onto a physically different system or system component than the system or component being audited.</t>
  </si>
  <si>
    <t>[Workload Approach: AuditBackup]</t>
  </si>
  <si>
    <t>AU-9(4)</t>
  </si>
  <si>
    <t>ACCESS BY SUBSET OF PRIVILEGED USERS</t>
  </si>
  <si>
    <t>The organization authorizes access to management of audit functionality to only ISSM/ISSO.</t>
  </si>
  <si>
    <t>The [WC] ISSM is the only person with access to manage audit functionality.</t>
  </si>
  <si>
    <t>AU-9(6)</t>
  </si>
  <si>
    <t>READ ONLY ACCESS</t>
  </si>
  <si>
    <t>The organization authorizes read-only access to audit information to system/network administrators.</t>
  </si>
  <si>
    <t>[Workload Approach: AuditReadOnly]</t>
  </si>
  <si>
    <t>AU-10</t>
  </si>
  <si>
    <t>Non-Repudiation</t>
  </si>
  <si>
    <t>The information system protects against an individual (or process acting on behalf of an individual) falsely denying having performed [Assignment: organization-defined actions to be covered by non-repudiation].</t>
  </si>
  <si>
    <t>AU-11</t>
  </si>
  <si>
    <t>Audit Record Retention</t>
  </si>
  <si>
    <t>The organization retains audit records for a minimum of 5 years for SAP data, Sensitive Compartmented Information and Sources And Methods Intelligence information AND A minimum of 1 year for all other information (Unclassified through Collateral Top Secret) to provide support for after-the-fact investigations of security incidents and to meet regulatory and organizational information retention requirements.</t>
  </si>
  <si>
    <t>[Workload Approach: AuditRetention]</t>
  </si>
  <si>
    <t>AU-11(1)</t>
  </si>
  <si>
    <t>LONG-TERM RETRIEVAL CAPABILITY</t>
  </si>
  <si>
    <t>The organization employs a retention of technology to access audit records for the duration of the required retention period to ensure that long-term audit records generated by the information system can be retrieved.</t>
  </si>
  <si>
    <t>[Workload Approach: AuditRetrieval]</t>
  </si>
  <si>
    <t>AU-12</t>
  </si>
  <si>
    <t>Audit Generation</t>
  </si>
  <si>
    <t>The information system:
a. Provides audit record generation capability for the auditable events defined in AU-2 a. at all information systems and network components;
b. Allows only the ISSM/ISSO to select which auditable events are to be audited by specific components of the information system; and
c. Generates audit records for the events defined in AU-2 d. with the content defined in AU-3.</t>
  </si>
  <si>
    <t>a. [Workload Approach: AuditGeneration]
b. The [WC] ISSM selects which auditbale events are audited.
c. [Workload Apporach: Audit Generation]</t>
  </si>
  <si>
    <t>AU-12(1)</t>
  </si>
  <si>
    <t>SYSTEM-WIDE / TIME-CORRELATED AUDIT TRAIL</t>
  </si>
  <si>
    <t>The information system compiles audit records from all IS components into a system-wide (logical or physical) audit trail that is time-correlated to within the tolerance defined in AU-8.</t>
  </si>
  <si>
    <t>[Workload Approach: AuditTrail]</t>
  </si>
  <si>
    <t>AU-12(3)</t>
  </si>
  <si>
    <t>CHANGES BY AUTHORIZED INDIVIDUALS</t>
  </si>
  <si>
    <t>The information system provides the capability for only the ISSM/ISSO to change the auditing to be performed on identified information system components based on explicit AO/DAO/PSO direction within minutes.</t>
  </si>
  <si>
    <t>[Workload Approach: AuditChange]</t>
  </si>
  <si>
    <t>AU-14</t>
  </si>
  <si>
    <t>Session Audit</t>
  </si>
  <si>
    <t>The information system provides the capability for authorized users to select a user session to capture/record or view/hear.</t>
  </si>
  <si>
    <t xml:space="preserve">T </t>
  </si>
  <si>
    <t>[Workload Approach: SessionAudit]</t>
  </si>
  <si>
    <t>AU-14(1)</t>
  </si>
  <si>
    <t>SYSTEM START-UP</t>
  </si>
  <si>
    <t>The information system initiates session audits at system start-up.</t>
  </si>
  <si>
    <t>[WC] initiates session audits at system start-up.</t>
  </si>
  <si>
    <t>AU-14(2)</t>
  </si>
  <si>
    <t>CAPTURE/RECORD AND LOG CONTENT</t>
  </si>
  <si>
    <t>The information system provides the capability for authorized users to capture/record and log content related to a user session.</t>
  </si>
  <si>
    <t>[Workload Approach: SessionLog]</t>
  </si>
  <si>
    <t>AU-14(3)</t>
  </si>
  <si>
    <t>REMOTE VIEWING / LISTENING</t>
  </si>
  <si>
    <t>The information system provides the capability for authorized users to remotely view/hear all content related to an established user session in real time.</t>
  </si>
  <si>
    <t>AU-16</t>
  </si>
  <si>
    <t>Cross-Organizational Auditing</t>
  </si>
  <si>
    <t>The organization employs an ISA, SLA, or MOA for coordinating identified audit data among external organizations when audit information is transmitted across organizational boundaries.</t>
  </si>
  <si>
    <t>AU-16(1)</t>
  </si>
  <si>
    <t>IDENTITY PRESERVATION</t>
  </si>
  <si>
    <t>The organization requires that the identity of individuals be preserved in cross-organizational audit trails.</t>
  </si>
  <si>
    <t>AU-16(2)</t>
  </si>
  <si>
    <t>SHARING OF AUDIT INFORMATION</t>
  </si>
  <si>
    <t>The organization provides cross-organizational audit information to AO/DAO/PSO identified organizations based on documented audit sharing agreements.</t>
  </si>
  <si>
    <t>CA-1</t>
  </si>
  <si>
    <t>Security Assessment And Authorization Policies And Procedures</t>
  </si>
  <si>
    <t>The organization:
a. Develops, documents, and disseminates to all personnel having a role in Security Assessment and Authorizations:
1. A security assessment and authorization policy that addresses purpose, scope, roles, responsibilities, management commitment, coordination among organizational entities, and compliance; and
2. Procedures to facilitate the implementation of the security assessment and authorization policy and associated security assessment and authorization controls; and
b. Reviews and updates the current:
1. Security assessment and authorization policy at least annually i; and
2. Security assessment and authorization procedures at least annually.</t>
  </si>
  <si>
    <t>a. The organization has documented its security assessment &amp; authorization policies &amp; procedures in the JSIG and disseminates the JSIG to all personnel having a role in Security Assessment and Authorization.
b. [WC] will annually assess the JSIG for updates &amp; modifications.</t>
  </si>
  <si>
    <t>The LSO and the ISSM/ISSO are involved in setting security procedures for the operating environments for the IS via the SOP and other direction(s). These policies must be considered when assessing the security controls for the network.  The PSO will validate these processes during the compliance inspection.</t>
  </si>
  <si>
    <t>CA-2</t>
  </si>
  <si>
    <t>Security Assessments</t>
  </si>
  <si>
    <t>The organization:
a. Develops a security assessment plan that describes the scope of the assessment including:
1. Security controls and control enhancements under assessment;
2. Assessment procedures to be used to determine security control effectiveness; and
3. Assessment environment, assessment team, and assessment roles and responsibilities;
b. Assesses the security controls in the information system and its environment of operation at least annually, or as stipulated in the organization's continuous monitoring program to determine the extent to which the controls are implemented correctly, operating as intended, and producing the desired outcome with respect to meeting established security requirements;
c. Produces a security assessment report that documents the results of the assessment; and
d. Provides the results of the security control assessment to SCA at a minimum</t>
  </si>
  <si>
    <t>a. [WC] has developed the Security Assessment Plan, which describes the scope of the assessment &amp; defines the procedures to effectuate the process.  
b. Controls will be assessed in accordance with [DoD-component] continuous monitoring requirements.
c. The [WC] SCA will generate the security assessment report and provide the results to the [DoD-component] AO/DAO.
d. [WC] SCA provides results to the AO/DAO.</t>
  </si>
  <si>
    <t>The LSO will be involved in reviewing and assessing security related controls. The security assessment plan must include how to inspect security centric controls and expected level of PSO/GSSO/CPSO involvement in the process.</t>
  </si>
  <si>
    <t>CA-2(1)</t>
  </si>
  <si>
    <t>INDEPENDENT ASSESSORS</t>
  </si>
  <si>
    <t>The organization employs assessors or assessment teams with AO determined level of impartiality based on the risk assessment for the system to conduct security control assessments.</t>
  </si>
  <si>
    <t>[DoD-component] AO/DAO will evaluate the system with independent assessors as defined by [DoD-component] policy.</t>
  </si>
  <si>
    <t>CA-2(2)</t>
  </si>
  <si>
    <t>SPECIALIZED ASSESSMENTS</t>
  </si>
  <si>
    <t>The organization includes as part of security control assessments, [Assignment: organization-defined frequency], [Selection: announced; unannounced], [Selection (one or more): in-depth monitoring; vulnerability scanning; malicious user testing; insider threat assessment; performance/load testing; [Assignment: organization-defined other forms of security assessment]].</t>
  </si>
  <si>
    <t>Tailored-out: this control exceeds mission requirements</t>
  </si>
  <si>
    <t>CA-3</t>
  </si>
  <si>
    <t>System Interconnections</t>
  </si>
  <si>
    <t>The organization:
a. Authorizes connections from the information system to other information systems through the use of Interconnection Security Agreements;
b. Documents, for each interconnection, the interface characteristics, security requirements, and the nature of the information communicated; and
c. Reviews and updates Interconnection Security Agreements at least annually.</t>
  </si>
  <si>
    <t>+ER</t>
  </si>
  <si>
    <t xml:space="preserve">The LSO will collaborate with the ISSM/ISSO on ISAs to ensure that personnel clearances/accesses and physical security considerations are taken into account when documenting system interconnections. PSO and AO must authorize all system interconnections. </t>
  </si>
  <si>
    <t>CA-3(1)</t>
  </si>
  <si>
    <t>UNCLASSIFIED NATIONAL SECURITY SYSTEM CONNECTIONS</t>
  </si>
  <si>
    <t>The organization prohibits the direct connection of any/all unclassified NSS to an external network without the use of an AO/DAO approved Controlled Interface/boundary protection device.</t>
  </si>
  <si>
    <t>CA-3(2)</t>
  </si>
  <si>
    <t>CLASSIFIED NATIONAL SECURITY SYSTEM CONNECTIONS</t>
  </si>
  <si>
    <t>The organization prohibits the direct connection of a classified, national security system to an external network without the use of an AO/DAO approved Controlled Interface/boundary protection device.</t>
  </si>
  <si>
    <t>CA-3(5)</t>
  </si>
  <si>
    <t>RESTRICTIONS ON EXTERNAL SYSTEM CONNECTIONS</t>
  </si>
  <si>
    <t>The organization employs deny-all, permit-by-exception policy for allowing all systems to connect to external information systems.</t>
  </si>
  <si>
    <t>CA-5</t>
  </si>
  <si>
    <t>Plan Of Action And Milestones</t>
  </si>
  <si>
    <t>The organization:
a. Develops a plan of action and milestones for the information system to document the organization’s planned remedial actions to correct weaknesses or deficiencies noted during the assessment of the security controls and to reduce or eliminate known vulnerabilities in the system; and
b. Updates existing plan of action and milestones at least quarterly based on the findings from security controls assessments, security impact analyses, and continuous monitoring activities.</t>
  </si>
  <si>
    <t>a. [WC] will draft a POAM to track the remediation of weakness or deficiencies noted during the assessment.
b. The [WC] ISSM will update the POA&amp;M at least quarterly.</t>
  </si>
  <si>
    <t xml:space="preserve">LSOs have an action/coordination role if a finding on the SAR identifies a deficiency in a security related control. The PSO will facilitate POAM updates and tracking for security related controls. </t>
  </si>
  <si>
    <t>CA-6</t>
  </si>
  <si>
    <t>Security Authorization</t>
  </si>
  <si>
    <t>The organization:
a. Assigns a senior-level executive or manager as the authorizing official for the information system;
b. Ensures that the authorizing official authorizes the information system for processing before commencing operations; and
c. Updates the security authorization if the organization and/or system is adequately covered by a continuous monitoring program the Security Authorization may be continuously updated: If not; at least every three (3) years, when significant security breaches occur, whenever there is a significant change to the system, or to the environment in which the system operates.</t>
  </si>
  <si>
    <t>a. [WC IA Designation Letter assigns IA responsibilities including the authorizing official. 
b. The [WC] ISSM will ensure the system is not operated prior to official approval from the AO. A Fences workload can only be operated in the "published" status which is managed by the Fences operations staff.
c. [Workload defined ConMon narrative]</t>
  </si>
  <si>
    <t xml:space="preserve">LSO is aware of the ATO status of all information systems in their facilities. LSO will have awareness of who the AO is for a particular system. </t>
  </si>
  <si>
    <t>CA-7</t>
  </si>
  <si>
    <t>Continuous Monitoring</t>
  </si>
  <si>
    <t>The organization develops a continuous monitoring strategy and implements a continuous monitoring program that includes:
a. Establishment of which controls to monitor; who performed the monitoring action; how the control was monitored; when the monitoring occurred; and the monitoring results;
b. Establishment of JSIG/SAP-compliant frequencies for monitoring and JSIG/SAP-compliant frequencies for assessments supporting such monitoring;
c. Ongoing security control assessments in accordance with the organizational continuous monitoring strategy;
d. Ongoing security status monitoring of organization-defined metrics in accordance with the organizational continuous monitoring strategy;
e. Correlation and analysis of security-related information generated by assessments and monitoring;
f. Response actions to address results of the analysis of security-related information; and
g. Reporting the security status of organization and the information system to the ISO, SCA, and AO/DAO at least annually or when there is a significant change to the system, or to the environment in which the system operates.</t>
  </si>
  <si>
    <t>[Workload defined ConMon narrative]</t>
  </si>
  <si>
    <t>LSO will be involved in developing and understanding the continuous monitoring process, to include monitoring security centric controls and potential insider threat implications. Policy for ConMon should include when the PSO will be notified of potential issues.</t>
  </si>
  <si>
    <t>CA-7(1)</t>
  </si>
  <si>
    <t>INDEPENDENT ASSESSMENT</t>
  </si>
  <si>
    <t>The organization employs assessors or assessment teams with an AO/DAO- defined level of independence to monitor the security controls in the information system on an ongoing basis.</t>
  </si>
  <si>
    <t>The [WC] will be assessed by [DoD-component] SCAs. Results of ConMon activities will be made available to [DoDcomponent] AO/DAO.</t>
  </si>
  <si>
    <t>CA-9</t>
  </si>
  <si>
    <t xml:space="preserve">Internal System Connections </t>
  </si>
  <si>
    <t>The organization:
a. Authorizes internal connections of identified device classes in accordance with the System Security Plan to the information system; and
b. Documents, for each internal connection, the interface characteristics, security requirements, and the nature of the information communicated.</t>
  </si>
  <si>
    <t>CM-1</t>
  </si>
  <si>
    <t>Configuration Management Policy And Procedures</t>
  </si>
  <si>
    <t>The organization:
a. Develops, documents, and disseminates to all personnel having a role in Configuration Management:
1. A configuration management policy that addresses purpose, scope, roles, responsibilities, management commitment, coordination among organizational entities, and compliance; and
2. Procedures to facilitate the implementation of the configuration management policy and associated configuration management controls; and
b. Reviews and updates the current:
1. Configuration management policy at least annually; and
2. Configuration management procedures at least annually.</t>
  </si>
  <si>
    <t>a. [WC] has developed the [WC Configuration Management Plan] which documents the configuration management policies and procedures. The [WC Configuration Management Plan] is disseminated to all personnel having a role in the configuration management process.
b. The configuration management policies and procedures are reviewed annually.</t>
  </si>
  <si>
    <t>LSO will collaborate with the ISSM/ISSO on the configuration management policies, procedures, and the change process. PSO will be aware of configuration management policies that involve entry and exit of material and coordinate security relevant changes on the system with the AO/SCA.</t>
  </si>
  <si>
    <t>CM-2</t>
  </si>
  <si>
    <t>Baseline Configuration</t>
  </si>
  <si>
    <t>The organization develops, documents, and maintains under configuration control, a current baseline configuration of the information system.</t>
  </si>
  <si>
    <t>CM-2(1)</t>
  </si>
  <si>
    <t>The organization reviews and updates the baseline configuration of the information system:
(a) At least annually;
(b) When required due to significant or security relevant changes or security incidents occur; and
(c) As an integral part of information system component installations and upgrades.</t>
  </si>
  <si>
    <t>In accordance with the [WC Configuration Management Plan], the organization reviews and updates the baseline configuration at least annually, when required due to significant or security relavent changes, and as integral componenent installations/configurations occur.</t>
  </si>
  <si>
    <t>CM-2(3)</t>
  </si>
  <si>
    <t>RETENTION OF PREVIOUS CONFIGURATIONS</t>
  </si>
  <si>
    <t>The organization retains at least two previous versions of baseline configurations of the information system to support rollback.</t>
  </si>
  <si>
    <t>[Workload Approach: CMBaseline]</t>
  </si>
  <si>
    <t>CM-2(7)</t>
  </si>
  <si>
    <t>CONFIGURE SYSTEMS, COMPONENTS, OR DEVICES FOR HIGH-RISK AREAS</t>
  </si>
  <si>
    <t>The organization:
(a) Issues [Assignment: organization-defined information systems, system components, or devices] with [Assignment: organization-defined configurations] to individuals traveling to locations that the organization deems to be of significant risk; and
(b) Applies [Assignment: organization-defined security safeguards] to the devices when the individuals return.</t>
  </si>
  <si>
    <t xml:space="preserve">The system does not contain any external devices. </t>
  </si>
  <si>
    <t>LSO and ISSM/ISSO will ensure and document there are procedures in place to assess equipment that needs to operate in high risk areas. This will be documented in the facility SOP, media handling procedures, Security Test Plan, or other policy. PSO will validate these procedures are being followed and will approve procedures as necessary. PSO will collaborate with AO and validate/authorize procedures.</t>
  </si>
  <si>
    <t>CM-3</t>
  </si>
  <si>
    <t>Configuration Change Control</t>
  </si>
  <si>
    <t>The organization:
a. Determines the types of changes to the information system that are configuration-controlled;
b. Reviews proposed configuration-controlled changes to the information system and approves or disapproves such changes with explicit consideration for security impact analyses;
c. Documents configuration change decisions associated with the information system;
d. Implements approved configuration-controlled changes to the information system;
e. Retains records of configuration-controlled changes to the information system for one (1) year or one (1) security review cycle, whichever is longer;
f. Audits and reviews activities associated with configuration-controlled changes to the information system; and
g. Coordinates and provides oversight for configuration change control activities through a formal Configuration Control Board (CCB) that convenes at a minimum of monthly, or as circumstances require.</t>
  </si>
  <si>
    <t>[Workload defined CCB procedures]
Ref: [WC Configuration Management Plan]</t>
  </si>
  <si>
    <t>CM-3(2)</t>
  </si>
  <si>
    <t>TEST / VALIDATE / DOCUMENT CHANGES</t>
  </si>
  <si>
    <t>The organization tests, validates, and documents changes to the information system before implementing the changes on the operational system.</t>
  </si>
  <si>
    <t>In accordance with the [WC Configuration Management Plan] all changes are tested, validated, and documented before being implemented in Production.</t>
  </si>
  <si>
    <t>CM-3(4)</t>
  </si>
  <si>
    <t>SECURITY REPRESENTATIVE</t>
  </si>
  <si>
    <t>The organization requires an information security representative to be a member of the configuration change control element defined in CM-3 g.</t>
  </si>
  <si>
    <t>The [WC] ISSM is a voting memeber of the CCB.</t>
  </si>
  <si>
    <t>CM-3(6)</t>
  </si>
  <si>
    <t>CRYPTOGRAPHY MANAGEMENT</t>
  </si>
  <si>
    <t>The organization ensures that cryptographic mechanisms used to provide safeguarding of classified information from unauthorized access or modification are under configuration management.</t>
  </si>
  <si>
    <t>Inherited from Fences.</t>
  </si>
  <si>
    <t>CM-4</t>
  </si>
  <si>
    <t>Security Impact Analysis</t>
  </si>
  <si>
    <t>The organization analyzes changes to the information system to determine potential security impacts prior to change implementation.</t>
  </si>
  <si>
    <t>In accordance with the [WC Configuration Management Plan] security impact analysis is conducted before changes are implemented in Production.</t>
  </si>
  <si>
    <t>CM-4(1)</t>
  </si>
  <si>
    <t>SEPARATE TEST ENVIRONMENTS</t>
  </si>
  <si>
    <t>The organization analyzes changes to the information system in a separate test environment before implementation in an operational environment, looking for security impacts due to flaws, weaknesses, incompatibility, or intentional malice.</t>
  </si>
  <si>
    <t>[Workload Approach: TestEnvironments]</t>
  </si>
  <si>
    <t>CM-5</t>
  </si>
  <si>
    <t>Access Restrictions For Change</t>
  </si>
  <si>
    <t xml:space="preserve">The organization defines, documents, approves, and enforces physical and logical access restrictions associated with changes to the information system. </t>
  </si>
  <si>
    <t xml:space="preserve">LSO and the ISSM/ISSO will develop and enforce policies and procedures that limit physical and logical access to the system. </t>
  </si>
  <si>
    <t>CM-5(1)</t>
  </si>
  <si>
    <t>AUTOMATED ACCESS ENFORCEMENT / AUDITING</t>
  </si>
  <si>
    <t>The information system enforces access restrictions and supports auditing of the enforcement actions.</t>
  </si>
  <si>
    <t xml:space="preserve">[WC] access enforcement is accomplished by logical user &amp; role restrictions. All system access is logged and monitored for near-real time analysis and post event analysis. </t>
  </si>
  <si>
    <t>CM-5(2)</t>
  </si>
  <si>
    <t>REVIEW SYSTEM CHANGES</t>
  </si>
  <si>
    <t>The organization reviews information system changes every 90 days or more frequently as the organization defines for high integrity systems AND at least annually or more frequently as the organization defines for low integrity and moderate integrity systems and when there is an incident or when planned changes have been performed to determine whether unauthorized changes have occurred.</t>
  </si>
  <si>
    <t>[Workload Approach: SystemReview]</t>
  </si>
  <si>
    <t>CM-5(5)</t>
  </si>
  <si>
    <t>LIMIT PRODUCTION / OPERATIONAL PRIVILEGES</t>
  </si>
  <si>
    <t>The organization:
(a) Limits privileges to change information system components and system-related information within a production or operational environment; and
(b) Reviews and reevaluates privileges at least quarterly.</t>
  </si>
  <si>
    <t>a. [Workload Approach: LeastPriv]
b. The ISSM reevaluates privileges quarterly.</t>
  </si>
  <si>
    <t>CM-5(6)</t>
  </si>
  <si>
    <t>LIMIT LIBRARY PRIVILEGES</t>
  </si>
  <si>
    <t>The organization limits privileges to change software resident within software libraries.</t>
  </si>
  <si>
    <t>CM-6</t>
  </si>
  <si>
    <t>Configuration Settings</t>
  </si>
  <si>
    <t>The organization:
a. Establishes and documents configuration settings for information technology products employed within the information system using organizationally approved guides such as DoD SRGs, STIGs, NIST Security Configuration Checklists, Service specific guidance or NSA SCGs; if such a reference document is not available, the following are acceptable in descending order as available: (1) Commercially accepted practices (e.g., SANS) (2) Independent testing results (e.g., ICSA) or (3) Vendor literature that reflect the most restrictive mode consistent with operational requirements;
b. Implements the configuration settings;
c. Identifies, documents, and approves any deviations from established configuration settings for all configurable information system components based on operational requirements and AO/DAO approval; and
d. Monitors and controls changes to the configuration settings in accordance with organizational policies and procedures.</t>
  </si>
  <si>
    <t>CM-6(1)</t>
  </si>
  <si>
    <t>AUTOMATED CENTRAL MANAGEMENT / APPLICATION / VERIFICATION</t>
  </si>
  <si>
    <t>The organization employs automated mechanisms to centrally manage, apply, and verify configuration settings for all IS components.</t>
  </si>
  <si>
    <t>CM-7</t>
  </si>
  <si>
    <t>Least Functionality</t>
  </si>
  <si>
    <t xml:space="preserve">The organization:
a. Configures the information system to provide only essential capabilities; and
b. Prohibits or restricts the use of the following functions, ports, protocols, and/or services: Ports, Protocols, and Services Management (PPSM) shall be accomplished IAW DoDI 8551.1; DISA STIGS shall be used to harden the IS; and access to security relevant functions, configuration tools, and I/O ports shall be strictly limited .
</t>
  </si>
  <si>
    <t>CM-7(1)</t>
  </si>
  <si>
    <t>PERIODIC REVIEW</t>
  </si>
  <si>
    <t>The organization:
(a) Reviews the information system at least annually or as system changes or incidents occur to identify unnecessary and/or nonsecure functions, ports, protocols, and services; and
(b) Disables all functions, ports, protocols, and services within the information system deemed to be unnecessary and/or nonsecure.</t>
  </si>
  <si>
    <t>CM-7(2)</t>
  </si>
  <si>
    <t>PREVENT PROGRAM EXECUTION</t>
  </si>
  <si>
    <t>The information system prevents program execution in accordance with the folowing: program execution shall only occur in specifically identified program folders (e.g., C:\Program Files(x86)\McAfee\VirusScan Enterprise) and shall not occur in temporary locations, home directories, or via removable media.</t>
  </si>
  <si>
    <t>CM-7(3)</t>
  </si>
  <si>
    <t>REGISTRATION COMPLIANCE</t>
  </si>
  <si>
    <t>The organization ensures compliance with DoDI 8551.1 and documents, in the SSP, the specific PPSM employed for the system.</t>
  </si>
  <si>
    <t>[WC] PPS are documented in the [WC] System Security Plan.</t>
  </si>
  <si>
    <t>CM-7(5)</t>
  </si>
  <si>
    <t>AUTHORIZED SOFTWARE / WHITELISTING</t>
  </si>
  <si>
    <t>The organization:
(a) Identifies, and maintains in the SSP, the list of software programs authorized to execute on the information system (commonly referred to as whitelisting);
(b) Employs a deny-all, permit-by-exception policy to allow the execution of authorized software programs on the information system; and
(c) Reviews and updates the list of authorized software programs at least annually.</t>
  </si>
  <si>
    <t>a. The [WC] SSP contains an approved software list
b. By policy, [WC] employs a deny-all, permit-by-excpetion policy for the execution of software.
c. The [WC] ISSM reviews and updates the authorized software list at lest anually.</t>
  </si>
  <si>
    <t>CM-8</t>
  </si>
  <si>
    <t>Information System Component Inventory</t>
  </si>
  <si>
    <t>The organization:
a. Develops and documents an inventory of information system components that:
1. Accurately reflects the current information system;
2. Includes all components within the authorization boundary of the information system;
3. Is at the level of granularity deemed necessary for tracking and reporting; and
4. Includes minimally but not limited to: hardware specifications (manufacturer, type, model, serial number, physical location), software and software license information, information system/component owner, and for a networked component/device, the machine name; and
b. Reviews and updates the information system component inventory at least annually.</t>
  </si>
  <si>
    <t>a. 
b.</t>
  </si>
  <si>
    <t xml:space="preserve">LSO will collaborate with ISSM/ISSO to ensure that all classified components are entered into the control or accountability systems, in accordance with the DoD 5205.07 Vol 1. LSO and ISSM will ensure process for IS component inventory is documented and approved. PSO validates compliance during security compliance inspections. </t>
  </si>
  <si>
    <t>CM-8(1)</t>
  </si>
  <si>
    <t>UPDATES DURING INSTALLATIONS / REMOVALS</t>
  </si>
  <si>
    <t>The organization updates the inventory of information system components as an integral part of component installations, removals, and information system updates.</t>
  </si>
  <si>
    <t>The [WC] inventory is updated as componenets are installed, removed, or undergo undpates.</t>
  </si>
  <si>
    <t>CM-8(2)</t>
  </si>
  <si>
    <t>AUTOMATED MAINTENANCE</t>
  </si>
  <si>
    <t>The organization employs automated mechanisms to help maintain an up-to-date, complete, accurate, and readily available inventory of information system components.</t>
  </si>
  <si>
    <t>CM-8(3)</t>
  </si>
  <si>
    <t>AUTOMATED UNAUTHORIZED COMPONENT DETECTION</t>
  </si>
  <si>
    <t>The organization:
(a) Employs automated mechanisms continuously to detect the presence of unauthorized hardware, software, and firmware components within the information system; and
(b) Takes the following actions when unauthorized components are detected: disables unauthorized components from the IS immediately; initiates IR-4, and notifies the ISO and AO/DAO within 24 hours.</t>
  </si>
  <si>
    <t>a. [Workload Approach: UnauthorizedDetection]
b. When unauthorized hardware, software, or firmware components are detected on the infomration system, the [WC] ISSM disables unaithroized components immediately, initates the Incident Response Plan, and notifies the ISO and AO within 24 horus.</t>
  </si>
  <si>
    <t>CM-8(5)</t>
  </si>
  <si>
    <t>NO DUPLICATE ACCOUNTING OF COMPONENTS</t>
  </si>
  <si>
    <t>The organization verifies that all components within the authorization boundary of the information system are not duplicated in other information system component inventories.</t>
  </si>
  <si>
    <t>CM-9</t>
  </si>
  <si>
    <t>Configuration Management Plan</t>
  </si>
  <si>
    <t xml:space="preserve">The organization develops, documents, and implements a configuration management plan for the information system that:
a. Addresses roles, responsibilities, and configuration management processes and procedures;
b. Establishes a process for identifying configuration items throughout the system development life cycle and for managing the configuration of the configuration items;
c. Defines the configuration items for the information system and places the configuration items under configuration management; and
d. Protects the configuration management plan from unauthorized disclosure and modification. </t>
  </si>
  <si>
    <t xml:space="preserve">a. The [WC Configuration Management Plan] outlines the roles, responsibilities, and configuration management processess and procedures.
b. The [WC Configuration Management Plan] identifies configuration items throughout the SDLC.
c. The [WC Configuration Management Plan] defines configuration items and places them under configuration management.
d. 
Ref: [WC Configuration Management Plan] </t>
  </si>
  <si>
    <t>The LSO and ISSM/ISSO will be aware of the CM plan and the assigned roles and responsibilities within the plan. The LSO will ensure that security roles and responsibilities are included in the CM Plan, as applicable.</t>
  </si>
  <si>
    <t>CM-10</t>
  </si>
  <si>
    <t>Software Usage Restrictions</t>
  </si>
  <si>
    <t>The organization:
a. Uses software and associated documentation in accordance with contract agreements and copyright laws;
b. Tracks the use of software and associated documentation protected by quantity licenses to control copying and distribution; and
c. Controls and documents the use of peer-to-peer file sharing technology to ensure that this capability is not used for the unauthorized distribution, display, performance, or reproduction of copyrighted work.</t>
  </si>
  <si>
    <t>a. [WC]  uses third-party software and documentation in accordance with the specific contract agreements and copyright laws;
b. [WC] tracks the use of software licenses in the Software Inventory spreadsheet,
c. [WC] controls the use of file sharing technology to ensure only authorized [WC] team members are allowed access.  [WC] personnel are trained in the acceptable use of licensed software.</t>
  </si>
  <si>
    <t>CM-10(1)</t>
  </si>
  <si>
    <t>OPEN SOURCE SOFTWARE</t>
  </si>
  <si>
    <t>The organization establishes the following restrictions on the use of open source software: open source software must be a mission requirement, is formally requested, and explicitly authorized by the AO/DAO.</t>
  </si>
  <si>
    <t>CM-11</t>
  </si>
  <si>
    <t>User-Installed Software</t>
  </si>
  <si>
    <t>The organization:
a. Establishes policies prohibiting general users from installing software;
b. Enforces software installation policies through technical controls implemented on the system; and
c. Monitors policy compliance at continuous monitoring interval.</t>
  </si>
  <si>
    <t>a. By policy, [WC] prohibits general users rom installing software.
b. [Workload Approach: SoftwareInstallation]
c. The [WC] ISSM monitors compliance.</t>
  </si>
  <si>
    <t>CM-11(2)</t>
  </si>
  <si>
    <t>PROHIBIT INSTALLATION WITHOUT PRIVILEGED STATUS</t>
  </si>
  <si>
    <t>The information system prohibits user installation of software without explicit privileged status.</t>
  </si>
  <si>
    <t>[Workload Approach: SoftwareInstallation]</t>
  </si>
  <si>
    <t>CP-1</t>
  </si>
  <si>
    <t>Contingency Planning Policy And Procedures</t>
  </si>
  <si>
    <t>The organization:
a. Develops, documents, and disseminates to all personnel having a role in Contingency Planning:
1. A contingency planning policy that addresses purpose, scope, roles, responsibilities, management commitment, coordination among organizational entities, and compliance; and
2. Procedures to facilitate the implementation of the contingency planning policy and associated contingency planning controls; and
b. Reviews and updates the current:
1. Contingency planning policy at least annually; and
2. Contingency planning procedures at least annually.</t>
  </si>
  <si>
    <t>a. [WC] has developed the [WC Contingency Plan] which documents the contingency policies and procedures. The [WC Contingency Plan] is disseminated to all personnel having a role in the contingency process.
b. The contingency policies and procedures are reviewed annually.</t>
  </si>
  <si>
    <t xml:space="preserve">LSO is involved in ensuring that security policy is incorporated within the contingency plan procedures. Security inputs will be provided to the ISSM/ISSO for inclusion in contingency plans. </t>
  </si>
  <si>
    <t>CP-2</t>
  </si>
  <si>
    <t>Contingency Plan</t>
  </si>
  <si>
    <t>The organization:
a. Develops a contingency plan for the information system that:
1. Identifies essential missions and business functions and associated contingency requirements;
2. Provides recovery objectives, restoration priorities, and metrics;
3. Addresses contingency roles, responsibilities, assigned individuals with contact information;
4. Addresses maintaining essential missions and business functions despite an information system disruption, compromise, or failure; 
5. Addresses eventual, full information system restoration without deterioration of the security safeguards originally planned and implemented; and
6. Is reviewed and approved by the ISO;
b. Distributes copies of the contingency plan to key personnel or roles and organizational elements identified in the contingency plan;
c. Coordinates contingency planning activities with incident handling activities;
d. Reviews the contingency plan for the information system at least annually;
e. Updates the contingency plan to address changes to the organization, information system, or environment of operation and problems encountered during contingency plan implementation, execution, or testing;
f. Communicates contingency plan changes to key personnel and organizational elements identified in the contingency plan; and
g. Protects the contingency plan from unauthorized disclosure and modification.</t>
  </si>
  <si>
    <t>a. The [WC Contingency Plan] identifies essential missions and business function, provides recovery objectives and priorities, addresses roles and responsibilities, addresses full system restoration, and is reviewed and approved by the ISO.
b. The [WC] ISSM distributes copies of the contingency plan to key personnel or roles and organizational elements identified in the contingency plan
c. [WC] cooridnates contingency planning activities with incident handling activities
d. The ISSM reviews the Contingency Plan annually
e. The contingency plan is updated to address changes to the organization, information system, or environment of operation and problems encountered during contingency plan implementation, execution, or testing
f. The [WC] ISSM communicates contingency plan changes to key personnel identified in the contingency plan
g. The [WC] Contingency Plan is protected from unauthorized disclosure and modification by being stored in an ACL'd folder.</t>
  </si>
  <si>
    <t>LSO ensures that security is involved in developing the security related aspects, requirements, and responsibilities are clearly outlined in the contingency plan(e.g., facility accreditations for alternate storage site and asset risk management). In the event a contingency plan is necessary, the LSO is responsible for ensuring security availability and thus appropriate contact information should be provided in the plan.</t>
  </si>
  <si>
    <t>CP-2(1)</t>
  </si>
  <si>
    <t>COORDINATE WITH RELATED PLANS</t>
  </si>
  <si>
    <t>The organization coordinates contingency plan development with organizational elements responsible for related plans.</t>
  </si>
  <si>
    <t>[WC] coordinates with the Fences PaaS ISSM and Operations Lead</t>
  </si>
  <si>
    <t>CP-2(3)</t>
  </si>
  <si>
    <t>RESUME ESSENTIAL MISSIONS / BUSINESS FUNCTIONS</t>
  </si>
  <si>
    <t>The organization plans for the resumption of essential missions and business functions within a time period as defined in the contingency plan of contingency plan activation.</t>
  </si>
  <si>
    <t>CP-2(8)</t>
  </si>
  <si>
    <t>IDENTIFY CRITICAL ASSETS</t>
  </si>
  <si>
    <t>The organization identifies critical information system assets supporting essential missions and business functions.</t>
  </si>
  <si>
    <t>[WC] critical information system components supporting essential missions and functions are identified in its Contingency Plan.</t>
  </si>
  <si>
    <t>CP-3</t>
  </si>
  <si>
    <t>Contingency Training</t>
  </si>
  <si>
    <t>The organization provides contingency training to information system users consistent with assigned roles and responsibilities: 
a. Within ten (10) working days of assuming a contingency role or responsibility;
b. When required by information system changes; and
c. Annually or as defined in the contingency plan thereafter.</t>
  </si>
  <si>
    <t>CP-4</t>
  </si>
  <si>
    <t>Contingency Plan Testing</t>
  </si>
  <si>
    <t>The organization:
a. Tests the contingency plan for the information system annually using documented tests as defined in the contingency plan to determine the effectiveness of the plan and the organizational readiness to execute the plan;
b. Reviews the contingency plan test results; and
c. Initiates corrective actions, if needed.</t>
  </si>
  <si>
    <t>ISSM/ISSO coordinates with the LSO when testing is occurring and at what site locations. LSO reviews results and determines the appropriate security related corrective action requirements.</t>
  </si>
  <si>
    <t>CP-4(1)</t>
  </si>
  <si>
    <t>The organization coordinates contingency plan testing with organizational elements responsible for related plans.</t>
  </si>
  <si>
    <t>[WC] coordinates contingency plan testing with Fences.</t>
  </si>
  <si>
    <t>CP-6</t>
  </si>
  <si>
    <t>Alternate Storage Site</t>
  </si>
  <si>
    <t>The organization:
a. Establishes an alternate storage site including necessary agreements to permit the storage and retrieval of information system backup information; and
b. Ensures that the alternate storage site provides information security safeguards equivalent to that of the primary site.</t>
  </si>
  <si>
    <t>Inherited from Amazon C2S.</t>
  </si>
  <si>
    <t xml:space="preserve">LSO is responsible for site survey of potential alternative storage sites, creating transportation plans, and all related facility documentation (SOPs, FFCs etc.). The PSO is responsible for accreditation of the site, approving all related facility documentation, and providing the DD254 for alternative work location. Inputs will be provided to the ISSM/ISSO. </t>
  </si>
  <si>
    <t>CP-6(1)</t>
  </si>
  <si>
    <t>SEPARATION FROM PRIMARY SITE</t>
  </si>
  <si>
    <t>The organization identifies an alternate storage site that is separated from the primary storage site to reduce susceptibility to the same threats.</t>
  </si>
  <si>
    <t>CP-6(3)</t>
  </si>
  <si>
    <t>ACCESSIBILITY</t>
  </si>
  <si>
    <t>The organization identifies potential accessibility problems to the alternate storage site in the event of an area-wide disruption or disaster and outlines explicit mitigation actions.</t>
  </si>
  <si>
    <t>CP-7</t>
  </si>
  <si>
    <t>Alternate Processing Site</t>
  </si>
  <si>
    <t>The organization:
a. Establishes an alternate processing site including necessary agreements to permit the transfer and resumption of information system operations as defined in the contingency plan for essential missions/business functions within a time period as defined in the contingency plan when the primary processing capabilities are unavailable;
b. Ensures that equipment and supplies required to transfer and resume operations are available at the alternate processing site or contracts are in place to support delivery to the site within the organization-defined time period for transfer/resumption; and
c. Ensures that the alternate processing site provides information security safeguards equivalent to that of the primary site.</t>
  </si>
  <si>
    <t xml:space="preserve">LSO is responsible for site survey of potential alternative storage sites, creating transportation plans, and all related facility documentation (SOPs, FFCs etc.). The PSO is responsible for accreditation of the site, approving all related facility documentation, and providing the DD254 for alternative work location.  Inputs will be provided to the ISSM/ISSO. </t>
  </si>
  <si>
    <t>CP-7(1)</t>
  </si>
  <si>
    <t>The organization identifies an alternate processing site that is separated from the primary processing site to reduce susceptibility to the same threats</t>
  </si>
  <si>
    <t>CP-7(2)</t>
  </si>
  <si>
    <t>The organization identifies potential accessibility problems to the alternate processing site in the event of an area-wide disruption or disaster and outlines explicit mitigation actions.</t>
  </si>
  <si>
    <t>CP-7(3)</t>
  </si>
  <si>
    <t>PRIORITY OF SERVICE</t>
  </si>
  <si>
    <t>The organization develops alternate processing site agreements that contain priority-of-service provisions in accordance with organizational availability requirements (including recovery time objectives).</t>
  </si>
  <si>
    <t>CP-8</t>
  </si>
  <si>
    <t>Telecommunications Services</t>
  </si>
  <si>
    <t>The organization establishes alternate telecommunications services including necessary agreements to permit the resumption of information system operations as defined in the contingency plan] for essential missions and business functions within a time period as defined in the contingency plan when the primary telecommunications capabilities are unavailable at either the primary or alternate processing or storage sites.</t>
  </si>
  <si>
    <t>CP-8(1)</t>
  </si>
  <si>
    <t>PRIORITY OF SERVICE PROVISIONS</t>
  </si>
  <si>
    <t>The organization:
(a) Develops primary and alternate telecommunications service agreements that contain priority-of-service provisions in accordance with organizational availability requirements (including recovery time objectives); and
(b) Requests Telecommunications Service Priority for all telecommunications services used for national security emergency preparedness in the event that the primary and/or alternate telecommunications services are provided by a common carrier.</t>
  </si>
  <si>
    <t>CP-8(2)</t>
  </si>
  <si>
    <t>SINGLE POINTS OF FAILURE</t>
  </si>
  <si>
    <t xml:space="preserve">The organization obtains alternate telecommunications services to reduce the likelihood of sharing a single point of failure with primary telecommunications services. </t>
  </si>
  <si>
    <t>Inherited:
Fences is Non-Compliant with this control. As a result, [WC] inherits non-compliance.</t>
  </si>
  <si>
    <t>CP-9</t>
  </si>
  <si>
    <t>Information System Backup</t>
  </si>
  <si>
    <t>The organization:
a. Conducts backups of user-level information contained in the information system at least weekly or as defined in the contingency plan;
b. Conducts backups of system-level information contained in the information system at least weekly or as defined in the contingency plan;
c. Conducts backups of information system documentation including security-related documentation when created, received, updated, or as defined in the contingency plan or at least annually; and  
d. Protects the confidentiality, integrity, and availability of backup information at storage locations.</t>
  </si>
  <si>
    <t>CP-9(1)</t>
  </si>
  <si>
    <t>TESTING FOR RELIABILITY / INTEGRITY</t>
  </si>
  <si>
    <t>The organization tests backup information at least monthly or as defined in the contingency plan to verify media reliability and information integrity.</t>
  </si>
  <si>
    <t>CP-9(5)</t>
  </si>
  <si>
    <t>TRANSFER TO ALTERNATE STORAGE SITE</t>
  </si>
  <si>
    <t>The organization transfers information system backup information to the alternate storage site in near real time and constantly replicated..</t>
  </si>
  <si>
    <t>CP-10</t>
  </si>
  <si>
    <t>Information System Recovery And Reconstitution</t>
  </si>
  <si>
    <t>The organization provides for the recovery and reconstitution of the information system to a known state after a disruption, compromise, or failure.</t>
  </si>
  <si>
    <t>[Customer workload defind]
Inherited:
Fences PaaS provides for reconstitution of the IaaS components of the workload.</t>
  </si>
  <si>
    <t>CP-10(2)</t>
  </si>
  <si>
    <t>TRANSACTION RECOVERY</t>
  </si>
  <si>
    <t>The information system implements transaction recovery for systems that are transaction-based.</t>
  </si>
  <si>
    <t>Inherited from Fences:
Fences is able to restore database transactions from the latest snapshot.</t>
  </si>
  <si>
    <t>IA-1</t>
  </si>
  <si>
    <t>Identification And Authentication Policy And Procedures</t>
  </si>
  <si>
    <t>The organization:
a. Develops, documents, and disseminates to all personnel having a role in Identification and Authentication:
1. An identification and authentication policy that addresses purpose, scope, roles, responsibilities, management commitment, coordination among organizational entities, and compliance; and
2. Procedures to facilitate the implementation of the identification and authentication policy and associated identification and authentication controls; and
b. Reviews and updates the current:
1. Identification and authentication policy at least annually; and
2. Identification and authentication procedures at least annually.</t>
  </si>
  <si>
    <t>a. [WC] has document its Identification and Authentication Policy and Procedures in the [WC Acees Control Plan] and disseminates the [WC Access Control Plan] to all personal having a role in Identification and Authentication.
b. As defined in the [WC Access Control Plan], the ISSM will annually review the policies and procedures of the document and update the document as necessary.
Ref: [WC Access Control Plan]</t>
  </si>
  <si>
    <t xml:space="preserve">LSOs must collaborate with ISSM to ensure proper security measures are taken into consideration when writing the identification and authentication policy. For example, physical protection of tokens, password protection, and multifactor authentication. </t>
  </si>
  <si>
    <t>IA-2</t>
  </si>
  <si>
    <t>Identification And Authentication (Organizational Users)</t>
  </si>
  <si>
    <t>The information system uniquely identifies and authenticates organizational users (or processes acting on behalf of organizational users).</t>
  </si>
  <si>
    <t>[WC] organizational users are uniquely identified and authenticated by submitting [WC Approach: CredType] to the [WC] [WC Approach: DirectorySvc].
Ref: [WC Access Control Plan]</t>
  </si>
  <si>
    <t>LSO will be aware of identification and authentication requirements for an IS.</t>
  </si>
  <si>
    <t>IA-2(1)</t>
  </si>
  <si>
    <t>NETWORK ACCESS TO PRIVILEGED ACCOUNTS</t>
  </si>
  <si>
    <t>The information system implements multifactor authentication for network access to privileged accounts.</t>
  </si>
  <si>
    <t>[WC Approach: MFA]</t>
  </si>
  <si>
    <t>IA-2(2)</t>
  </si>
  <si>
    <t>NETWORK ACCESS TO NON-PRIVILEGED ACCOUNTS</t>
  </si>
  <si>
    <t>The information system implements multifactor authentication for network access to non-privileged accounts.</t>
  </si>
  <si>
    <t>IA-2(3)</t>
  </si>
  <si>
    <t>LOCAL ACCESS TO PRIVILEGED ACCOUNTS</t>
  </si>
  <si>
    <t>The information system implements multifactor authentication for local access to privileged accounts.</t>
  </si>
  <si>
    <t>IA-2(4)</t>
  </si>
  <si>
    <t>LOCAL ACCESS TO NON-PRIVILEGED ACCOUNTS</t>
  </si>
  <si>
    <t>The information system implements multifactor authentication for local access to non-privileged accounts.</t>
  </si>
  <si>
    <t>IA-2(5)</t>
  </si>
  <si>
    <t>GROUP AUTHENTICATION</t>
  </si>
  <si>
    <t>The organization requires individuals to be authenticated with an individual authenticator when a group authenticator is employed.</t>
  </si>
  <si>
    <t>[WC] does not use group authentication to access system resources.</t>
  </si>
  <si>
    <t>IA-2(8)</t>
  </si>
  <si>
    <t>NETWORK ACCESS TO PRIVILEGED ACCOUNTS - REPLAY RESISTANT</t>
  </si>
  <si>
    <t>The information system implements replay-resistant authentication mechanisms for network access to privileged accounts.</t>
  </si>
  <si>
    <t>[WC Approach: ReplayResistance]</t>
  </si>
  <si>
    <t>IA-2(9)</t>
  </si>
  <si>
    <t>NETWORK ACCESS TO NON-PRIVILEGED ACCOUNTS - REPLAY RESISTANT</t>
  </si>
  <si>
    <t>The information system implements replay-resistant authentication mechanisms for network access to non-privileged accounts.</t>
  </si>
  <si>
    <t>IA-2(11)</t>
  </si>
  <si>
    <t>REMOTE ACCESS - SEPARATE DEVICE</t>
  </si>
  <si>
    <t>The information system implements multifactor authentication for remote access to privileged and non-privileged accounts such that one of the factors is provided by a device separate from the system gaining access and the device meets PKI requirements as identified in CNSSP No. 25.</t>
  </si>
  <si>
    <t>[WC Approach: MFASeparation]</t>
  </si>
  <si>
    <t>IA-2(12)</t>
  </si>
  <si>
    <t>ACCEPTANCE OF PIV CREDENTIALS</t>
  </si>
  <si>
    <t>The information system accepts and electronically verifies Personal Identity Verification (PIV) credentials.</t>
  </si>
  <si>
    <t>[WC Approach: PIV]</t>
  </si>
  <si>
    <t>IA-3</t>
  </si>
  <si>
    <t>Device Identification And Authentication</t>
  </si>
  <si>
    <t>The information system uniquely identifies and authenticates all types of devices before establishing a network connection.</t>
  </si>
  <si>
    <t>[WC Approach: DeviceID]</t>
  </si>
  <si>
    <t xml:space="preserve">LSO must review and coordinate approval of the introduction of hardware to be connected to the IS. ISSM/ISSO will coordinate approval of all new devices connected to the IS with the PSO and AO.  </t>
  </si>
  <si>
    <t>IA-3(1)</t>
  </si>
  <si>
    <t>CRYPTOGRAPHIC BIDIRECTIONAL AUTHENTICATION</t>
  </si>
  <si>
    <t>The information system authenticates all IS devices before establishing a network connection using bidirectional authentication that is cryptographically based.</t>
  </si>
  <si>
    <t>[WC Approach: encryptBidiAuth]</t>
  </si>
  <si>
    <t>IA-4</t>
  </si>
  <si>
    <t>Identifier Management</t>
  </si>
  <si>
    <t>The organization manages information system identifiers by:
a. Receiving authorization from the ISO and/or CPSO/GPSO to assign an individual, group, role, or device identifier;
b. Selecting an identifier that identifies an individual, group, role, or device;
c. Assigning the identifier to the intended individual, group, role, or device;
d. Preventing reuse of identifiers for the life of the system for individuals, groups, roles; and
e. Disabling the identifier after a period not to exceed 90 days of inactivity for individuals, groups, or roles; not appropriate to define for device identifiers (e.g., media access control (MAC), Internet protocol (IP) addresses, or device-unique token identifiers).</t>
  </si>
  <si>
    <t>IA-4(4)</t>
  </si>
  <si>
    <t>IDENTIFY USER STATUS</t>
  </si>
  <si>
    <t>The organization manages individual identifiers by uniquely identifying each individual as a contractor, government (civilian, military), and/or foreign nationality as appropriate</t>
  </si>
  <si>
    <t>LSO will be aware of the characteristics which identify the status of individuals but do not play a role in deciding how to implement.</t>
  </si>
  <si>
    <t>IA-5</t>
  </si>
  <si>
    <t>Authenticator Management</t>
  </si>
  <si>
    <t>The organization manages information system authenticators by:
a. Verifying, as part of the initial authenticator distribution, the identity of the individual, group, role, or device receiving the authenticator;
b. Establishing initial authenticator content for authenticators defined by the organization;
c. Ensuring that authenticators have sufficient strength of mechanism for their intended use;
d. Establishing and implementing administrative procedures for initial authenticator distribution, for lost/compromised or damaged authenticators, and for revoking authenticators;
e. Changing default content of authenticators prior to information system installation;
f. Establishing minimum and maximum lifetime restrictions and reuse conditions for authenticators;
g. Changing/refreshing authenticators within a time period not to exceed ninety (90) days for passwords; system defined time period for other authenticator types;
h. Protecting authenticator content from unauthorized disclosure and modification;
i. Requiring individuals to take, and having devices implement, specific security safeguards to protect authenticators; and
j. Changing authenticators for group/role accounts when membership to those accounts changes.</t>
  </si>
  <si>
    <t>The LSO will collaborate with the ISSM/ISSO in order to determine password safeguarding requirements based on system classification and environment.</t>
  </si>
  <si>
    <t>IA-5(1)</t>
  </si>
  <si>
    <t>PASSWORD-BASED AUTHENTICATION</t>
  </si>
  <si>
    <t>The information system, for password-based authentication:
(a) Enforces minimum password complexity of: 
o At least eight (8) characters in length for non-privileged accounts and twelve (12) characters   in length for privileged accounts; contains a string of characters that does not include the user’s account name or full name; includes one or more characters from at least three (3) of the following four ( 4) character classes:
 English uppercase characters (A through Z);
 English lowercase characters (a through z);
 Base l0 digits (0 through 9); and
 Special characters from the punctuation and extended character set (`~!@#$%^*&amp;()_+-={}|[]\”;&lt;&gt;?,./).
(b) Enforces at least the following number of changed characters when new passwords are created:  a minimum of four (4) changed characters;
(c) Stores and transmits only cryptographically-protected passwords;
(d) Enforces password minimum and maximum lifetime restrictions of at least one (1) day lifetime minimum and 90 day lifetime maximum;
(e) Prohibits password reuse for a minimum of twenty-four (24) passwords generations; and
(f) Allows the use of a temporary password for system logons with an immediate change to a permanent password.</t>
  </si>
  <si>
    <t>a. [WC] enforences minimum password length and complexity requirements using AD.
b. [WC] enforces that a minimum of 4 characters are required to be changed when password changes occur.
c. [WC] transmits only cryptographically protected passworods.
d. [WC] enforces password lifetime restrictions with a minimum of 1 day and a maximum of 90 days.
e. [WC] prohibits the reuse of a password within 24 passwords.
f. [WC] allows for temporary passwords but requires an immediate change of the password when used.
Ref: [WC Access Control Plan]</t>
  </si>
  <si>
    <t>LSO will be aware of password complexity requirements based on system requirements and environment.</t>
  </si>
  <si>
    <t>IA-5(2)</t>
  </si>
  <si>
    <t>PKI-BASED AUTHENTICATION</t>
  </si>
  <si>
    <t>The information system, for PKI-based authentication:
(a) Validates certifications by constructing and verifying a certification path to an accepted trust anchor including checking certificate status information;
(b) Enforces authorized access to the corresponding private key;
(c) Maps the authenticated identity to the account of the individual or group; and
(d) Implements a local cache of revocation data to support path discovery and validation in case of inability to access revocation information via the network.</t>
  </si>
  <si>
    <t>Fences does not currently use PKI-based authentication.</t>
  </si>
  <si>
    <t>LSO will be aware of the PKI-based authentication on the system but will not provide direct support.</t>
  </si>
  <si>
    <t>IA-5(3)</t>
  </si>
  <si>
    <t>IN-PERSON OR TRUSTED THIRD-PARTY REGISTRATION</t>
  </si>
  <si>
    <t>The organization requires that the registration process to receive UserIDs and passwords be conducted in person or by a trusted third party before an identified registration authority with authorization by the AO/DAO.</t>
  </si>
  <si>
    <t>The LSO will collaborate with the ISSM/ISSO to determine a manner in which to set up and protect user IDs and passwords/temporary passwords and validate the identity of the requestor (i.e. provide face-to-face, secure voice etc, email to co-worker). The type of network or IS will affect the decision.</t>
  </si>
  <si>
    <t>IA-5(4)</t>
  </si>
  <si>
    <t>AUTOMATED SUPPORT FOR PASSWORD STRENGTH DETERMINATION</t>
  </si>
  <si>
    <t>The organization employs automated tools to determine if password authenticators are sufficiently strong to satisfy requirements as defined in IA-5 (1).</t>
  </si>
  <si>
    <t>[WC] uses Group Policy to ensure password authenticators meet the length and complexity requirements.</t>
  </si>
  <si>
    <t>LSO will be aware of any automated tools to test the strength of authenticators.</t>
  </si>
  <si>
    <t>IA-5(7)</t>
  </si>
  <si>
    <t>NO EMBEDDED UNENCRYPTED STATIC AUTHENTICATORS</t>
  </si>
  <si>
    <t>The organization ensures that unencrypted static authenticators are not embedded in applications or access scripts or stored on function keys.</t>
  </si>
  <si>
    <t>IA-5(8)</t>
  </si>
  <si>
    <t>MULTIPLE INFORMATION SYSTEM ACCOUNTS</t>
  </si>
  <si>
    <t>The organization implements precautions including advising users that they must not use the same password for any of the following: Different systems with domains of differing classification levels; Access to different systems within one classification level (e.g., internal agency network and Intelink).; Different accounts with different privilege levels (e.g., user, administrator) to manage the risk of compromise due to individuals having accounts on multiple information systems.</t>
  </si>
  <si>
    <t>The LSO collaborates with the ISSM/ISSO in order to set a policy to determine password requirements, protections, and classifications when users have access to multiple systems (use different authenticators, single sign on).</t>
  </si>
  <si>
    <t>IA-5(11)</t>
  </si>
  <si>
    <t>HARDWARE TOKEN-BASED AUTHENTICATION</t>
  </si>
  <si>
    <t>The information system, for hardware token-based authentication, employs mechanisms that satisfy requirements identified in CNSSP No. 25.</t>
  </si>
  <si>
    <t>[WC] does not use token-based authentication.
Fences does not currently support token-based authentication.</t>
  </si>
  <si>
    <t>IA-5(13)</t>
  </si>
  <si>
    <t>EXPIRATION OF CACHED AUTHENTICATORS</t>
  </si>
  <si>
    <t>The information system prohibits the use of cached authenticators after one (1) hour.</t>
  </si>
  <si>
    <t>IA-5(14)</t>
  </si>
  <si>
    <t>MANAGING CONTENT OF PKI TRUST STORES</t>
  </si>
  <si>
    <t xml:space="preserve">The organization, for PKI-based authentication, employs a deliberate organization-wide methodology for managing the content of PKI trust stores installed across all platforms including networks, operating systems, browsers, and applications. </t>
  </si>
  <si>
    <t>IA-6</t>
  </si>
  <si>
    <t>Authenticator Feedback</t>
  </si>
  <si>
    <t>The information system obscures feedback of authentication information during the authentication process to protect the information from possible exploitation/use by unauthorized individuals.</t>
  </si>
  <si>
    <t>LSO will be aware of the password protection feedback (i.e. what is visible on the screen when a password is typed in).</t>
  </si>
  <si>
    <t>IA-7</t>
  </si>
  <si>
    <t>Cryptographic Module Authentication</t>
  </si>
  <si>
    <t>The information system implements mechanisms for authentication to a cryptographic module that meet the requirements of applicable federal laws, Executive Orders, directives, policies, regulations, standards, and guidance for such authentication.</t>
  </si>
  <si>
    <t xml:space="preserve">Inhertied from Amazon C2S.
</t>
  </si>
  <si>
    <t>IA-8</t>
  </si>
  <si>
    <t>Identification And Authentication (Non-Organizational Users)</t>
  </si>
  <si>
    <t>The information system uniquely identifies and authenticates non-organizational users (or processes acting on behalf of non-organizational users).</t>
  </si>
  <si>
    <t>IA-8(1)</t>
  </si>
  <si>
    <t>ACCEPTANCE OF PIV CREDENTIALS FROM OTHER AGENCIES</t>
  </si>
  <si>
    <t>The information system accepts and electronically verifies Personal Identity Verification (PIV) credentials from other federal agencies.</t>
  </si>
  <si>
    <t>IA-8(2)</t>
  </si>
  <si>
    <t>ACCEPTANCE OF THIRD-PARTY CREDENTIALS</t>
  </si>
  <si>
    <t>The information system accepts only FICAM-approved third-party credentials.</t>
  </si>
  <si>
    <t>IA-8(3)</t>
  </si>
  <si>
    <t>USE OF FICAM-APPROVED PRODUCTS</t>
  </si>
  <si>
    <t>The organization employs only FICAM-approved information system components in [Assignment: organization-defined information systems] to accept third-party credentials.</t>
  </si>
  <si>
    <t>IA-8(4)</t>
  </si>
  <si>
    <t>USE OF FICAM-ISSUED PROFILES</t>
  </si>
  <si>
    <t>The information system conforms to FICAM-issued profiles.</t>
  </si>
  <si>
    <t>IR-1</t>
  </si>
  <si>
    <t>Incident Response Policy And Procedures</t>
  </si>
  <si>
    <t>The organization:
a. Develops, documents, and disseminates to all personnel having a role in Incident Response:
1. An incident response policy that addresses purpose, scope, roles, responsibilities, management commitment, coordination among organizational entities, and compliance; and
2. Procedures to facilitate the implementation of the incident response policy and associated incident response controls; and
b. Reviews and updates the current:
1. Incident response policy at least annually; and
2. Incident response procedures at least annually.</t>
  </si>
  <si>
    <t>a. [WC] has document its Incident Response Policy and Procedures in the [WC Incident Response Plan] and disseminates the [WC Incident Response Plan] to all personal having a role in incident response.
b. As defined in the [WC Inicdent Response Plan], the ISSM will annually review the policies and procedures of the document and update the document as necessary.
Ref: [WC Incident Response Plan]</t>
  </si>
  <si>
    <t xml:space="preserve">LSO and ISSM/ISSO will be involved in developing and implementing an incident response policy and procedure in accordance with the applicable Executive Orders, standards, regulations, and directives.  All incidents will be reported to the PSO. </t>
  </si>
  <si>
    <t>IR-2</t>
  </si>
  <si>
    <t>Incident Response Training</t>
  </si>
  <si>
    <t>The organization provides incident response training to information system users consistent with assigned roles and responsibilities:
a. Within thirty (30) working days of assuming an incident response role or responsibility;
b. When required by information system changes; and
c. At least annually thereafter.</t>
  </si>
  <si>
    <t>In accordance with the [WC Incident Response Plan], the [WC] ISSM ensures all personnel having a role in incident response are trained:
a. within 30 days of assuming an incident response role
b. when required by system changes, and 
c. at least annually thereafter
Ref: [WC Incident Response Plan]</t>
  </si>
  <si>
    <t xml:space="preserve">LSO and ISSM/ISSO will be involved in the incident response training of both general and privileged users. LSO will provide training on the reporting policy and the ISSM/ISSO will provide technical training in regards to actions on the system. The ISSM/ISSO will ensure the training is in accordance with the JSIG requirements.    </t>
  </si>
  <si>
    <t>IR-3</t>
  </si>
  <si>
    <t>Incident Response Testing</t>
  </si>
  <si>
    <t>The organization tests the incident response capability for the information system at least annually using table top exercises, hot washes, and/or simulated incidents to determine the incident response effectiveness and documents the results.</t>
  </si>
  <si>
    <t>[WC Approach: IR Testing]</t>
  </si>
  <si>
    <t xml:space="preserve">LSO will be aware of the development and execution of the incident response testing to ensure the proper security procedures are followed and the incident response is operating in accordance with policy.   </t>
  </si>
  <si>
    <t>IR-3(2)</t>
  </si>
  <si>
    <t>COORDINATION WITH RELATED PLANS</t>
  </si>
  <si>
    <t>The organization coordinates incident response testing with organizational elements responsible for related plans.</t>
  </si>
  <si>
    <t>[WC] cooridnates incident response testing with Fences.</t>
  </si>
  <si>
    <t>IR-4</t>
  </si>
  <si>
    <t>Incident Handling</t>
  </si>
  <si>
    <t>The organization:
a. Implements an incident handling capability for security incidents that includes preparation, detection and analysis, containment, eradication, and recovery;
b. Coordinates incident handling activities with contingency planning activities; and
c. Incorporates lessons learned from ongoing incident handling activities into incident response procedures, training, and testing/exercises, and implements the resulting changes accordingly.</t>
  </si>
  <si>
    <t>a. [WC] implements an incident handling capability for security incidents pertaining to all 5 phases in the IR lifecycle.
b. [WC] cooridantes IT handling activities with contingency planning activities
c. [WC] incorporates lessons learned from IR handling activities into IR procedures, training, and testing
Ref: [WC Incident Response Plan]</t>
  </si>
  <si>
    <t>LSO and ISSM/ISSO executes the policy and procedures for handling an incident.  These policies and procedures are established via IR-1 and the organization.</t>
  </si>
  <si>
    <t>IR-4(1)</t>
  </si>
  <si>
    <t>AUTOMATED INCIDENT HANDLING PROCESSES</t>
  </si>
  <si>
    <t>The organization employs automated mechanisms to support the incident handling process.</t>
  </si>
  <si>
    <t>IR-4(3)</t>
  </si>
  <si>
    <t>CONTINUITY OF OPERATIONS</t>
  </si>
  <si>
    <t xml:space="preserve">The organization identifies classes/categories as defined in CJCSM 6510.01B and takes AO/DAO approved/directed actioins to ensure continuation of organizational missions and business functions.  </t>
  </si>
  <si>
    <t>[WC] uses the classes defined by [DoD-comoonent] and  the CJCSM 6510.01B, and adheres to the policies set by the AO.
Ref: [WC Inident Response Plan]</t>
  </si>
  <si>
    <t>IR-4(4)</t>
  </si>
  <si>
    <t>INFORMATION CORRELATION</t>
  </si>
  <si>
    <t>The organization correlates incident information and individual incident responses to achieve an organization-wide perspective on incident awareness and response.</t>
  </si>
  <si>
    <t>LSO in collaboration with the ISSO/ISSM will correlate the information from all incidents to assess trends.</t>
  </si>
  <si>
    <t>IR-4(6)</t>
  </si>
  <si>
    <t>INSIDER THREATS - SPECIFIC CAPABILITIES</t>
  </si>
  <si>
    <t>The organization implements incident handling capability for insider threats.</t>
  </si>
  <si>
    <t>[Workload Approach: Insider Threat]</t>
  </si>
  <si>
    <t xml:space="preserve">LSO in coordination with the ISSM/ISSO will implement the security controls to detect insider activities in accordance with Insider Threat Policy.   If there is a suspected Insider Threat the PSO will be immediately notified. </t>
  </si>
  <si>
    <t>IR-4(7)</t>
  </si>
  <si>
    <t>INSIDER THREATS - INTRA-ORGANIZATION COORDINATION</t>
  </si>
  <si>
    <t>The organization coordinates incident handling capability for insider threats across all relevant organizational elements.</t>
  </si>
  <si>
    <t>[Workload Approach: Insider Threat2]</t>
  </si>
  <si>
    <t xml:space="preserve">LSO will coordinate and ISSM/ISSO within their organization to implement security controls in accordance with insider threat policy. </t>
  </si>
  <si>
    <t>IR-4(8)</t>
  </si>
  <si>
    <t>CORRELATION WITH EXTERNAL ORGANIZATIONS</t>
  </si>
  <si>
    <t>The organization coordinates with the AO/DAO and external organizations as required to correlate and share relevant incident information to achieve a cross-organization perspective on incident awareness and more effective incident responses.</t>
  </si>
  <si>
    <t>[Workload Approach: Incident Coordination]</t>
  </si>
  <si>
    <t xml:space="preserve">LSO and ISSM/ISSO provides notification of all incidents to the PSO/AO in accordance with the incident response policy. The PSO/AO ensures the reporting chain of command is followed. </t>
  </si>
  <si>
    <t>IR-4(10)</t>
  </si>
  <si>
    <t>SUPPLY CHAIN COORDINATION</t>
  </si>
  <si>
    <t>The organization coordinates incident handling activities involving supply chain events with other organizations involved in the supply chain.</t>
  </si>
  <si>
    <t>[Workload Approach: Incident Coord Supply]</t>
  </si>
  <si>
    <t>IR-5</t>
  </si>
  <si>
    <t>Incident Monitoring</t>
  </si>
  <si>
    <t>The organization tracks and documents information system security incidents.</t>
  </si>
  <si>
    <t>[Workload Approach: Incident Tracking]</t>
  </si>
  <si>
    <t xml:space="preserve">LSO will collect and document all security incidents. LSO will notify PSO in accordance with established policy.
</t>
  </si>
  <si>
    <t>IR-5(1)</t>
  </si>
  <si>
    <t>AUTOMATED TRACKING / DATA COLLECTION / ANALYSIS</t>
  </si>
  <si>
    <t>The organization employs automated mechanisms to assist in the tracking of security incidents and in the collection and analysis of incident information.</t>
  </si>
  <si>
    <t>[Workload Approach: Incident Tracking1]</t>
  </si>
  <si>
    <t>IR-6</t>
  </si>
  <si>
    <t>Incident Reporting</t>
  </si>
  <si>
    <t>The organization:
a. Requires personnel to report suspected security incidents to the organizational incident response capability within 24 hours if not otherwise defined in formal organizational policy; and
b. Reports security incident information to the appropriate SAP Agency CIRT/CERT (see IR-4(8)).</t>
  </si>
  <si>
    <t>a. [WC] requires that users report suspected security incidents to the [WC] help desk within 24 hours.
b. the [WC] ISSM reports security incident information to the AO.</t>
  </si>
  <si>
    <t xml:space="preserve">LSO will be involved with reporting all security incidents.  LSO will notify PSO in accordance with established policy.
</t>
  </si>
  <si>
    <t>IR-6(1)</t>
  </si>
  <si>
    <t>AUTOMATED REPORTING</t>
  </si>
  <si>
    <t>The organization employs automated mechanisms to assist in the reporting of security incidents.</t>
  </si>
  <si>
    <t>[WC Approach: Automated Reporting]</t>
  </si>
  <si>
    <t>IR-6(2)</t>
  </si>
  <si>
    <t>VULNERABILITIES RELATED TO INCIDENTS</t>
  </si>
  <si>
    <t>The organization reports information system vulnerabilities associated with reported security incidents to the AO/DAO/PSO, ISO, CPSO/GPSO, and ISSM/ISSO.</t>
  </si>
  <si>
    <t>The [WC] ISSM is responsible for reporting system vulnerabilities identified during incident response to the AO, ISO, and PSO.
Ref: [WC Incident Response Plan]</t>
  </si>
  <si>
    <t xml:space="preserve">LSO and ISSO/ISSM will identify system vulnerabilities and report to the PSO, AO, and CNDSP.  </t>
  </si>
  <si>
    <t>IR-7</t>
  </si>
  <si>
    <t>Incident Response Assistance</t>
  </si>
  <si>
    <t xml:space="preserve">The organization provides an incident response support resource, integral to the organizational incident response capability that offers advice and assistance to users of the information system for the handling and reporting of security incidents. </t>
  </si>
  <si>
    <t>[Workload Approach: Incident Assistance]</t>
  </si>
  <si>
    <t xml:space="preserve">LSO will be aware of the internal and external incident response support available to the system (to include help desk, external organizations, forensic analysis). </t>
  </si>
  <si>
    <t>IR-7(1)</t>
  </si>
  <si>
    <t>AUTOMATION SUPPORT FOR AVAILABILITY OF INFORMATION / SUPPORT</t>
  </si>
  <si>
    <t>The organization employs automated mechanisms to increase the availability of incident response-related information and support.</t>
  </si>
  <si>
    <t>[Workload Approach: Incident Assistance1]</t>
  </si>
  <si>
    <t>IR-7(2)</t>
  </si>
  <si>
    <t>COORDINATION WITH EXTERNAL PROVIDERS</t>
  </si>
  <si>
    <t>The organization:
(a) Establishes a direct, cooperative relationship between its incident response capability and external providers of information system protection capability; and
(b) Identifies organizational incident response team members to the external providers.</t>
  </si>
  <si>
    <t>IR-8</t>
  </si>
  <si>
    <t>Incident Response Plan</t>
  </si>
  <si>
    <t>The organization:
a. Develops an incident response plan that:
1. Provides the organization with a roadmap for implementing its incident response capability;
2. Describes the structure and organization of the incident response capability;
3. Provides a high-level approach for how the incident response capability fits into the overall organization;
4. Meets the unique requirements of the organization, which relate to mission, size, structure, and functions;
5. Defines reportable incidents;
6. Provides metrics for measuring the incident response capability within the organization;
7. Defines the resources and management support needed to effectively maintain and mature an incident response capability; and
8. Is reviewed and approved by AO;
b. Distributes copies of the incident response plan to all personnel with a role or responsibility for implementing the incident response plan;
c. Reviews the incident response plan at least annually (incorporating lessons learned from past incidents);
d. Updates the incident response plan to address system/organizational changes or problems encountered during plan implementation, execution, or testing;
e. Communicates incident response plan changes to the AO/DAO for  review and approval, and disseminates to all personnel with a role or responsibility for implementing the incident response plan; and
f. Protects the incident response plan from unauthorized disclosure and modification.</t>
  </si>
  <si>
    <t>a. The [WC] Incident Response Plan provides processes and procedures for implementing incident response activities, provides an organization structure as it relates to incident response, defines reportable incidents, provides metrics for measuring the incident response capability, defines management support by providing approval by the AO.
b. The [WC] Incident Respsonse Plan is provided  to all personnel with a role in Incident Response Plan.
c. [WC] reviews the plan annually and incorporates lessons learned.
d. [WC] updates the plan to address system and organizational changes encountered during implementation and testing.
e. [WC] communicates plan changes to the AO for review and approval, and
f. [WC] protects the plan from unauthorized disclosure and modification using  [Workload Approach: IR Plan Protection]
Ref: [WC Incident Response Plan]</t>
  </si>
  <si>
    <t xml:space="preserve">LSO will collaborate with the ISSM to develop and implement an incident response plan and ensure that appropriate personnel receive a copy of the plan.  PSO will validate that an incident response plan is in compliance with government reporting requirements. </t>
  </si>
  <si>
    <t>IR-9</t>
  </si>
  <si>
    <t>Information Spillage Response</t>
  </si>
  <si>
    <t>The organization responds to information spills by:
a. Identifying the specific information involved in the information system contamination;
b. Alerting the AO/DAO/PSO, ISO, CPSO/GPSO, and ISSM/ISSO. of the information spill using a method of communication not associated with the spill;
c. Isolating the contaminated information system or system component;
d. Eradicating the information from the contaminated information system or component;
e. Identifying other information systems or system components that may have been subsequently contaminated; and
f. Performing other tasks as identified in IR-4.</t>
  </si>
  <si>
    <t>[WC] responds to information spills by
a. idntifying the specific information involved in the system contamination,
b. the ISSM alerting the AO, ISO, and PSO, ensuring communication occurs over SIC Mail and SIC Folders,
c. isolating the contaminated system or component, 
d. eradicating the information from the contaminated system or component;
e. identifying any systems or componts thaat may have subsequently been contaminated, and
f. performing other tasks in the Incident Handling process.
Ref: [WC Incident Response Plan]</t>
  </si>
  <si>
    <t xml:space="preserve">LSO in collaboration with the ISSM/ISSO will be involved in developing and implementing the procedures for responding to information spillage. </t>
  </si>
  <si>
    <t>IR-9(1)</t>
  </si>
  <si>
    <t>RESPONSIBLE PERSONNEL</t>
  </si>
  <si>
    <t>The organization assigns the necessary Incident Response personnel with responsibility for responding to information spills.</t>
  </si>
  <si>
    <t>[WC] assigns the neccessary incident response personnel with responding to information spills. Personnel are idnentified in the [WC Incident Response Plan]
Ref: [WC Incident Response Plan]</t>
  </si>
  <si>
    <t xml:space="preserve">LSO will coordinate with the ISSM/ISSO to identify all responsible personnel involved with all information spillage response and validate they are aware of their responsibilities.  </t>
  </si>
  <si>
    <t>IR-9(2)</t>
  </si>
  <si>
    <t>TRAINING</t>
  </si>
  <si>
    <t>The organization provides information spillage response training annually.</t>
  </si>
  <si>
    <t>The [WC] ISSM is responsible for ensuring all personnel with an assigned IR role are training annually.</t>
  </si>
  <si>
    <t xml:space="preserve">ISSM/ISSO will develop and implement information spillage response training and ensure that training is conducted annually. The LSO will provide input to the spillage response training as required.  </t>
  </si>
  <si>
    <t>IR-9(3)</t>
  </si>
  <si>
    <t>POST-SPILL OPERATIONS</t>
  </si>
  <si>
    <t>The organization implements [Assignment: organization-defined procedures] to ensure that organizational personnel impacted by information spills can continue to carry out assigned tasks while contaminated systems are undergoing corrective actions.</t>
  </si>
  <si>
    <t>[WC] IR personnel ensure personnel impacted by a spill can continue to carry on operational activities while system are undergoing correcting actions, when possible.</t>
  </si>
  <si>
    <t>The LSO will coordinate with ISSM/ISSO ito ensure all corrective actions have been addressed prior to allowing users access to a contaminated system.</t>
  </si>
  <si>
    <t>IR-9(4)</t>
  </si>
  <si>
    <t>EXPOSURE TO UNAUTHORIZED PERSONNEL</t>
  </si>
  <si>
    <t>The organization employs an inadvertent disclosure process for personnel exposed to information not within assigned access authorizations.</t>
  </si>
  <si>
    <t>[WC Approach: Inadvertant Disclosure]</t>
  </si>
  <si>
    <t xml:space="preserve">LSO will ensure unauthorized individuals are aware of their obligation to protect classified information and execute inadvertent disclosure statements as required. LSO will notify PSO in all instances where unauthorized personnel may have been exposed to classified materials.
</t>
  </si>
  <si>
    <t>IR-10</t>
  </si>
  <si>
    <t>Integrated Information Security Cell</t>
  </si>
  <si>
    <t>The organization establishes an integrated team of forensic/malicious code analysts, tool developers, and real-time operations personnel.</t>
  </si>
  <si>
    <t>[WC Approach: Security Cell]</t>
  </si>
  <si>
    <t xml:space="preserve">LSO will be aware of who is on the Integrated Information System Analysis Team and when this team should be engaged. </t>
  </si>
  <si>
    <t>MA-1</t>
  </si>
  <si>
    <t>System Maintenance Policy And Procedures</t>
  </si>
  <si>
    <t>The organization:
a. Develops, documents, and disseminates to all personnel having a role in System Maintenance:
1. A system maintenance policy that addresses purpose, scope, roles, responsibilities, management commitment, coordination among organizational entities, and compliance; and
2. Procedures to facilitate the implementation of the system maintenance policy and associated system maintenance controls; and
b. Reviews and updates the current:
1. System maintenance policy at least annually; and
2. System maintenance procedures at least annually.</t>
  </si>
  <si>
    <t>a. [WC] has document its Mainteance Policy and Procedures in the [WC Maintenance Plan] and disseminates the [WC Maintenance Plan] to all personal having a role in system maintenance.
b. As defined in the [WC Maintenance Plan], the ISSM will annually review the policies and procedures of the document and update the document as necessary.
Ref: [WC Maintenance Plan]</t>
  </si>
  <si>
    <t xml:space="preserve">The LSO will collaborate with the ISSM/ISSO to provide input regarding maintenance policies for hardware and software. LSO involvement will focus on physical access to the systems and entry and exit of equipment. </t>
  </si>
  <si>
    <t>MA-2</t>
  </si>
  <si>
    <t>Controlled Maintenance</t>
  </si>
  <si>
    <t>The organization:
a. Schedules, performs, documents, and reviews records of maintenance and repairs on information system components in accordance with manufacturer or vendor specifications and/or organizational requirements;
b. Approves and monitors all maintenance activities, whether performed on site or remotely and whether the equipment is serviced on site or removed to another location;
c. Requires that the ISSM/ISSO and PSO explicitly approve the removal of the information system or system components from organizational facilities for off-site maintenance or repairs;
d. Sanitizes equipment to remove all information from associated media prior to removal from organizational facilities for off-site maintenance or repairs;
e. Checks all potentially impacted security controls to verify that the controls are still functioning properly following maintenance or repair actions; and
f. Includes date and time of maintenance, name of the individual performing the maintenance, name of escort (if necessary), a description of the type of maintenance performed, and a list of equipment removed or replaced (including identification numbers, if applicable) in organizational maintenance records.</t>
  </si>
  <si>
    <t>a. [WC] engineers schedule, perform, document, and review records of maintenance for system components in accordance with manufacturure or vendor spefications and AO requirements.
b. The [WC] AO approves all mainteance activities. The [WC] ISSM is responsible for overseeing their execution. 
c. N/A. [WC] does not have access to physical equipment maintainted by Amazon C2S.
d. Inherited from Amazon C2S.
e. Inherited from Amazon C2S.
f. In accordance witht the [WC Maintenance Plan], all maintenance will have the following metadata recordded about the event: data and time, name of the individual performing the maintenance, description of the type of maintenance, and a list of components modified.
Ref: [WC Maintenance Plan]</t>
  </si>
  <si>
    <t xml:space="preserve">The LSO will ensure that all personnel and physical security requirements are met to protect information systems undergoing maintenance. ISSM/ISSO will ensure all maintenance personnel are escorted by technically knowledgeable personnel. LSO and ISSM/ISSO will collaborate to maintain records and establish sanitization procedures. </t>
  </si>
  <si>
    <t>MA-3</t>
  </si>
  <si>
    <t>Maintenance Tools</t>
  </si>
  <si>
    <t>The organization approves, controls, and monitors information system maintenance tools.</t>
  </si>
  <si>
    <t>Inherited from Amzon C2S</t>
  </si>
  <si>
    <t xml:space="preserve">The LSO will ensure that all procedures for maintenance tools developed by the ISSM/ISSO are vetted and approved by the PSO prior to entry into the SAPF. The LSO will ensure approved procedures are enforced. </t>
  </si>
  <si>
    <t>MA-3(1)</t>
  </si>
  <si>
    <t>INSPECT TOOLS</t>
  </si>
  <si>
    <t>The organization inspects the maintenance tools carried into a facility by maintenance personnel for improper or unauthorized modifications.</t>
  </si>
  <si>
    <t>The LSO must approve all software and hardware prior to introduction into the security facility and IS.</t>
  </si>
  <si>
    <t>MA-3(2)</t>
  </si>
  <si>
    <t>INSPECT MEDIA</t>
  </si>
  <si>
    <t>The organization checks media containing diagnostic and test programs for malicious code before the media are used in the information system.</t>
  </si>
  <si>
    <t xml:space="preserve">The LSO will work with the ISSM/ISSO to develop procedures that allow for the introduction of media as required for maintenance. At a minimum, ensure that all media is virus scanned.  </t>
  </si>
  <si>
    <t>MA-3(3)</t>
  </si>
  <si>
    <t>PREVENT UNAUTHORIZED REMOVAL</t>
  </si>
  <si>
    <t>The organization prevents the unauthorized removal of maintenance equipment containing organizational information by:
(a) Verifying that there is no organizational information contained on the equipment;
(b) Sanitizing or destroying the equipment;
(c) Retaining the equipment within the facility; or
(d) Obtaining an exemption from PSO/GSSO/CPSO and ISSM/ISSO explicitly authorizing removal of the equipment from the facility.</t>
  </si>
  <si>
    <t xml:space="preserve">The LSO will document how maintenance equipment is handled in the facility. Maintenance media brought in without write protection will be stored and controlled at the classification of the IS to which it was introduced. 
</t>
  </si>
  <si>
    <t>MA-3(4)</t>
  </si>
  <si>
    <t>RESTRICTED TOOL USE</t>
  </si>
  <si>
    <t>The information system restricts the use of maintenance tools to authorized personnel only.</t>
  </si>
  <si>
    <t xml:space="preserve">LSO will be aware of who is authorized to use specific maintenance equipment. </t>
  </si>
  <si>
    <t>MA-4</t>
  </si>
  <si>
    <t>Nonlocal Maintenance</t>
  </si>
  <si>
    <t xml:space="preserve">The organization:
a. Approves and monitors nonlocal maintenance and diagnostic activities;
b. Allows the use of nonlocal maintenance and diagnostic tools only as consistent with organizational policy and documented in the security plan for the information system;
c. Employs strong authenticators in the establishment of nonlocal maintenance and diagnostic sessions;
d. Maintains records for nonlocal maintenance and diagnostic activities; and
e. Terminates session and network connections when nonlocal maintenance is completed.    </t>
  </si>
  <si>
    <t>All maintenance performed on [WC] is non-local maintenance by definition.
a. The AO has approved and [WC] monitors all maintenance and diagnostic activies.
b. The AO has approved non-local maintenance for maintenance on the system.
c. Privileged user credentials are required for maintenance. These credentials meet the length and complexity requirements set in the AC Family.
d. All maintenance in recorded in accordance with the [WC Maintenance Plan].
e. Priviliged users are required to log off and use their general accounts when not performing privileged actions on the system.</t>
  </si>
  <si>
    <t xml:space="preserve">The PSO will collaborate with the ISSM/ISSO to validate and approve all non-local maintenance procedures. Non-local maintenance includes both removal for maintained and remote diagnostic activities.  Physical removal of systems for maintenance must have a PSO and IA approved sanitization plan. Approval of remote diagnostic procedures are unlikely in a SAP environment. </t>
  </si>
  <si>
    <t>MA-4(1)</t>
  </si>
  <si>
    <t>AUDITING AND REVIEW</t>
  </si>
  <si>
    <t>The organization:
(a) Audits nonlocal maintenance and diagnostic sessions as defined in the organizations formal audit policy (AU-1); and
(b) Reviews the records of the maintenance and diagnostic sessions.</t>
  </si>
  <si>
    <t>a. [WC Approach: Maintenance Auditing]
b. [WC Approach: Maintence Auditing Reviews]</t>
  </si>
  <si>
    <t>LSO will be aware of audit policies for non-local maintenance.</t>
  </si>
  <si>
    <t>MA-4(2)</t>
  </si>
  <si>
    <t>DOCUMENT NONLOCAL MAINTENANCE</t>
  </si>
  <si>
    <t>The organization documents in the security plan for the information system, the policies and procedures for the establishment and use of nonlocal maintenance and diagnostic connections.</t>
  </si>
  <si>
    <t xml:space="preserve">All maintenance performed on [WC] is non-local maintenance by definition. Maintenance procedures are documented in the [WC] System Security Plan and in the [WC Maintenance Plan]. </t>
  </si>
  <si>
    <t>LSO will be aware of non-local and diagnostic connections.</t>
  </si>
  <si>
    <t>MA-4(3)</t>
  </si>
  <si>
    <t>COMPARABLE SECURITY / SANITIZATION</t>
  </si>
  <si>
    <t>The organization:
(a) Requires that nonlocal maintenance and diagnostic services be performed from an information system that implements a security capability comparable to the capability implemented on the system being serviced; or
(b) Removes the component to be serviced from the information system and prior to nonlocal maintenance or diagnostic services, sanitizes the component (with regard to organizational information) before removal from organizational facilities, and after the service is performed, inspects and sanitizes the component (with regard to potentially malicious software) before reconnecting the component to the information system.</t>
  </si>
  <si>
    <t>a. All maintenance is performed via Secure Web Services Virtual Secure Desktop (VSD) which is a TS//SCI//SAR accredited system by the DoD SAP CIO.
b. Inherited from Amazon C2S.</t>
  </si>
  <si>
    <t xml:space="preserve">LSO will work with the ISSM/ISSO to validate that connecting systems implement comparable security capabilities and/or sanitization procedures are in place. PSO approval is required prior to removal of components from the SAPF. See MA-4. </t>
  </si>
  <si>
    <t>MA-4(4)</t>
  </si>
  <si>
    <t>AUTHENTICATION / SEPARATION OF MAINTENANCE SESSIONS</t>
  </si>
  <si>
    <t>The organization protects nonlocal maintenance sessions by:
(a) Employing CNSSP No. 25 PKI compliant authentication mechanisms; and
(b) Separating the maintenance sessions from other network sessions with the information system by either:
(1) Physically separated communications paths; or
(2) Logically separated communications paths based upon encryption.</t>
  </si>
  <si>
    <t>Inherited from Amazon C2S</t>
  </si>
  <si>
    <t>MA-4(5)</t>
  </si>
  <si>
    <t>APPROVALS AND NOTIFICATIONS</t>
  </si>
  <si>
    <t>The organization:
(a) Requires the approval of each nonlocal maintenance session by the AO/DAO; and
(b) Notifies the AO/DAO/PSO, ISO, and ISSM/ISSO of the date and time of planned nonlocal maintenance.</t>
  </si>
  <si>
    <t>a. All maintenance performed on [WC] is non-local mainteance. The AO has approved maintenance to occur on the system, and thus has apprived all non-local maintenance. Each maintenance activitiy is not individually approved by the AO.
b. A record of maintenance is maintained and is available for review by the AO/DAO/PSO, ISO, and ISSM.</t>
  </si>
  <si>
    <t xml:space="preserve">LSO in collaboration with the ISSM/ISSO will establish procedures to determine who will preform non-local maintenance. Procedures must include approval of the session and notification of date/time of non-local maintenance. </t>
  </si>
  <si>
    <t>MA-4(6)</t>
  </si>
  <si>
    <t>CRYPTOGRAPHIC PROTECTION</t>
  </si>
  <si>
    <t>The information system implements cryptographic mechanisms to protect the integrity and confidentiality of nonlocal maintenance and diagnostic communications.</t>
  </si>
  <si>
    <t>MA-4(7)</t>
  </si>
  <si>
    <t>REMOTE DISCONNECT VERIFICATION</t>
  </si>
  <si>
    <t>The information system implements remote disconnect verification at the termination of nonlocal maintenance and diagnostic sessions.</t>
  </si>
  <si>
    <t>All maintenance on [WC] is non-local maintenance. When a privileged user has completed maintenance, they are required to log out of their privileged account. The system acknlowleges that they have logged off.</t>
  </si>
  <si>
    <t>LSO will be aware of remote connections to the IS and remote disconnection verifications.</t>
  </si>
  <si>
    <t>MA-5</t>
  </si>
  <si>
    <t>Maintenance Personnel</t>
  </si>
  <si>
    <t xml:space="preserve">The organization:
a. Establishes a process for maintenance personnel authorization and maintains a list of authorized maintenance organizations or personnel;
b. Ensures that non-escorted personnel performing maintenance on the information system have required access authorizations; and
c. Designates organizational personnel with required access authorizations and technical competence to supervise the maintenance activities of personnel who do not possess the required access authorizations. </t>
  </si>
  <si>
    <t>a. [WC] maintains a list of all user who have the ability to perform maintenance on the system.
b. All [WC] maintenance personnnel are briefed to the level of the system.
c. N/A. All maintenance personnel are breifed to the level of the system.</t>
  </si>
  <si>
    <t xml:space="preserve">The LSO will ensure visitor control procedures are in place for the facility. All maintenance personnel must comply with the established process. ISSM/ISSO will supervise the maintenance personnel if individuals are not appropriately cleared. </t>
  </si>
  <si>
    <t>MA-5(1)</t>
  </si>
  <si>
    <t>INDIVIDUALS WITHOUT APPROPRIATE ACCESS</t>
  </si>
  <si>
    <t>The organization:
(a) Implements procedures for the use of maintenance personnel that lack appropriate security clearances or are not U.S. citizens, that include the following requirements:
(1) Maintenance personnel who do not have needed access authorizations, clearances, or formal access approvals are escorted and supervised during the performance of maintenance and diagnostic activities on the information system by approved organizational personnel who are fully cleared, have appropriate access authorizations, and are technically qualified;
(2) Prior to initiating maintenance or diagnostic activities by personnel who do not have needed access authorizations, clearances or formal access approvals, all volatile information storage components within the information system are sanitized and all nonvolatile storage media are removed or physically disconnected from the system and secured; and
(b) Develops and implements alternate security safeguards in the event an information system component cannot be sanitized, removed, or disconnected from the system.</t>
  </si>
  <si>
    <t>--R</t>
  </si>
  <si>
    <t>a. All maintenance personnel are briefed to the level of the system.
b. Inherited from Amazon C2S.</t>
  </si>
  <si>
    <t>The LSO will implement escort procedures for non-cleared maintenance personnel and plan for the potential removal of equipment not functioning appropriately. The ISSM/ISSO will ensure a cleared technically knowledgeable person escorts the maintenance personnel.</t>
  </si>
  <si>
    <t>MA-5(2)</t>
  </si>
  <si>
    <t>SECURITY CLEARANCES FOR CLASSIFIED SYSTEMS</t>
  </si>
  <si>
    <t>The organization ensures that personnel performing maintenance and diagnostic activities on an information system processing, storing, or transmitting classified information possess security clearances and formal access approvals for at least the highest classification level and for all compartments of information on the system.</t>
  </si>
  <si>
    <t>All maintenance personnel are cleared to the level of the system.</t>
  </si>
  <si>
    <t>The LSO will ensure appropriately cleared personnel who perform maintenance or diagnostics on an IS are familiar with organizational security procedures to ensure the proper security procedures are being followed.</t>
  </si>
  <si>
    <t>MA-5(4)</t>
  </si>
  <si>
    <t>FOREIGN NATIONALS</t>
  </si>
  <si>
    <t>The organization ensures that:
(a) Cleared foreign nationals (i.e., foreign nationals with appropriate security clearances), are used to conduct maintenance and diagnostic activities on classified information systems only when the systems are jointly owned and operated by the United States and foreign allied governments, or owned and operated solely by foreign allied governments; and
(b) Approvals, consents, and detailed operational conditions regarding the use of foreign nationals to conduct maintenance and diagnostic activities on classified information systems are fully documented within Memoranda of Agreements.</t>
  </si>
  <si>
    <t>a. Foreign Nationals are not allowed to have accounts on the system.
b. There are no foreign nationals on the system.</t>
  </si>
  <si>
    <t>The LSO validates the clearance and access to an IS for all individuals and validates all approvals, consents, and detailed operational conditions regarding the use of foreign nationals to conduct maintenance and diagnostic activities on classified information systems are fully documented within Memoranda of Agreements.</t>
  </si>
  <si>
    <t>MA-5(5)</t>
  </si>
  <si>
    <t>NONSYSTEM-RELATED MAINTENANCE</t>
  </si>
  <si>
    <t>The organization ensures that non-escorted personnel performing maintenance activities not directly associated with the information system but in the physical proximity of the system, have required access authorizations.</t>
  </si>
  <si>
    <t xml:space="preserve">The LSO will ensure appropriately cleared personnel who perform maintenance in areas where IS are located are familiar with organizational security procedures and are escorted by trained personnel. LSO will collaborate with cleared personnel on site to verify that there is a mission need for the maintenance. </t>
  </si>
  <si>
    <t>MA-6</t>
  </si>
  <si>
    <t>Timely Maintenance</t>
  </si>
  <si>
    <t>The organization obtains maintenance support and/or spare parts for [Assignment: organization-defined information system components] within [Assignment: organization-defined time period] of failure.</t>
  </si>
  <si>
    <t xml:space="preserve">Inherited from Amazon C2S. </t>
  </si>
  <si>
    <t>MP-1</t>
  </si>
  <si>
    <t>Media Protection Policy And Procedures</t>
  </si>
  <si>
    <t>The organization:
a. Develops, documents, and disseminates to all personnel having a role in Media Protection:
1. A media protection policy that addresses purpose, scope, roles, responsibilities, management commitment, coordination among organizational entities, and compliance; and
2. Procedures to facilitate the implementation of the media protection policy and associated media protection controls; and
b. Reviews and updates the current:
1. Media protection policy at least annually; and
2. Media protection procedures at least annually.</t>
  </si>
  <si>
    <t xml:space="preserve">Media is not used within the boundary of this system. </t>
  </si>
  <si>
    <t xml:space="preserve"> The LSO is responsible for enforcing media control policies established by the PSO via DD-254s, SOPs, and developing local implementation guidance. Policies must be considered and adhered to when developing media control procedures. Procedures will be reviewed during annual self-inspection. </t>
  </si>
  <si>
    <t>MP-2</t>
  </si>
  <si>
    <t>Media Access</t>
  </si>
  <si>
    <t>The organization restricts access to all types of digital media to authorized Security Personnel following documented and approved security procedures.</t>
  </si>
  <si>
    <t xml:space="preserve">The LSO develops security policy/procedures to ensure only authorized individuals/roles have access to media within the SAPF  (e.g., centralized safe, sign-out logs). LSO will submit procedures to PSO for approval.
</t>
  </si>
  <si>
    <t>MP-3</t>
  </si>
  <si>
    <t>Media Marking</t>
  </si>
  <si>
    <t xml:space="preserve">The organization:
a. Marks information system media indicating the distribution limitations, handling caveats, and applicable security markings (if any) of the information; and
b. Exempts new, unused, factory-sealed media from marking as long as the media remain under the direct control of security personnel.  </t>
  </si>
  <si>
    <t xml:space="preserve">LSO validates appropriate marking of media in accordance with DoDM 5205.07 Vol 4, Enclosure 6, Marking IS Storage Media Containing SAP Information.
</t>
  </si>
  <si>
    <t>MP-4</t>
  </si>
  <si>
    <t>Media Storage</t>
  </si>
  <si>
    <t>The organization:
a. Physically controls and securely stores all digital media regardless of classification and/or non-digital media containing classified information within an area and/or container approved for processing and storing media based on the classification of the information contained within the media; and
b. Protects information system media until the media are destroyed or sanitized using approved equipment, techniques, and procedures.</t>
  </si>
  <si>
    <t xml:space="preserve">The LSO sets media storage requirements based on classification of the media, accreditation letter, and SOP to ensure proper storage of all digital media within the SAPF. The LSO will coordinate with the ISSM/ISSO on the requirements for media storage.
</t>
  </si>
  <si>
    <t>MP-5</t>
  </si>
  <si>
    <t>Media Transport</t>
  </si>
  <si>
    <t>The organization:
a. Protects and controls all types of digital and non-digital media during transport outside of controlled areas using AO and PSO-approved security measures, to include courier and digital media encryption;
b. Maintains accountability for information system media during transport outside of controlled areas;
c. Documents activities associated with the transport of information system media; and
d. Restricts the activities associated with the transport of information system media to authorized personnel.</t>
  </si>
  <si>
    <t xml:space="preserve">LSO is responsible for developing media transportation procedures. LSO will submit media transportation procedures to PSO for approval.  
</t>
  </si>
  <si>
    <t>MP-5(3)</t>
  </si>
  <si>
    <t>CUSTODIANS</t>
  </si>
  <si>
    <t>The organization employs an identified custodian during transport of information system media outside of controlled areas.</t>
  </si>
  <si>
    <t xml:space="preserve">LSO will ensure that the custodian identified for the transport of media has courier training and credentials. LSO will also ensure courier coordinates with Document Control to properly prepare media for transport (e.g., packaging and receipt). 
</t>
  </si>
  <si>
    <t>MP-5(4)</t>
  </si>
  <si>
    <t>The information system implements cryptographic mechanisms to protect the confidentiality and integrity of information stored on digital media during transport outside of controlled areas.</t>
  </si>
  <si>
    <t>LSO is aware of the cryptographic protection being implemented on media being transported.</t>
  </si>
  <si>
    <t>MP-6</t>
  </si>
  <si>
    <t>Media Sanitization</t>
  </si>
  <si>
    <t>The organization:
a. Sanitizes all digital and non-digital media prior to disposal, release out of organizational control, or release for reuse using IAW NSA/CSS PM 9-12 in accordance with applicable federal and organizational standards and policies; and
b. Employs sanitization mechanisms with the strength and integrity commensurate with the security category or classification of the information.</t>
  </si>
  <si>
    <t>+GVR</t>
  </si>
  <si>
    <t>LSO and ISSM/ISSO develops media sanitization and removal procedures for PSO/AO approval. PSO/AO reviews and approves media sanitization procedures and equipment (NSA approved) prior to release/disposal and reuse of media.</t>
  </si>
  <si>
    <t>MP-6(1)</t>
  </si>
  <si>
    <t>REVIEW / APPROVE / TRACK / DOCUMENT / VERIFY</t>
  </si>
  <si>
    <t>The organization reviews, approves, tracks, documents, and verifies media sanitization and disposal actions.</t>
  </si>
  <si>
    <t>LSO and ISSM/ISSO ensure procedures include tracking/documenting actions as outlined in MP-6(1).</t>
  </si>
  <si>
    <t>MP-6(2)</t>
  </si>
  <si>
    <t>EQUIPMENT TESTING</t>
  </si>
  <si>
    <t>The organization tests sanitization equipment and procedures at least annually to verify that the intended sanitization is being achieved.</t>
  </si>
  <si>
    <t>LSO and ISSM/ISSO shall delineate equipment testing responsibility within the sanitization procedures. LSO will notify PSO of any discrepancies during the sanitization equipment testing.</t>
  </si>
  <si>
    <t>MP-6(3)</t>
  </si>
  <si>
    <t>NONDESTRUCTIVE TECHNIQUES</t>
  </si>
  <si>
    <t>The organization applies nondestructive sanitization techniques to portable storage devices prior to connecting such devices to the information system under the following circumstances: when such devices are first purchased from the manufacturer or vendor prior to initial use; prior to reuse; or if positive chain of custody has occurred.  Media obtained from unknown sources shall not be sanitized and reused.</t>
  </si>
  <si>
    <t xml:space="preserve">ISSM/ISSO will develop procedures to sanitize equipment prior to use on a classified system. The LSO will be aware of these procedures and will assist in assessing supply chain risk. </t>
  </si>
  <si>
    <t>MP-7</t>
  </si>
  <si>
    <t xml:space="preserve">Media Use </t>
  </si>
  <si>
    <t xml:space="preserve">The organization restricts the use of all types of writable removable media on all information system components using documented security measures which explicitly enforce access to, and use of, all Information System endpoints and I/O ports (e.g. CD/DVD, USB). </t>
  </si>
  <si>
    <t>LSO and ISSM/ISSO will develop procedures for the types of media allowed for use and reuse. PSO/AO will review and approve any media use and reuse procedures to ensure that appropriate safeguards are in place.</t>
  </si>
  <si>
    <t>MP-7(1)</t>
  </si>
  <si>
    <t>PROHIBIT USE WITHOUT OWNER</t>
  </si>
  <si>
    <t>The organization prohibits the use of portable storage devices in organizational information systems when such devices have no identifiable owner.</t>
  </si>
  <si>
    <t xml:space="preserve">LSO will ensure there is an owner assigned for all portable storage devices and the process for assigning custody is clearly defined in the media control procedures.  If an owner cannot be identified, the portable storage device is not authorized for use on the IS.
</t>
  </si>
  <si>
    <t>MP-8</t>
  </si>
  <si>
    <t xml:space="preserve">Media Downgrading </t>
  </si>
  <si>
    <t>The organization:
a. Establishes a documented media downgrade process for all Information System media which will be downgraded and released outside of the organization that includes employing downgrading mechanisms with sufficient strength and integrity to meet AO/DAO requirements;
b. Ensures that the information system media downgrading process is commensurate with the security category and/or classification level of the information to be removed and the access authorizations of the potential recipients of the downgraded information;
c. Identifies all media requiring downgrading; and
d. Downgrades the identified information system media using the established process.</t>
  </si>
  <si>
    <t xml:space="preserve">LSO and ISSM/ISSO will develop a process for media downgrading, upon direction of the PSO/AO. LSO is responsible for providing classification guidance on existing data and ISSM/ISSO will develop a technical process for removing/downgrading data on the IS. The PSO/AO will approve and validate all procedures. </t>
  </si>
  <si>
    <t>MP-8(1)</t>
  </si>
  <si>
    <t>DOCUMENTATION OF PROCESS</t>
  </si>
  <si>
    <t>The organization documents information system media downgrading actions.</t>
  </si>
  <si>
    <t xml:space="preserve">LSO and ISSM/ISSO will clearly document roles and responsibilities in the downgrading process.  </t>
  </si>
  <si>
    <t>MP-8(2)</t>
  </si>
  <si>
    <t>The organization employs an AO/DAO approved assessment/testing process of downgrading equipment and procedures to verify correct performance at least annually.</t>
  </si>
  <si>
    <t>ISSM/ISSO will test and validate that downgrading equipment/procedures for equipment are working properly to verify correct performance. The LSO will be aware of the equipment testing process and will be notified of discrepancies.</t>
  </si>
  <si>
    <t>MP-8(4)</t>
  </si>
  <si>
    <t>CLASSIFIED INFORMATION</t>
  </si>
  <si>
    <t>The organization downgrades information system media containing classified information prior to release to individuals without required access authorizations in accordance with NSA standards and policies.</t>
  </si>
  <si>
    <t>LSO and ISSM/ISSO develops all media downgrade procedures. PSO/AO ensures approval of procedures (applies to data on media that has been downgraded by an OCA).</t>
  </si>
  <si>
    <t>PE-1</t>
  </si>
  <si>
    <t>Physical And Environmental Protection Policy And Procedures</t>
  </si>
  <si>
    <t>The organization:
a. Develops, documents, and disseminates to all personnel having a role in Physical and Environmental Protection:
1. A physical and environmental protection policy that addresses purpose, scope, roles, responsibilities, management commitment, coordination among organizational entities, and compliance; and
2. Procedures to facilitate the implementation of the physical and environmental protection policy and associated physical and environmental protection controls; and
b. Reviews and updates the current:
1. Physical and environmental protection  policy at least annually; and
2. Physical and environmental protection procedures at least annually.</t>
  </si>
  <si>
    <t>Inhertied from Amazon C2S</t>
  </si>
  <si>
    <t xml:space="preserve">LSO will collaborate with the local facility personnel and the ISSM/ISSO as appropriate for physical environment protection policy associated with information systems within their accredited SAPFs.  LSOs are the SMEs for interpretation of many EO, directives, regulations (i.e. DoDM 5205.07-V3) that are the basis for selected controls and control enhancements in the PE family. </t>
  </si>
  <si>
    <t>PE-2</t>
  </si>
  <si>
    <t>Physical Access Authorizations</t>
  </si>
  <si>
    <t>The organization:
a. Develops, approves, and maintains a list of individuals with authorized access to the facility where the information system resides;
b. Issues authorization credentials for facility access;
c. Reviews the access list detailing authorized facility access by individuals at least annually; and
d. Removes individuals from the facility access list when access is no longer required.</t>
  </si>
  <si>
    <t xml:space="preserve">LSO is the organizational entity responsible for physical access authorizations and defines policy via local facility SOP. The LSO will maintain an access list for the facility that is reviewed at least annually. The LSO is responsible for the vetting of personnel in the facility by role (the need to be there). The PSO will approve and ensure compliance with established physical security and access control policies.  </t>
  </si>
  <si>
    <t>PE-2(3)</t>
  </si>
  <si>
    <t>RESTRICT UNESCORTED ACCESS</t>
  </si>
  <si>
    <t xml:space="preserve">The organization restricts unescorted access to the facility where the information system resides to personnel with security clearances and/or formal access approval as defined by the local security policy (i.e., Facility SOP). </t>
  </si>
  <si>
    <t xml:space="preserve">The LSO will restrict unescorted access to the facility (where the information system resides) to personnel with security clearances and/or formal access approval, as defined by the SOP and facility accreditation letter. </t>
  </si>
  <si>
    <t>PE-3</t>
  </si>
  <si>
    <t>Physical Access Control</t>
  </si>
  <si>
    <t>The organization:
a. Enforces physical access authorizations at all SAPF entry/exit points by;
1. Verifying individual access authorizations before granting access to the facility; and
2. Controlling ingress/egress to the facility using physical access control systems/devices and or guards;
b. Maintains physical access audit logs for all SAPF entry/exit points;
c. Provides CPSO/GPSO approved security safeguards to control access to areas within the facility officially designated as publicly accessible;
d. Escorts visitors and monitors visitor activity during all SAPF visits;
e. Secures keys, combinations, and other physical access devices;
f. Inventories access control devices every year (at a minimum); and
g. Changes combinations and keys when first installed or used and/or when keys are lost, combinations are compromised, or individuals are transferred or terminated.</t>
  </si>
  <si>
    <t xml:space="preserve">LSO ensures facilities where an IS resides have defined physical security policies. Baseline requires an accreditation letter to be in place and a lock or a badging system to restrict access.
</t>
  </si>
  <si>
    <t>PE-3(1)</t>
  </si>
  <si>
    <t>INFORMATION SYSTEM ACCESS</t>
  </si>
  <si>
    <t>The organization enforces physical access authorizations to the information system in addition to the physical access controls for the facility at all server rooms, media storage areas, and data/communications centers.</t>
  </si>
  <si>
    <t>LSO is responsible for physical access controls documented in the SOP. Control enhancements to areas with concentrated IS components is a collaborative effort with COMSEC custodian, ISSM, SA, document control etc.</t>
  </si>
  <si>
    <t>PE-3(2)</t>
  </si>
  <si>
    <t>FACILITY / INFORMATION SYSTEM BOUNDARIES</t>
  </si>
  <si>
    <t>The organization performs security checks randomly, and at least twice annually at the physical boundary of the facility or information system for unauthorized exfiltration of information or removal of information system components.</t>
  </si>
  <si>
    <t xml:space="preserve">LSO validates all components of the IS reside physically within the boundary of the SAPF. ISSM/ISSO validates all components reside within the information system boundary. LSO and ISSM/ISSO will develop a process to ensure data or IS components are not leaving the physical or IS boundary without permission. </t>
  </si>
  <si>
    <t>PE-3(3)</t>
  </si>
  <si>
    <t>CONTINUOUS GUARDS / ALARMS / MONITORING</t>
  </si>
  <si>
    <t>The organization employs guards and/or alarms to monitor every physical access point to the facility where the information system resides 24 hours per day, 7 days per week.</t>
  </si>
  <si>
    <t xml:space="preserve">LSO is responsible for ensuring continuous monitoring of the SAPF is implemented via guard force, IDS or alarms. 
</t>
  </si>
  <si>
    <t>PE-4</t>
  </si>
  <si>
    <t>Access Control For Transmission Medium</t>
  </si>
  <si>
    <t>The organization controls physical access to all information system distribution and transmission lines within organizational facilities using badge access to all comms rooms and  NSA- approved encryption devices (KGs) or Protective Distribution Systems when the distribution lines traverse outside of the SAPF.</t>
  </si>
  <si>
    <t>PE-4 is controlling access to cabling. Depending on the location of an information system, distribution and transmission lines e.g. internal or external to SAPF boundary LSO will have either primary or collaborative role in maintaining physical safeguards.  For example, telecommunications closets lock and key protection is a primary role of LSO.  Internal ports disabling or locked spare jacks is a primary role of ISSM.</t>
  </si>
  <si>
    <t>PE-5</t>
  </si>
  <si>
    <t>Access Control For Output Devices</t>
  </si>
  <si>
    <t>The organization controls physical access to information system output devices to prevent unauthorized individuals from obtaining the output.</t>
  </si>
  <si>
    <t>The LSO will ensure all output is protected and procedures are documented in the SOP or SSP. Output includes monitors, printers, copiers, scanners, facsimile machines, and audio devices. LSO will collaborate with the ISSM/ISSO on technical output controls.  Detailed procedures on KVMs are included in this control (i.e. PIN to print classified documents, KVM configuration).</t>
  </si>
  <si>
    <t>PE-5(2)</t>
  </si>
  <si>
    <t>ACCESS TO OUTPUT BY INDIVIDUAL IDENTITY</t>
  </si>
  <si>
    <t>The information system:
(a) Controls physical access to output from [Assignment: organization-defined output devices]; and
(b) Links individual identity to receipt of the output from the device.</t>
  </si>
  <si>
    <t xml:space="preserve">Access to output by individual identity is a technical feature applied by authentication policy not typically controlled by the LSO.  LSO may have an action if the authentication credential is linked to physical access to the SAPF.  Individual identity refers to an individual authentication (CAC required for printing). </t>
  </si>
  <si>
    <t>PE-5(3)</t>
  </si>
  <si>
    <t>MARKING OUTPUT DEVICES</t>
  </si>
  <si>
    <t>The organization marks all output devices in facilities containing information systems that that store, process, or transmit classified information indicating the appropriate security marking of the information permitted to be output from the device.</t>
  </si>
  <si>
    <t xml:space="preserve">Marking output devices is a collaborative effort between LSO and ISSM/ISSO.  Typically, networked devices (printer, monitors) are marked by ISSM/ISSO and non-networked (facsimile, copiers, phones) are marked by LSO. </t>
  </si>
  <si>
    <t>PE-6</t>
  </si>
  <si>
    <t>Monitoring Physical Access</t>
  </si>
  <si>
    <t>The organization:
a. Monitors physical access to the facility where the information system resides to detect and respond to physical security incidents;
b. Reviews physical access logs at least every 90 days and upon occurrence of any suspected or actual security event; and
c. Coordinates results of reviews and investigations with the organizational incident response capability.</t>
  </si>
  <si>
    <t xml:space="preserve">LSO will have a system in place to monitor access to the facility. Anomalies such as after hours entry/exit will be documented and reviewed (90 day requirement may be tailored).
</t>
  </si>
  <si>
    <t>PE-6(1)</t>
  </si>
  <si>
    <t>INTRUSION ALARMS / SURVEILLANCE EQUIPMENT</t>
  </si>
  <si>
    <t>The organization monitors physical intrusion alarms and surveillance equipment.</t>
  </si>
  <si>
    <t>LSO is responsible for implementation and oversight of IDE monitoring and conducting semi-annual testing per DoDM 5205.07-V3.</t>
  </si>
  <si>
    <t>PE-6(2)</t>
  </si>
  <si>
    <t>AUTOMATED INTRUSION RECOGNITION / RESPONSES</t>
  </si>
  <si>
    <t>The organization employs automated mechanisms to recognize [Assignment: organization-defined classes/types of intrusions] and initiate [Assignment: organization-defined response actions].</t>
  </si>
  <si>
    <t xml:space="preserve">LSO is the organizational entity responsible for monitoring IDE equipment and conducting semi-annual response testing per DoDM 5205.07-V3. </t>
  </si>
  <si>
    <t>PE-6(3)</t>
  </si>
  <si>
    <t>VIDEO SURVEILLANCE</t>
  </si>
  <si>
    <t>The organization employs video surveillance of [Assignment: organization-defined operational areas] and retains video recordings for at least 90 days if not otherwise defined in formal organizational policy.</t>
  </si>
  <si>
    <t xml:space="preserve">Video surveillance of the facility may occur at locations external to the SAPF (For example, building entrance instead of SAPF entrance).  LSO may have a role or may have to leverage external organizations for access to video surveillance. LSO may have cognizance over video equipment that monitors the perimeter of the SAPF and will retain feed for 90 days. </t>
  </si>
  <si>
    <t>PE-6(4)</t>
  </si>
  <si>
    <t>MONITORING PHYSICAL ACCESS TO INFORMATION SYSTEMS</t>
  </si>
  <si>
    <t>The organization monitors physical access to the information system in addition to the physical access monitoring of the facility as appropriate based upon co-mingled server/comm room usage.</t>
  </si>
  <si>
    <t xml:space="preserve">LSO is responsible for physical access controls. Control enhancements to areas with concentrated IS components is a collaborative effort with COMSEC custodian, ISSM, SA, media storage areas. Security-in-depth for areas with critical/sensitive equipment may be required. </t>
  </si>
  <si>
    <t>PE-8</t>
  </si>
  <si>
    <t>Visitor Access Records</t>
  </si>
  <si>
    <t>The organization:
a. Maintains visitor access records to the facility where the information system resides for at least two (2) years; and
b. Reviews visitor access records at least every 90 days.</t>
  </si>
  <si>
    <t xml:space="preserve">LSO is responsible for visitor access records and defines policy via local facility SOP. 
</t>
  </si>
  <si>
    <t>PE-9</t>
  </si>
  <si>
    <t>Power Equipment And Cabling</t>
  </si>
  <si>
    <t>The organization protects power equipment and power cabling for the information system from damage and destruction.</t>
  </si>
  <si>
    <t>PE-10</t>
  </si>
  <si>
    <t>Emergency Shutoff</t>
  </si>
  <si>
    <t>The organization:
a. Provides the capability of shutting off power to the information system or individual system components in emergency situations;
b. Places emergency shutoff switches or devices in [Assignment: organization-defined location by information system or system component] to facilitate safe and easy access for personnel; and
c. Protects emergency power shutoff capability from unauthorized activation.</t>
  </si>
  <si>
    <t>PE-11</t>
  </si>
  <si>
    <t>Emergency Power</t>
  </si>
  <si>
    <t>The organization provides a short-term uninterruptible power supply to facilitate [Selection (one or more): an orderly shutdown of the information system; transition of the information system to long-term alternate power] in the event of a primary power source loss.</t>
  </si>
  <si>
    <t>PE-12</t>
  </si>
  <si>
    <t>Emergency Lighting</t>
  </si>
  <si>
    <t>The organization employs and maintains automatic emergency lighting for the information system that activates in the event of a power outage or disruption and that covers emergency exits and evacuation routes within the facility.</t>
  </si>
  <si>
    <t>PE-13</t>
  </si>
  <si>
    <t>Fire Protection</t>
  </si>
  <si>
    <t>The organization employs and maintains fire suppression and detection devices/systems for the information system that are supported by an independent energy source.</t>
  </si>
  <si>
    <t>PE-13(3)</t>
  </si>
  <si>
    <t>AUTOMATIC FIRE SUPPRESSION</t>
  </si>
  <si>
    <t>The organization employs an automatic fire suppression capability for the information system when the facility is not staffed on a continuous basis.</t>
  </si>
  <si>
    <t>PE-14</t>
  </si>
  <si>
    <t>Temperature And Humidity Controls</t>
  </si>
  <si>
    <t>The organization:
a. Maintains temperature and humidity levels within the facility where the information system resides at acceptable operational levels and IAW with manufacturers recommendations; and
b. Monitors temperature and humidity levels continuously.</t>
  </si>
  <si>
    <t>PE-15</t>
  </si>
  <si>
    <t>Water Damage Protection</t>
  </si>
  <si>
    <t>The organization protects the information system from damage resulting from water leakage by providing master shutoff or isolation valves that are accessible, working properly, and known to key personnel.</t>
  </si>
  <si>
    <t>PE-16</t>
  </si>
  <si>
    <t>Delivery And Removal</t>
  </si>
  <si>
    <t>The organization authorizes, monitors, and controls all information system components entering and exiting the facility and maintains records of those items.</t>
  </si>
  <si>
    <t>LSO will request entry or removal of equipment, and execute procedures after approval. LSO will coordinate with ISSM/ISSO to ensure that sanitization is conducted in accordance with MP-6 (sanitization).  PSO will approve entry or removal.</t>
  </si>
  <si>
    <t>PE-17</t>
  </si>
  <si>
    <t>Alternate Work Site</t>
  </si>
  <si>
    <t>The organization:
a. Employs management, operational, physical, and technical security controls consistent with primary site controls at alternate work sites;
b. Assesses as feasible, the effectiveness of security controls at alternate work sites; and
c. Provides a means for employees to communicate with information security personnel in case of security incidents or problems.</t>
  </si>
  <si>
    <t xml:space="preserve">LSO will ensure that all alternate work locations are accredited.  PSO is the accrediting authority for all alternative work locations that process classified information.
</t>
  </si>
  <si>
    <t>PE-18</t>
  </si>
  <si>
    <t>Location Of Information System Components</t>
  </si>
  <si>
    <t>The organization positions information system components within the facility to minimize potential damage from [Assignment: organization-defined physical and environmental hazards] and to minimize the opportunity for unauthorized access.</t>
  </si>
  <si>
    <t>LSO shall incorporate procedures (SOP or FFC) for locating information systems based on operating environment, user accesses, and TEMPEST recommendations. Decisions on physical location of the systems will be a collaboration between the LSO, ISSM/ISSO, and CTTA.  PSO will validate implementation of this control during inspections.</t>
  </si>
  <si>
    <t>PE-19</t>
  </si>
  <si>
    <t>Information Leakage</t>
  </si>
  <si>
    <t>The organization protects the information system from information leakage due to electromagnetic signals emanations.</t>
  </si>
  <si>
    <t xml:space="preserve">LSO and ISSM/ISSO shall prepare the TEMPEST Checklist and implement countermeasures directed by the CTTA and PSO. PSO ensures accredited SAPF considers TEMPEST policies and procedures during pre-construction.  PSO shall ensure accredited SAPF conforms to TEMPEST requirements when warranted by the AO and CTTA.  </t>
  </si>
  <si>
    <t>PE-19(1)</t>
  </si>
  <si>
    <t>NATIONAL EMISSIONS / TEMPEST POLICIES AND PROCEDURES</t>
  </si>
  <si>
    <t>The organization ensures that information system components, associated data communications, and networks are protected in accordance with national emissions and TEMPEST policies and procedures based on the security category or classification of the information.</t>
  </si>
  <si>
    <t xml:space="preserve">LSO and the ISSM/ISSO shall prepare TEMPEST Checklist and implement countermeasures directed by the PSO. PSO ensures accredited SAPF considers TEMPEST policies and procedures during pre-construction.  PSO shall ensure accredited SAPF conforms to TEMPEST requirements when warranted by the AO and CTTA.  </t>
  </si>
  <si>
    <t>PL-1</t>
  </si>
  <si>
    <t>Security Planning Policy And Procedures</t>
  </si>
  <si>
    <t>The organization:
a. Develops, documents, and disseminates to all personnel having a role in Security Planning:
1. A security planning policy that addresses purpose, scope, roles, responsibilities, management commitment, coordination among organizational entities, and compliance; and
2. Procedures to facilitate the implementation of the security planning policy and associated security planning controls; and
b. Reviews and updates the current:
1. Security planning policy at least annually; and
2. Security planning procedures at least annually.</t>
  </si>
  <si>
    <t xml:space="preserve">[WC] has documented its security planning policies &amp; procedures in  the [WC]  System Security Pla, which is disseminated to all personnel having a role in Security Planning.
</t>
  </si>
  <si>
    <t xml:space="preserve">LSO and ISSM/ISSO will identify and disseminate overarching policies that define security planning activities.  For most systems, this control will be satisfied by the JSIG documentation that will be developed for the system.  PSO will validate that this policy is incorporated into DD Form 254, as necessary. </t>
  </si>
  <si>
    <t>PL-2</t>
  </si>
  <si>
    <t>System Security Plan</t>
  </si>
  <si>
    <t xml:space="preserve"> The organization:
a. Develops a security plan for the information system that:
1. Is consistent with the organization’s enterprise architecture;
2. Explicitly defines the authorization boundary for the system;
3. Describes the operational context of the information system in terms of missions and business processes;
4. Provides the security categorization of the information system including supporting rationale;
5. Describes the operational environment for the information system and relationships with or connections to other information systems;
6. Provides an overview of the security requirements for the system;
7. Identifies any relevant overlays, if applicable;
8. Describes the security controls in place or planned for meeting those requirements including a rationale for the tailoring decisions; and
9. Is reviewed and approved by the authorizing official or designated representative prior to plan implementation;
b. Distributes copies of the security plan and communicates subsequent changes to the plan to organizational security personnel (i.e., ISO, CPSO/GPSO, ISSM/ISSO, SA/NA);
c. Reviews the security plan for the information system at least annually or when required due to system changes or modifications; 
d. Updates the plan to address changes to the information system/environment of operation or problems identified during plan implementation or security control assessments; and
e. Protects the security plan from unauthorized disclosure and modification.</t>
  </si>
  <si>
    <t xml:space="preserve">a. The [WC] ISSM has developed the [WC] System Security Plan that is consistent with the architecture, defines the authorization boundary, provides the mission of the system, describes the environment in which the system resides, provides security requirements and applicable overlays, and is reviewed and approved by the AO as part of the A&amp;A process.
b. The ISSM distributes the security plan &amp; communicates changes to organizational personnel. 
c. The ISSM and PM review the security plan annually.
d. The ISSM updates the plan in the "Change Record" SSP section to address system changes and raised concerns
e. The ISSM protects the System Security Plan from unauthorized disclosure and modification by storing in SIC Folders with an ACL to limit access to approved pesonnel.
Ref: [WC] System Security Plan 
</t>
  </si>
  <si>
    <t>LSO and the ISSM/ISSO will be involved in development of SSP and SCTM, including proper classification/marking.  PSO will ensure that the organization has a valid, approved, correctly classified, and accurate SSP.  This will be validated during compliance inspections and at other pertinent periods.  PSO should be involved in approval of SSP and will need to assess security relevant controls documented in the SSP and SCTM.</t>
  </si>
  <si>
    <t>PL-2(3)</t>
  </si>
  <si>
    <t>PLAN / COORDINATE WITH OTHER ORGANIZATIONAL ENTITIES</t>
  </si>
  <si>
    <t>The organization plans and coordinates security-related activities affecting the information system with organizational security personnel (i.e., ISO, CPSO/GPSO, ISSM/ISSO, SA/NA) before conducting such activities in order to reduce the impact on other organizational entities.</t>
  </si>
  <si>
    <t>The [WC] ISSM cooridnates security-related activities aftecting the IS with the AO, ISO, PSO, and Fences IA (when appropriate), before conducting the activity.</t>
  </si>
  <si>
    <t xml:space="preserve">LSO must have a general awareness that security-related activities are properly coordinated before being implemented in accordance with applicable agreements and policies (ISA, CUA, MOA).    </t>
  </si>
  <si>
    <t>PL-4</t>
  </si>
  <si>
    <t>Rules Of Behavior</t>
  </si>
  <si>
    <t>The organization:
a. Establishes and makes readily available to individuals requiring access to the information system, the rules that describe their responsibilities and expected behavior with regard to information and information system usage;
b. Receives a signed acknowledgment from such individuals, indicating that they have read, understand, and agree to abide by the rules of behavior, before authorizing access to information and the information system;
c.  Reviews and updates the rules of behavior at least annually; and
d. Requires individuals who have signed a previous version of the rules of behavior to read and resign when the rules of behavior are revised/updated.</t>
  </si>
  <si>
    <t xml:space="preserve">a. [WC] has established an Acceptable Use Policy.
b. [WC] requires that each system users sign &amp; acknowledge the Acceptable Use Policy before system acess is granted.
c. The Acceptable Use Policy is reviewed annually.
d. Individuals are required to sign any updates to the Acceptable Use Policy.
</t>
  </si>
  <si>
    <t>In conjunction with ISSM/ISSO, LSO must have a general awareness that rules of behavior are documented and enforced.</t>
  </si>
  <si>
    <t>PL-4(1)</t>
  </si>
  <si>
    <t>SOCIAL MEDIA AND NETWORKING RESTRICTIONS</t>
  </si>
  <si>
    <t>The organization includes in the rules of behavior, explicit restrictions on the use of social media/networking sites and posting organizational information on public websites.</t>
  </si>
  <si>
    <t>The Acceptable Use Policy includes explicit policy restricting posting senstive or classified information to social media and networking sites.</t>
  </si>
  <si>
    <t>LSO and ISSM/ISSO will be involved in development of social media and social networking restrictions based on known threats.  PSO will be involved (based on review of site SOP and OPSEC plan) with approving acceptable restrictions of social media and/or dissemination of information on public websites (public release) and ensure it conforms to restrictions on DD 254 (for public release).  May also be validated during compliance inspection (OPSEC plan).</t>
  </si>
  <si>
    <t>PL-8</t>
  </si>
  <si>
    <t>Information Security Architecture</t>
  </si>
  <si>
    <t>The organization:
a. Develops an information security architecture for the information system that:
1. Describes the overall philosophy, requirements, and approach to be taken with regard to protecting the confidentiality, integrity, and availability of organizational information;
2. Describes how the information security architecture is integrated into and supports the enterprise architecture; and
3. Describes any information security assumptions about, and dependencies on, external services;
b. Reviews and updates the information security architecture at least annually or when changes to the information system or its environment warrant to reflect updates in the enterprise architecture; and
c. Ensures that planned information security architecture changes are reflected in the security plan, the security Concept of Operations (CONOPS), and organizational procurements/acquisitions.</t>
  </si>
  <si>
    <t>LSO will be aware of high level security architecture.</t>
  </si>
  <si>
    <t>PL-8(1)</t>
  </si>
  <si>
    <t>DEFENSE-IN-DEPTH</t>
  </si>
  <si>
    <t>The organization designs its security architecture using a defense-in-depth approach that:
(a) Allocates sufficient organizational security resources to provide a layered security approach comprising procedural and technical security measures to safeguard the information system and environment; and
(b) Ensures that the allocated security safeguards operate in a coordinated and mutually reinforcing manner.</t>
  </si>
  <si>
    <t xml:space="preserve">LSO will assist the ISSM/ISSO in the development of defense in-depth measures (and they are documented in SSP).  These measures may be evaluated during PSO compliance inspections. LSO may file security-in-depth (SID) letters (from Defense Security Service (DSS) [for industry]. </t>
  </si>
  <si>
    <t>PL-8(2)</t>
  </si>
  <si>
    <t>SUPPLIER DIVERSITY</t>
  </si>
  <si>
    <t>The organization requires that technical security measures, as identified in PL-8(1), allocated to different architectural layers, are obtained from different suppliers.</t>
  </si>
  <si>
    <t>PS-1</t>
  </si>
  <si>
    <t>Personnel Security Policy And Procedures</t>
  </si>
  <si>
    <t>The organization:
a. Develops, documents, and disseminates to all personnel having a role in Personnel Security:
1. A personnel security policy that addresses purpose, scope, roles, responsibilities, management commitment, coordination among organizational entities, and compliance; and
2. Procedures to facilitate the implementation of the personnel security policy and associated personnel security controls; and
b. Reviews and updates the current:
1. Personnel security policy at least annually; and
2. Personnel security procedures at least annually.</t>
  </si>
  <si>
    <t>a. [WC] implements personnel security policy and procedures in accordance with DoD 5200.2-R. 
b. The PSO reviews the policy annually and updates personnel security practices within [WC] as appropriate.</t>
  </si>
  <si>
    <t xml:space="preserve">LSO implements requirements in the DoDM 5205.07 Vol 2 to include SAPNP, Continuous Evaluation, and Suspensions/Revocations. Personnel Security policies will be documented in the SOP.
</t>
  </si>
  <si>
    <t>PS-2</t>
  </si>
  <si>
    <t>Position Risk Designation</t>
  </si>
  <si>
    <t>The organization:
a. Assigns a risk designation to all organizational positions;
b. Establishes screening criteria for individuals filling those positions; and
c. Reviews and updates position risk designations at least annually or when the position description is updated or when the position is vacated.</t>
  </si>
  <si>
    <t>PS-3</t>
  </si>
  <si>
    <t>Personnel Screening</t>
  </si>
  <si>
    <t>The organization:
a. Screens individuals prior to authorizing access to the information system; and
b. Rescreens individuals according to SAP personnel guidelines (DoDM 5205.07, Volume 2).</t>
  </si>
  <si>
    <t xml:space="preserve">a. [WC] users must have a TS security clearance to access the system.
b. The user's TS must be current within years for TS//SAR. </t>
  </si>
  <si>
    <t xml:space="preserve">LSO validates clearance and coordinates submission of personnel for formal access to SAPs. The LSO will establish and maintain a formal indoctrination program and keep records of all indoctrination and debriefs. Conditions required for rescreening are defined in the DoDM 5205.07 Vol 2. 
</t>
  </si>
  <si>
    <t>PS-3(1)</t>
  </si>
  <si>
    <t>The organization ensures that individuals accessing an information system processing, storing, or transmitting classified information are cleared and indoctrinated to the highest classification level of the information to which they have access on the system.</t>
  </si>
  <si>
    <t>[WC] user accounts are provided in accordance with the {WC Access Control Plan]. All users must have a TS clearance and formal access to the program(s) contained on [WC]. 
Ref: [WC Access Control Plan]</t>
  </si>
  <si>
    <t xml:space="preserve">LSO will establish a process with the ISSM/ISSO to ensure all individuals have the appropriate clearance required to access the network prior to granting network access. </t>
  </si>
  <si>
    <t>PS-3(2)</t>
  </si>
  <si>
    <t>FORMAL INDOCTRINATION</t>
  </si>
  <si>
    <t>The organization ensures that individuals accessing an information system processing, storing, or transmitting types of classified information which require formal indoctrination, are formally indoctrinated for all of the relevant types of information to which they have access on the system.</t>
  </si>
  <si>
    <t>S</t>
  </si>
  <si>
    <t>[WC] user accounts are provided in accordance with the [WC Access Control Plan]. All users must have a TS clearance and formal access to the program(s) contained on [WC]. 
Ref: [WC Access Control Plan]</t>
  </si>
  <si>
    <t>LSO will establish a process with the ISSM/ISSO team to ensure all individuals have been formally indoctrinated to the SAP (and/or other) accesses required to access the network prior to granting network access.</t>
  </si>
  <si>
    <t>PS-4</t>
  </si>
  <si>
    <t>Personnel Termination</t>
  </si>
  <si>
    <t>The organization, upon termination of individual employment:
a. Disables information system access within, if voluntary: as soon as possible, not to exceed 5 working days.  If involuntary: Within same day as termination.
b. Terminates/revokes any authenticators/credentials associated with the individual;
c. Conducts exit interviews that include a discussion of the non-disclosure agreement and a discussion of prohibitions against: (i) the removal of classified information from the organization's control; and (ii) direction that information be declassified in order to remove it from the organization's control;
d. Retrieves all security-related organizational information system-related property;
e. Retains access to organizational information and information systems formerly controlled by terminated individual; and
f. Notifies the ISO, CPSO/GPSO, ISSM/ISSO within as soon as possible, not to exceed one (1) working day.</t>
  </si>
  <si>
    <t>a. [WC] operators disable general user and privileged user accounts as soon as possible, not to exceed 5 working days if termination is voluntary, and within the same day if termination is involuntary in accordance with the [WC Access Control Plan].
b. [WC] revokes/disables general and privileged user accounts upon notification of termination.
c. CPSO/PSO conducts exit interviews and ensures debriefings occur for SCI IAW DoD Manual 5105.21 and for SAP DoD 5205.7.  The terminated employee does not have the authority to declassify information.
d. Facility access cards are collected at time of termination.  Facility accesses are also revoked within the facility access control system.  Should a terminated employee fail to surrender their access cards, they would be able to access Fences facilities.
e. [WC] maintains acess to data and files of all users post termination, through privileged account access and system backups. 
f.  The ISSM and CPSO are notified within one working day of employment termination.
Ref: [WC Access Control Plan]</t>
  </si>
  <si>
    <t xml:space="preserve">The LSO is responsible for conducting the debrief and updating the appropriate access/clearance databases. LSO ensures the individual's system access is disabled by establishing a coordination process between security and the ISSM/ISSO team. </t>
  </si>
  <si>
    <t>PS-4(1)</t>
  </si>
  <si>
    <t>POST-EMPLOYMENT REQUIREMENTS</t>
  </si>
  <si>
    <t>The organization:
(a) Notifies terminated individuals of applicable, legally binding post-employment requirements for the protection of organizational information; and
(b) Requires terminated individuals to sign an acknowledgment of post-employment requirements as part of the organizational termination process.</t>
  </si>
  <si>
    <t>a. [WC] requires all terminated personnel to be debriefed from any related programs or SCI compartments, where applicable.
b. [WC] requires all terminiated personnel to sign SAP/SCI debriefing forms.</t>
  </si>
  <si>
    <t xml:space="preserve">The LSO is responsible for executing the debriefing program.  Detailed debriefing requirements can be found in DoDM 5205.07 Volume 2.  All terminated employees are required to sign a debrief SAP PIA. 
</t>
  </si>
  <si>
    <t>PS-5</t>
  </si>
  <si>
    <t>Personnel Transfer</t>
  </si>
  <si>
    <t>The organization: 
a. Reviews and confirms ongoing operational need for current logical and physical access authorizations to information systems/facilities when individuals are reassigned or transferred to other positions within the organization;
b. Initiates reassignment actions to ensure all system access no longer required (need to know) are removed or disabled within ten (10 )working days;
c. Modifies access authorization as needed to correspond with any changes in operational need due to reassignment or transfer; and
d. Notifies the ISO, CPSO/GPSO, ISSM/ISSO within not to exceed 5 working days.</t>
  </si>
  <si>
    <t>LSOs have the responsibility to coordinate Transfer of Access (TOAs) with PSO and AAA in accordance with DoDM 5205.07. If the TOA is approved, a process must be in place to notify ISSM/ISSO if system accesses need to be retained. Supervisors revalidate user rights/privileges when reassignments are made and coordinate with ISSM/ISSO, as appropriate.</t>
  </si>
  <si>
    <t>PS-6</t>
  </si>
  <si>
    <t>Access Agreements</t>
  </si>
  <si>
    <t xml:space="preserve">The organization:
a. Develops and documents access agreements for organizational information systems;
b. Reviews and updates the access agreements at least annually; and
c. Ensures that individuals requiring access to organizational information and information systems: 
1. Sign appropriate access agreements prior to being granted access; and
2. Re-sign access agreements to maintain access to organizational information systems when access agreements have been updated or at least annually </t>
  </si>
  <si>
    <t>a. [WC] has developed an Acceptable Use Policy which is provided to general and privileged users.
b. User agreements are reviewed and updated at least annually.
c. Ecah user must sign the Acceptable Use Policy before being given access to the system. Additionally, users must sign the Acceptable Use Policy at least annually thereafter and when system changes warrant an update to the Acceptable Use Policy.
Ref: [WC] Acceptable Use Policy</t>
  </si>
  <si>
    <t xml:space="preserve">The LSO will be aware of the access agreements (GUA, PUA) are in place for the network. ISSM/ISSOs are responsible for executing and maintaining network access agreements. </t>
  </si>
  <si>
    <t>PS-6(2)</t>
  </si>
  <si>
    <t>CLASSIFIED INFORMATION REQUIRING SPECIAL PROTECTION</t>
  </si>
  <si>
    <t>The organization ensures that access to classified information requiring special protection is granted only to individuals who:
(a) Have a valid access authorization that is demonstrated by assigned official government duties;
(b) Satisfy associated personnel security criteria; and
(c) Have read, understood, and signed a nondisclosure agreement.</t>
  </si>
  <si>
    <t xml:space="preserve">LSO will coordinate with the ISSM/ISSO team to ensure all individuals have required clearances and have been formally indoctrinated to the SAP (and/or other) accesses required to access the network. </t>
  </si>
  <si>
    <t>PS-6(3)</t>
  </si>
  <si>
    <t>The organization:
(a) Notifies individuals of applicable, legally binding post-employment requirements for protection of organizational information; and
(b) Requires individuals to sign an acknowledgment of these requirements, if applicable, as part of granting initial access to covered information.</t>
  </si>
  <si>
    <t>a. Individuals are notified of applicable legal bindings as part of being graneted SAP access
b. Individuals are required to sign acknowledgement of these legalities as part of being granted SAP access</t>
  </si>
  <si>
    <t xml:space="preserve">The LSO is responsible for conducting the debrief and updating the appropriate databases. Ensuring the individual's system access is disabled requires coordination between the LSO and the ISSM/ISSO team. </t>
  </si>
  <si>
    <t>PS-7</t>
  </si>
  <si>
    <t>Third-Party Personnel Security</t>
  </si>
  <si>
    <t>The organization:
a. Establishes personnel security requirements including security roles and responsibilities for third-party providers;
b. Requires third-party providers to comply with personnel security policies and procedures established by the organization;
c. Documents personnel security requirements;
d. Requires third-party providers to notify the ISO, CPSO/GPSO, ISSM/ISSO of any personnel transfers or terminations of third-party personnel who possess organizational credentials and/or badges, or who have information system privileges within as soon as possible, not to exceed one (1) working day; and
e. Monitors provider compliance.</t>
  </si>
  <si>
    <t>All users on the system are required to meet the same requirements for access. Third Party personnel are treated no differently than any other users on the system and follow the same processes and procedures required for all users. 
a. Third-party providers are either accessed to the level required to perform their duties or they are not given access to sensitvie data
b. Third-party provieders are reuqired to adhere to Fences security policies
c. Thrid-party individuals go though the same processes, regardless of status, and follow procedures to access any Fences space
d. Third party providers are not given credentials or system privileges
e. [WC] provides personnel security support for thid-party personnel</t>
  </si>
  <si>
    <t>If a Third-Party provider is required, the LSO and the ISSM/ISSO team will coordinate with the PSO to ensure the provider is granted formal access to the system and the appropriate user agreements/PIAs are signed.</t>
  </si>
  <si>
    <t>PS-8</t>
  </si>
  <si>
    <t>Personnel Sanctions</t>
  </si>
  <si>
    <t>The organization:
a. Employs a formal sanctions process for individuals failing to comply with established information security policies and procedures; and
b. Notifies the AO/DAO, PSO, ISO, CPSO/GPSO, ISSM/ISSO within as soon as possible, not to exceed one (1) working day when a formal employee sanctions process is initiated, identifying the individual sanctioned and the reason for the sanction.</t>
  </si>
  <si>
    <t>a. [WC] adheres to DoD M 5205.07-V1 Enclosure 8.
b. When a formal sanctions process is initiated, the PSO notifies all applicable oversight and government office personnel within 1 working day.</t>
  </si>
  <si>
    <t xml:space="preserve">The LSO will handle all incidents when there is a failure to comply with established information security polices as security incidents. This will require coordination with the ISSM/ISSO team to ensure policies are well documented and the PSO is notified in accordance with an approved incident response plan. </t>
  </si>
  <si>
    <t>RA-1</t>
  </si>
  <si>
    <t>Risk Assessment Policy And Procedures</t>
  </si>
  <si>
    <t>The organization:
a. Develops, documents, and disseminates to all personnel having a role in Risk Assessments:
1. A risk assessment policy that addresses purpose, scope, roles, responsibilities, management commitment, coordination among organizational entities, and compliance; and
2. Procedures to facilitate the implementation of the risk assessment policy and associated risk assessment controls; and
b. Reviews and updates the current:
1. Risk assessment policy at least annually; and
2. Risk assessment procedures at least annually.</t>
  </si>
  <si>
    <t>a. [WC] has documented its risk assessment Policy and Procedures in the [WC] Risk Assessment Plan and disseminates the Risk Assessment Plan to all personal having a role in risk assessment.
b. As defined in the [WC] Risk Assessment Plan, the ISSM will annually review the policies and procedures of the document and update the document as necessary.
Ref: [WC] Risk Assessment Plan</t>
  </si>
  <si>
    <t>LSO and the ISSM/ISSO will be involved in developing organizational risk policy.  Information System Owner (ISO) is ultimately responsible for creation of this document.</t>
  </si>
  <si>
    <t>RA-2</t>
  </si>
  <si>
    <t>Security Categorization</t>
  </si>
  <si>
    <t>The organization:
a. Categorizes information and the information system in accordance with applicable federal laws, Executive Orders, directives, policies, regulations, standards, and guidance;
b. Documents the security categorization results (including supporting rationale) in the security plan for the information system; and
c. Ensures that the security categorization decision is reviewed and approved by the authorizing official or authorizing official designated representative.</t>
  </si>
  <si>
    <t>a. [WC] has been categorized as a [WC Categorization] in accordance with section 3.1.1 of the CNSSI 1253.
b. The categorization has been documented in the System Security Plan.</t>
  </si>
  <si>
    <t xml:space="preserve">LSO will be involved in discussions with Information Owner (IO), ISO, ISSM/ISSO, SCA, PSO, and AO regarding the security categorization (identification of information types and C,I,A of information types.) of the information system.  This is Step 1 in the RMF.  </t>
  </si>
  <si>
    <t>RA-3</t>
  </si>
  <si>
    <t>Risk Assessment</t>
  </si>
  <si>
    <t>The organization:
a. Conducts an assessment of risk, including the likelihood and magnitude of harm, from the unauthorized access, use, disclosure, disruption, modification, or destruction of the information system and the information it processes, stores, or transmits;
b. Documents risk assessment results in the Risk Assessment Report;
c. Reviews risk assessment results at least annually;
d. Disseminates risk assessment results to the AO/DAO, SCA, ISO, CPSO/GPSO, ISSM/ISSO; and
e. Updates the risk assessment at least annually or whenever there are significant changes to the information system or environment of operation (including the identification of new threats and vulnerabilities), or other conditions that may impact the security state of the system.</t>
  </si>
  <si>
    <t>a. [WC] conducted a system risk assessment based on the factors outline in the Risk Assessment Report.
b. The results from the risk assessment are captured in the [WC] Risk Assessment Report.
c. The [WC] ISSM reviews the RAR at least annually.
d. The [WC] ISSM disseminates the RAR, and any updates to the RAR, to the AO/SCA, ISO, Program Manager, and PSO, at a minimum.
Ref: [WC] Risk Assessment Report</t>
  </si>
  <si>
    <t>LSO and ISSM/ISSO team will assist the ISO with conducting a risk assessment by providing known threats, vulnerabilities, and any mitigations.  The PSO may assist in providing threat information.</t>
  </si>
  <si>
    <t>RA-5</t>
  </si>
  <si>
    <t>Vulnerability Scanning</t>
  </si>
  <si>
    <t>The organization:
a. Scans for vulnerabilities in the information system and hosted applications at least quarterly and when new vulnerabilities potentially affecting the system/applications are identified and reported;
b. Employs vulnerability scanning tools and techniques that facilitate interoperability among tools and automate parts of the vulnerability management process by using standards for:
1. Enumerating platforms, software flaws, and improper configurations;
2. Formatting checklists and test procedures; and
3. Measuring vulnerability impact; 
c. Analyzes vulnerability scan reports and results from security control assessments;
d. Remediates legitimate vulnerabilities within not to exceed 30 days and  in accordance with an organizational assessment of risk; and
e. Shares information obtained from the vulnerability scanning process and security control assessments with other appropriatly briefed security personnel to help eliminate similar vulnerabilities in other information systems (i.e., systemic weaknesses or deficiencies).</t>
  </si>
  <si>
    <t>RA-5(1)</t>
  </si>
  <si>
    <t>UPDATE TOOL CAPABILITY</t>
  </si>
  <si>
    <t>The organization employs vulnerability scanning tools that include the capability to readily update the information system vulnerabilities to be scanned.</t>
  </si>
  <si>
    <t>Recommendation: use a DoD provided scanning tool for compliance</t>
  </si>
  <si>
    <t>RA-5(2)</t>
  </si>
  <si>
    <t>UPDATE BY FREQUENCY / PRIOR TO NEW SCAN / WHEN IDENTIFIED</t>
  </si>
  <si>
    <t>The organization updates the information system vulnerabilities scanned: within 30 days prior to running scans, prior to a new scan; when new vulnerabilities are identified and reported.</t>
  </si>
  <si>
    <t>[WC] will update its system vulnerabilities within 30 days of identification.</t>
  </si>
  <si>
    <t>RA-5(3)</t>
  </si>
  <si>
    <t>BREADTH / DEPTH OF COVERAGE</t>
  </si>
  <si>
    <t>The organization employs vulnerability scanning procedures that can identify the breadth and depth of coverage (i.e., information system components scanned and vulnerabilities checked).</t>
  </si>
  <si>
    <t>[Workload Approach: Scanning Coverage]</t>
  </si>
  <si>
    <t>RA-5(4)</t>
  </si>
  <si>
    <t>DISCOVERABLE INFORMATION</t>
  </si>
  <si>
    <t>The organization determines what information about the information system is discoverable by adversaries and subsequently takes the following actions; notification to the AO/DAO, PSO, and ISO.</t>
  </si>
  <si>
    <t>As part of the Risk Assessment, [WC] has identified what information about the system is discoverable by adversaries, and has assigned an associated risk level. All risks to the system are captured in the Risk Assessment Report which is provided to the AO, SCA, the Program Manager, and PSO, at a minimum.
Ref: [WC] Risk Assessment Report</t>
  </si>
  <si>
    <t>RA-5(5)</t>
  </si>
  <si>
    <t>PRIVILEGED ACCESS</t>
  </si>
  <si>
    <t>The information system implements privileged access authorization to all IS components for all authorized vulnerability scanning activities.</t>
  </si>
  <si>
    <t>Privileged access is granted for system component accounts for vulnerability scanning.</t>
  </si>
  <si>
    <t>RA-6</t>
  </si>
  <si>
    <t xml:space="preserve">Technical Surveillance Countermeasures Survey </t>
  </si>
  <si>
    <t>The organization employs a technical surveillance countermeasures survey at the physical boundary of the facility(ies) in which the Information System resides, and as determined by facility accreditation requirements in DoDM 5205.07, Volume 3.</t>
  </si>
  <si>
    <t xml:space="preserve">Security Guidance Text: The LSO will notify the PSO if circumstances warrant a TSCM and will retain all documentation. 
 </t>
  </si>
  <si>
    <t>SA-1</t>
  </si>
  <si>
    <t>System And Services Acquisition Policy And Procedures</t>
  </si>
  <si>
    <t>The organization:
a. Develops, documents, and disseminates to all personnel having a role in System and Services Acquisition:
1. A system and services acquisition policy that addresses purpose, scope, roles, responsibilities, management commitment, coordination among organizational entities, and compliance; and
2. Procedures to facilitate the implementation of the system and services acquisition policy and associated system and services acquisition controls; and
b. Reviews and updates the current:
1. System and services acquisition policy at least annually; and
2.  System and services acquisition procedures at least annually.</t>
  </si>
  <si>
    <t>a. OSD has documented its system &amp; services acquisition policies &amp; procedures in the JSIG and disseminates the JSIG to all personnel having a role in system &amp; services acquisition.
b. The ISSM will check annually for updates to the JSIG annually and implement any required changes to [WC] processes.</t>
  </si>
  <si>
    <t>LSO will be aware of contents of system and service acquisition policy.  System and service acquisition addresses the acquisition of all IS components and IS support services (ex: hardware, software licenses, software, software documentation).</t>
  </si>
  <si>
    <t>SA-2</t>
  </si>
  <si>
    <t>Allocation Of Resources</t>
  </si>
  <si>
    <t>The organization:
a. Determines information security requirements for the information system or information system service in mission/business process planning;
b. Determines, documents, and allocates the resources required to protect the information system or information system service as part of its capital planning and investment control process; and
c. Establishes a discrete line item for information security in organizational programming and budgeting documentation.</t>
  </si>
  <si>
    <t xml:space="preserve">LSO and ISSM/ISSO team ensures sites complies with requirements in SOW and DD254.  Additionally, the LSO ensures that staffing levels satisfy security requirements. PSO ensures SOW and DD254 properly outline IS and security requirements. </t>
  </si>
  <si>
    <t>SA-3</t>
  </si>
  <si>
    <t xml:space="preserve">System Development Life Cycle </t>
  </si>
  <si>
    <t>The organization:
a. Manages the information system using the system development life cycle as identified in section 2.2.2 of the JSIG that incorporates information security considerations;
b. Defines and documents information security roles and responsibilities throughout the system development life cycle;
c. Identifies individuals having information security roles and responsibilities; and
d. Integrates the organizational information security risk management process into system development life cycle activities.</t>
  </si>
  <si>
    <t>SA-4</t>
  </si>
  <si>
    <t>Acquisition Process</t>
  </si>
  <si>
    <t>The organization includes the following requirements, descriptions, and criteria, explicitly or by reference, in the acquisition contract for the information system, system component, or information system service in accordance with applicable federal laws, Executive Orders, directives, policies, regulations, standards, guidelines, and organizational mission/business needs:
a. Security functional requirements;
b. Security strength requirements;
c. Security assurance requirements;
d. Security-related documentation requirements;
e. Requirements for protecting security-related documentation;
f. Description of the information system development environment and environment in which the system is intended to operate; and
g. Acceptance criteria.</t>
  </si>
  <si>
    <t xml:space="preserve">Inherited from Amazon C2S. 
All system components have been vetted by Amazon C2S and the Intelligence Community for use on the system. </t>
  </si>
  <si>
    <t>LSO will ensure security is a primary focus within the organization throughout the acquisition cycle.  PSO will provide input to ensure that system security control requirements are met in requirements gathering phase by ISSM/ISSO.</t>
  </si>
  <si>
    <t>SA-4(1)</t>
  </si>
  <si>
    <t>FUNCTIONAL PROPERTIES OF SECURITY CONTROLS</t>
  </si>
  <si>
    <t>The organization requires the developer of the information system, system component, or information system service to provide a description of the functional properties of the security controls to be employed.</t>
  </si>
  <si>
    <t>[Workload Approach: Sec Controls]</t>
  </si>
  <si>
    <t>SA-4(2)</t>
  </si>
  <si>
    <t>DESIGN / IMPLEMENTATION INFORMATION FOR SECURITY CONTROLS</t>
  </si>
  <si>
    <t>The organization requires the developer of the information system, system component, or information system service to provide design and implementation information for the security controls to be employed that includes: high and low-level system design information at a sufficient level of detail to support control assessments and recommendations.</t>
  </si>
  <si>
    <t>[Workload Approach: Design]</t>
  </si>
  <si>
    <t>SA-4(6)</t>
  </si>
  <si>
    <t>USE OF INFORMATION ASSURANCE PRODUCTS</t>
  </si>
  <si>
    <t>The organization:
(a) Employs only government off-the-shelf (GOTS) or commercial off-the-shelf (COTS) information assurance (IA) and IA-enabled information technology products that compose an NSA-approved solution to protect classified information when the networks used to transmit the information are at a lower classification level than the information being transmitted; and
(b) Ensures that these products have been evaluated and/or validated by NSA or in accordance with NSA-approved procedures.</t>
  </si>
  <si>
    <t>SA-4(7)</t>
  </si>
  <si>
    <t>NIAP-APPROVED PROTECTION PROFILES</t>
  </si>
  <si>
    <t>The organization:
(a) Limits the use of commercially provided information assurance (IA) and IA-enabled information technology products to those products that have been successfully evaluated against a National Information Assurance partnership (NIAP)-approved Protection Profile for a specific technology type, if such a profile exists; and
(b) Requires, if no NIAP-approved Protection Profile exists for a specific technology type but a commercially provided information technology product relies on cryptographic functionality to enforce its security policy, that the cryptographic module is FIPS-validated.</t>
  </si>
  <si>
    <t xml:space="preserve">Inherited from Fences 
a. OSD does not limit the use of IA &amp; IA enabled products to those of the NIAP approved Protection Profiles.
b. OSD requires the use FIPS-validated cryptographic modules. </t>
  </si>
  <si>
    <t>SA-4(9)</t>
  </si>
  <si>
    <t>FUNCTIONS / PORTS / PROTOCOLS / SERVICES IN USE</t>
  </si>
  <si>
    <t>The organization requires the developer of the information system, system component, or information system service to identify early in the system development life cycle, the functions, ports, protocols, and services intended for organizational use.</t>
  </si>
  <si>
    <t>The ports, protocols, and services are listed in the System Security Plan.</t>
  </si>
  <si>
    <t>SA-4(10)</t>
  </si>
  <si>
    <t>USE OF APPROVED PIV PRODUCTS</t>
  </si>
  <si>
    <t>The organization employs only information technology products on the FIPS 201-approved products list for Personal Identity Verification (PIV) capability implemented within organizational information systems.</t>
  </si>
  <si>
    <t>Fences does not use PIV credentials for authentication.</t>
  </si>
  <si>
    <t>SA-5</t>
  </si>
  <si>
    <t>Information System Documentation</t>
  </si>
  <si>
    <t>The organization:
a. Obtains administrator documentation for the information system, system component, or information system service that describes:
1. Secure configuration, installation, and operation of the system, component, or service; 
2. Effective use and maintenance of security functions/mechanisms; and
3. Known vulnerabilities regarding configuration and use of administrative (i.e., privileged) functions;
b. Obtains user documentation for the information system, system component, or information system service that describes:
1. User-accessible security functions/mechanisms and how to effectively use those security functions/mechanisms;
2. Methods for user interaction, which enables individuals to use the system, component, or service in a more secure manner; and
3. User responsibilities in maintaining the security of the system, component, or service;
c. Documents attempts to obtain information system, system component, or information system service documentation when such documentation is either unavailable or nonexistent and notifies SCA in response;
d. Protects documentation as required, in accordance with the risk management strategy; and
e. Distributes documentation to all personnel with a role in developing, operating, maintaining, and assuring the security of the information system.</t>
  </si>
  <si>
    <t>a. [Workload Approach: Documentation]
b. [Workload Approach: Documentation1]
c. [Workload Approach: Documentation 2]
d. The [WC] ISSM distributes system documentation to all personnel with a role in developing, operating, maintaing, and assuring the security of the information system.</t>
  </si>
  <si>
    <t>SA-8</t>
  </si>
  <si>
    <t>Security Engineering Principles</t>
  </si>
  <si>
    <t>The organization applies information system security engineering principles in the specification, design, development, implementation, and modification of the information system.</t>
  </si>
  <si>
    <t>[Workload Approach: SecEngineering Principles]</t>
  </si>
  <si>
    <t>SA-9</t>
  </si>
  <si>
    <t>External Information System Services</t>
  </si>
  <si>
    <t>The organization:
a. Requires that providers of external information system services comply with organizational information security requirements and employ AO/DAO identified security controls in accordance with applicable federal laws, Executive Orders, directives, policies, regulations, standards, and guidance;
b. Defines and documents government oversight and user roles and responsibilities with regard  to external information system services; and
c. Employs AO/DAO defined processes, methods, and techniques to monitor security control compliance by external service providers on an ongoing basis.</t>
  </si>
  <si>
    <t>LSO has awareness and provides risk consideration when organization intends to use and uses external service providers (Examples of external IS services are: providers of communications infrastructure, external data hosting).</t>
  </si>
  <si>
    <t>SA-9(1)</t>
  </si>
  <si>
    <t>RISK ASSESSMENTS / ORGANIZATIONAL APPROVALS</t>
  </si>
  <si>
    <t>The organization:
(a) Conducts an organizational assessment of risk prior to the acquisition or outsourcing of dedicated information security services; and
(b) Ensures that the acquisition or outsourcing of dedicated information security services is approved by the AO/DAO.</t>
  </si>
  <si>
    <t>[WC] does not outsource security services.</t>
  </si>
  <si>
    <t xml:space="preserve">LSO and the ISSM/ISSO team will assist the ISO in developing a risk assessment associated with using external provider(s) and coordinate with PSO for approval. </t>
  </si>
  <si>
    <t>SA-9(2)</t>
  </si>
  <si>
    <t>IDENTIFICATION OF FUNCTIONS / PORTS / PROTOCOLS / SERVICES</t>
  </si>
  <si>
    <t>The organization requires providers of all external information systems and services to identify the functions, ports, protocols, and other services required for the use of such services.</t>
  </si>
  <si>
    <t>SA-10</t>
  </si>
  <si>
    <t>Developer Configuration Management</t>
  </si>
  <si>
    <t>The organization requires the developer of the information system, system component, or information system service to:
a. Perform configuration management during system, component, or service design, development, implementation, and operation;
b. Document, manage, and control the integrity of changes to all Information System components;
c. Implement only organization-approved changes to the system, component, or service;
d. Document approved changes to the system, component, or service and the potential security impacts of such changes; and
e. Track security flaws and flaw resolution within the system, component, or service and report findings to the AO/DAO, ISO, CPSO/GPSO, ISSM/ISSO.</t>
  </si>
  <si>
    <t>a. [WC] has established  the [WC Configuration Management Plan] which requires configuration management through the SDLC to include: during system, component, or service design, development, implementation, and operation.
b. All changes made to the system are documented and maintained in a secure file share.
c. Only CCB approved changes are made to the system.
d. [WC] documents the approved changes and related security impacts to the system as part of the CCB package for approval. 
e. Security flaws and flaw resolution is tracked for the system. All findings are reported to the AO/DAO, ISO, POS, and ISSM.
Ref: [WC Configuration Management Plan]</t>
  </si>
  <si>
    <t>SA-10(1)</t>
  </si>
  <si>
    <t>SOFTWARE / FIRMWARE INTEGRITY VERIFICATION</t>
  </si>
  <si>
    <t>The organization requires the developer of the information system, system component, or information system service to enable integrity verification of software and firmware components.</t>
  </si>
  <si>
    <t>[Workload Aproach - Integrity Verification]</t>
  </si>
  <si>
    <t>SA-11</t>
  </si>
  <si>
    <t>Developer Security Testing and Evaluation</t>
  </si>
  <si>
    <t>The organization requires the developer of the information system, system component, or information system service to:
a. Create and implement a security assessment plan;
b. Perform unit; integration; system; and regression testing/evaluation at sufficient depth and coverage levels to ensure that the system and controls are implemented correctly, operating as intended, and producing the desired outcomes;
c. Produce evidence of the execution of the security assessment plan and the results of the security testing/evaluation;
d. Implement a verifiable flaw remediation process; and
e. Correct flaws identified during security testing/evaluation.</t>
  </si>
  <si>
    <t>a. [WC] has developed a SAP.
b. Testing for the system has been ongoing throughout development of the system. Additional testing will be performed during the A&amp;A with the SCA(s).
c. The SAP will be executed at the A&amp;A event. Results will be recorded for each item tested.
d. [Workload Approach: Flaw Remediation Policy]
e. System flaws are corrected or placed on the POA&amp;M for later attention.</t>
  </si>
  <si>
    <t>LSO will be informed of any security concerns arise in the results of the Testing and Evaluation.</t>
  </si>
  <si>
    <t>SA-11(3)</t>
  </si>
  <si>
    <t>INDEPENDENT VERIFICATION OF ASSESSMENT PLANS / EVIDENCE</t>
  </si>
  <si>
    <t>The organization:
(a) Requires an independent agent satisfying the necessary qualifications (i.e., expertise, skills, training, and experience) and whom is not a stakeholder in the development, mission and/or operation of the system to verify the correct implementation of the developer security assessment plan and the evidence produced during security testing/evaluation; and
(b) Ensures that the independent agent either is provided with sufficient information to complete the verification process or has been granted the authority to obtain such information.</t>
  </si>
  <si>
    <t>a. The SCA will act as the independent assessor for the system.
b. The AO ensures that the SCA has the requisite security and cloud training, and is provided with system documenation and artifacts.</t>
  </si>
  <si>
    <t>SA-12</t>
  </si>
  <si>
    <t>Supply Chain Protection</t>
  </si>
  <si>
    <t>The organization protects against supply chain threats to the information system, system component, or information system service by employing security safeguards in accordance with CNSSD No. 505, Supply Chain Risk Management as part of a comprehensive, defense-in-breadth information security strategy.</t>
  </si>
  <si>
    <t>[Workload Approach: Supply Chain]
Inherited from Amazon C2S.
Infrastructure components are acquired and managed by Amazon C2s.
Inherited from Fences.
Fences developed components are managed by Fences.</t>
  </si>
  <si>
    <t>LSO, ISSM/ISSO and IT team collaborate on all IT purchases to ensures compliance with policy requirements that prohibit the use of certain vendors as necessary.  PSO approves entry of hardware/media into SAPF.</t>
  </si>
  <si>
    <t>SA-12(9)</t>
  </si>
  <si>
    <t>OPERATIONS SECURITY</t>
  </si>
  <si>
    <t>The organization employs AO/DAO/PSO approved OPSEC methodologies in accordance with classification guides to protect supply chain-related information for the information system, system component, or information system service.</t>
  </si>
  <si>
    <t>[WC] employs AO approved OPSEC methodologies to protect supply chain information.</t>
  </si>
  <si>
    <t>SA-15</t>
  </si>
  <si>
    <t>Development Process, Standards and Tools</t>
  </si>
  <si>
    <t>The organization:
a. Requires the developer of the information system, system component, or information system service to follow a documented development process that:
1. Explicitly addresses security requirements;
2. Identifies the standards and tools used in the development process;
3. Documents the specific tool options and tool configurations used in the development process; and
4. Documents, manages, and ensures the integrity of changes to the process and/or tools used in development; and
b. Reviews the development process, standards, tools, and tool options/configurations annually to determine if the process, standards, tools, and tool options/configurations selected and employed can satisfy JSIG and Industry Standard Best Practice requirements.</t>
  </si>
  <si>
    <t>SA-15(9)</t>
  </si>
  <si>
    <t>USE OF LIVE DATA</t>
  </si>
  <si>
    <t>The organization approves, documents, and controls the use of live data in development and test environments for the information system, system component, or information system service.</t>
  </si>
  <si>
    <t>[WC] will only use live data with the approval from the AO.</t>
  </si>
  <si>
    <t>LSO and ISSM/ISSO will review and route for PSO and AO approval any testing that requires the use of live data. Live data is actual information (actual personnel security information, actual PIDs) vice dummy/test data.</t>
  </si>
  <si>
    <t>SA-19</t>
  </si>
  <si>
    <t>Component Authenticity  </t>
  </si>
  <si>
    <t xml:space="preserve">The organization:
a. Develops and implements anti-counterfeit policy and procedures that include the means to detect and prevent counterfeit components from entering the information system; and
b. Reports counterfeit information system components to the AO/DAO/PSO, ISO, GSSO/CPSO, ISSM/ISSO.     </t>
  </si>
  <si>
    <t>a. [Workload Approach: Couterfeit]
b. The ISSM reports counterfeit information to the AO/DAO/PSO, ISO, and SCA, at a minimum.</t>
  </si>
  <si>
    <t>SA-22</t>
  </si>
  <si>
    <t>Unsupported System Components </t>
  </si>
  <si>
    <t>The organization:
a. Replaces information system components when support for the components is no longer available from the developer, vendor, or manufacturer; and
b. Provides justification and documents approval for the continued use of unsupported system components required to satisfy mission/business needs.</t>
  </si>
  <si>
    <t>a. [WC] replaces or upgrades IS components that are no longer supported by the vendor
b. If continued use for a non-supported component is required, [WC] will have it specifically approved by the AO.</t>
  </si>
  <si>
    <t>SC-1</t>
  </si>
  <si>
    <t>System And Communications Protection Policy And Procedures</t>
  </si>
  <si>
    <t>The organization:
a. Develops, documents, and disseminates to all personnel having a role in System and Communications Protection:
1. A system and communications protection policy that addresses purpose, scope, roles, responsibilities, management commitment, coordination among organizational entities, and compliance; and
2. Procedures to facilitate the implementation of the system and communications protection policy and associated system and communications protection controls; and
b. Reviews and updates the current:
1. System and communications protection policy at least annually if not otherwise defined in formal organizational policy; and
2. System and communications protection procedures at least annually if not otherwise defined in formal organizational policy.</t>
  </si>
  <si>
    <t>a. Inherited from Fences 
b. [WC] ISSM will check annually for updates to the JSIG and review internal system &amp; communication protection policies and procedures for compliance.</t>
  </si>
  <si>
    <t xml:space="preserve">LSO and the ISSM/ISSO must understand and assist in implementing the overall protection of data/system/organization as part of security posture of program/facility.  PSO will approve and inspect, as applicable. </t>
  </si>
  <si>
    <t>SC-2</t>
  </si>
  <si>
    <t>Application Partitioning</t>
  </si>
  <si>
    <t>The information system separates user functionality (including user interface services) from information system management functionality.</t>
  </si>
  <si>
    <t>[WC Approach: AppPart]</t>
  </si>
  <si>
    <t>SC-2(1)</t>
  </si>
  <si>
    <t>INTERFACES FOR NON-PRIVILEGED USERS</t>
  </si>
  <si>
    <t>The information system prevents the presentation of information system management-related functionality at an interface for non-privileged users.</t>
  </si>
  <si>
    <t>[Workload Approach: Interface]</t>
  </si>
  <si>
    <t>SC-3</t>
  </si>
  <si>
    <t>Security Function Isolation</t>
  </si>
  <si>
    <t>The information system isolates security functions from nonsecurity functions.</t>
  </si>
  <si>
    <t>[WC] isolates security functions from non-security functions by [WC Approach: SecFI]</t>
  </si>
  <si>
    <t>SC-4</t>
  </si>
  <si>
    <t>Information In Shared Resources</t>
  </si>
  <si>
    <t>The information system prevents unauthorized and unintended information transfer via shared system resources.</t>
  </si>
  <si>
    <t xml:space="preserve">Inherited:
Fences is configured to prevent
unauthorized and unintended workload customer
information transfer via shared system
resources by the implementation of
AWS security groups,  host firewall settings,
encrypted object &amp; block storage, &amp; AWS roles IAM roles &amp; policies.
</t>
  </si>
  <si>
    <t>SC-5</t>
  </si>
  <si>
    <t>Denial Of Service Protection</t>
  </si>
  <si>
    <t>The information system protects against or limits the effects of the following types of denial of service attacks: external DoS attacks by employing appropriate safeguards on Information System boundary devices.</t>
  </si>
  <si>
    <t>[WC] protects against DoS attacks by disabliing unused &amp; insecure services and by configuring [WC Firewall] firewall to deny external ICMP traffic responses.
[WC] DoS protection also includes [WC Approach: DoS]</t>
  </si>
  <si>
    <t>SC-5(1)</t>
  </si>
  <si>
    <t>RESTRICT INTERNAL USERS</t>
  </si>
  <si>
    <t>The information system restricts the ability of individuals to launch all types of Denial of Service attacks against other information systems.</t>
  </si>
  <si>
    <t xml:space="preserve">PC 
</t>
  </si>
  <si>
    <t xml:space="preserve">[WC] restricts internal users ability to launch DoS attacks by strictly controlling user privileges, maintaining an approved software baseline, &amp; restricting the installation of hacking utilities. </t>
  </si>
  <si>
    <t>SC-5(2)</t>
  </si>
  <si>
    <t>EXCESS CAPACITY / BANDWIDTH / REDUNDANCY</t>
  </si>
  <si>
    <t>The information system manages excess capacity, bandwidth, or other redundancy to limit the effects of information flooding denial of service attacks.</t>
  </si>
  <si>
    <t xml:space="preserve">Inherited from Fences </t>
  </si>
  <si>
    <t>SC-5(3)</t>
  </si>
  <si>
    <t>DETECTION / MONITORING</t>
  </si>
  <si>
    <t>The organization:
(a) Employs AWS CloudWatch to detect indicators of denial of service attacks against the information system; and
(b) Monitors AWS CloudWatch to determine if sufficient resources exist to prevent effective denial of service attacks.</t>
  </si>
  <si>
    <t>[WC] has implemented [WC Approach: NetMon], which provides first-person system performance awareness.</t>
  </si>
  <si>
    <t>SC-7</t>
  </si>
  <si>
    <t>Boundary Protection</t>
  </si>
  <si>
    <t>The information system:
a. Monitors and controls communications at the external boundary of the system and at key internal boundaries within the system;
b. Implements subnetworks for publicly accessible system components that are physically and logically separated from internal organizational networks; and
c. Connects to external networks or information systems only through managed interfaces consisting of boundary protection devices arranged in accordance with an organizational security architecture.</t>
  </si>
  <si>
    <t>a. Inherited from Fences
b. [WC] network design includes the implementation of [WC SubnetsAmt]. JWICS facing components are separated from [WC] back-end components. 
c. Inherited from Fences</t>
  </si>
  <si>
    <t>SC-7(3)</t>
  </si>
  <si>
    <t>ACCESS POINTS</t>
  </si>
  <si>
    <t>The organization limits the number of external network connections to the information system.</t>
  </si>
  <si>
    <t>SC-7(4)</t>
  </si>
  <si>
    <t>EXTERNAL TELECOMMUNICATIONS SERVICES</t>
  </si>
  <si>
    <t>The organization:
(a) Implements a managed interface for each external telecommunication service;
(b) Establishes a traffic flow policy for each managed interface;
(c) Protects the confidentiality and integrity of the information being transmitted across each interface;
(d) Documents each exception to the traffic flow policy with a supporting mission/business need and duration of that need; and
(e) Reviews exceptions to the traffic flow policy quarterly and removes exceptions that are no longer supported by an explicit mission/business need.</t>
  </si>
  <si>
    <t>SC-7(5)</t>
  </si>
  <si>
    <t>DENY BY DEFAULT / ALLOW BY EXCEPTION</t>
  </si>
  <si>
    <t>The information system at managed interfaces denies network communications traffic by default and allows network communications traffic by exception (i.e., deny all, permit by exception).</t>
  </si>
  <si>
    <t>SC-7(7)</t>
  </si>
  <si>
    <t>PREVENT SPLIT TUNNELING FOR REMOTE DEVICES</t>
  </si>
  <si>
    <t>The information system, in conjunction with a remote device, prevents the device from simultaneously establishing non-remote connections with the system and communicating via some other connection to resources in external networks.</t>
  </si>
  <si>
    <t xml:space="preserve">Fences does not allow remote device connection to the [WC] environment. Fences only allows connections from SWS VSD.
There is no [WC] intra-VPC VPN tunneling.
</t>
  </si>
  <si>
    <t>SC-7(8)</t>
  </si>
  <si>
    <t>ROUTE TRAFFIC TO AUTHENTICATED PROXY SERVERS</t>
  </si>
  <si>
    <t>The information system routes all authorized outbound communications traffic to any approved external network through authenticated proxy servers at managed interfaces.</t>
  </si>
  <si>
    <t>SC-7(9)</t>
  </si>
  <si>
    <t>RESTRICT THREATENING OUTGOING COMMUNICATIONS TRAFFIC</t>
  </si>
  <si>
    <t>The information system:
(a) Detects and denies outgoing communications traffic posing a threat to external information systems; and
(b) Audits the identity of internal users associated with denied communications.</t>
  </si>
  <si>
    <t>a. [WC Approach: deniesTraffic]
b. [WC Approach: deniedTrafUsr]</t>
  </si>
  <si>
    <t>SC-7(10)</t>
  </si>
  <si>
    <t>PREVENT UNAUTHORIZED EXFILTRATION</t>
  </si>
  <si>
    <t>The organization prevents the unauthorized exfiltration of information across managed interfaces</t>
  </si>
  <si>
    <t>SC-7(11)</t>
  </si>
  <si>
    <t>RESTRICT INCOMING COMMUNICATIONS TRAFFIC</t>
  </si>
  <si>
    <t>The information system only allows incoming communications from AO/DAO authorized sources routed to AO/DAO authorized destinations.</t>
  </si>
  <si>
    <t>SC-7(12)</t>
  </si>
  <si>
    <t>HOST-BASED PROTECTION</t>
  </si>
  <si>
    <t>The organization implements AO/DAO approved host-based boundary protection mechanisms at all information system boundary devices.</t>
  </si>
  <si>
    <t>SC-7(13)</t>
  </si>
  <si>
    <t>ISOLATION OF SECURITY TOOLS / MECHANISMS / SUPPORT COMPONENTS</t>
  </si>
  <si>
    <t>The organization isolates at a minimum, vulnerability scanning tools, audit log servers, patch servers, and CND tools from other internal information system components by implementing physically separate subnetworks with managed interfaces to other components of the system.</t>
  </si>
  <si>
    <t xml:space="preserve">Inherited from Fences
Fences logically isolates all security utilities via tool specific AWS Security Groups and authorizes only approved personnel/customers to use these system tools via Core Services management server.
</t>
  </si>
  <si>
    <t>SC-7(14)</t>
  </si>
  <si>
    <t>PROTECTS AGAINST UNAUTHORIZED PHYSICAL CONNECTIONS</t>
  </si>
  <si>
    <t>The organization protects against unauthorized physical connections at any managed interface that crosses security domains or connects to an external network; such as but not limited to: cross domain solutions, a network boundary with a WAN, a partner network, or the Internet.</t>
  </si>
  <si>
    <t xml:space="preserve">ISSM/ISSO will verify technical security measures (port security). LSO will be aware of procedures, configurations, and any restrictions in their facilities pertaining to physical connections.  PSO will be involved in approving physical security measures and SOPs, which may describe controls in place to satisfy this requirement (physical protection afforded to network equipment, server rooms, boundary devices).  </t>
  </si>
  <si>
    <t>SC-8</t>
  </si>
  <si>
    <t>Transmission Confidentiality And Integrity</t>
  </si>
  <si>
    <t>The information system protects the confidentiality and integrity of transmitted information.</t>
  </si>
  <si>
    <t>[WC] uses TLS to encrypt communication sessions, thus ensuring confidentiality and integrity of transmitted information.</t>
  </si>
  <si>
    <t>LSO and ISSM/ISSO will collaborate to ensure all controls are in place to prevent information from being modified or accessed without authorization. As part of overall security posture, LSO must understand data transmission/flow to ensure data confidentiality and integrity.  LSO, in conjunction with the ISSM/ISSO, will validate that all data is encrypted as it leaves the SAPF or a PDS is installed. PSO will validate during inspection.</t>
  </si>
  <si>
    <t>SC-8(1)</t>
  </si>
  <si>
    <t>CRYPTOGRAPHIC OR ALTERNATE PHYSICAL PROTECTION</t>
  </si>
  <si>
    <t>The information system implements cryptographic mechanisms to prevent unauthorized disclosure of, and detect changes to, information during transmission unless otherwise protected by alternative physical safeguards such as keeping transmission within physical areas rated IAW the sensitivity of the information or within a Protected Distribution System (PDS) when traversing areas not approved for the sensitivity of the information.</t>
  </si>
  <si>
    <t xml:space="preserve">LSO and ISSM/ISSO will coordinate approval of PDS with the AO.  As part of the overall security posture, LSO and ISSM/ISSO will validate that all data leaving the SAPF is encrypted or PDS is installed/monitored in accordance with requirements.  </t>
  </si>
  <si>
    <t>SC-8(2)</t>
  </si>
  <si>
    <t>PRE / POST TRANSMISSION HANDLING</t>
  </si>
  <si>
    <t>The information system maintains the confidentiality and integrity of information during preparation for transmission and during reception.</t>
  </si>
  <si>
    <t>SC-8(3)</t>
  </si>
  <si>
    <t>CRYPTOGRAPHIC PROTECTION FOR MESSAGE EXTERNALS</t>
  </si>
  <si>
    <t>The information system implements cryptographic mechanisms to protect message externals unless otherwise protected by [Assignment: organization-defined alternative physical safeguards].</t>
  </si>
  <si>
    <t>Link encryption is not suported by Amazon C2S.</t>
  </si>
  <si>
    <t>SC-8(4)</t>
  </si>
  <si>
    <t>CONCEAL / RANDOMIZE COMMUNICATIONS</t>
  </si>
  <si>
    <t>The information system implements cryptographic mechanisms to conceal or randomize communication patterns unless otherwise protected by alternative physical safeguards (e.g., Protected Distribution System).</t>
  </si>
  <si>
    <t>SC-10</t>
  </si>
  <si>
    <t>Network Disconnect</t>
  </si>
  <si>
    <t xml:space="preserve">The information system terminates the network connection associated with a communications session at the end of the session or after no more than one (1) hour of inactivity. </t>
  </si>
  <si>
    <t>[WC] uses Fences provided AMIs, which are configured by default to disconnect inactive network connections after 1 hour of inactivity.</t>
  </si>
  <si>
    <t>SC-12</t>
  </si>
  <si>
    <t>Cryptographic Key Establishment And Management</t>
  </si>
  <si>
    <t>The organization establishes and manages cryptographic keys for required cryptography employed within the information system in accordance with NSA-approved key management technology and processes.</t>
  </si>
  <si>
    <t>SC-12(1)</t>
  </si>
  <si>
    <t>AVAILABILITY</t>
  </si>
  <si>
    <t>The organization maintains availability of information in the event of the loss of cryptographic keys by users.</t>
  </si>
  <si>
    <t>SC-12(2)</t>
  </si>
  <si>
    <t>SYMMETRIC KEYS</t>
  </si>
  <si>
    <t>The organization produces, controls, and distributes symmetric cryptographic keys using NSA-approved key management technology and processes.</t>
  </si>
  <si>
    <t>SC-12(3)</t>
  </si>
  <si>
    <t>ASYMMETRIC KEYS</t>
  </si>
  <si>
    <t>The organization produces, controls, and distributes asymmetric cryptographic keys using NSA-approved key management technology and processes.</t>
  </si>
  <si>
    <t>SC-13</t>
  </si>
  <si>
    <t>Cryptographic Protection</t>
  </si>
  <si>
    <t>The information system implements NSA-approved cryptography for protecting classified information from access by personnel who lack the necessary security clearance in accordance with applicable federal laws, Executive Orders, directives, policies, regulations, and standards.</t>
  </si>
  <si>
    <t>SC-15</t>
  </si>
  <si>
    <t>Collaborative Computing Devices</t>
  </si>
  <si>
    <t>The information system:
a. Prohibits remote activation of collaborative computing devices with the following exceptions: None; and
b. Provides an explicit indication of use to users physically present at the devices.</t>
  </si>
  <si>
    <t xml:space="preserve">Tailored-out: 
Fences does not support collaborative computing devices.
</t>
  </si>
  <si>
    <t>Equipment must be approved by PSO for entry into SAPF.  LSO and ISSM will validate that remote capabilities are disabled.  LSO will develop and execute SOP (which would include procedures for the use of collaborative computing devices.  AO will approve interconnection of equipment to SAP system(s).</t>
  </si>
  <si>
    <t>SC-15(1)</t>
  </si>
  <si>
    <t>PHYSICAL DISCONNECT</t>
  </si>
  <si>
    <t>The information system provides physical disconnect of collaborative computing devices in a manner that supports ease of use.</t>
  </si>
  <si>
    <t xml:space="preserve">LSO and ISSM/ISSO will generate procedures for use of collaborative equipment to include physical disconnection, if required.  </t>
  </si>
  <si>
    <t>SC-15(3)</t>
  </si>
  <si>
    <t>DISABLING / REMOVAL IN SECURE WORK AREAS</t>
  </si>
  <si>
    <t>The organization disables or removes collaborative computing devices from all Information Systems in all SAPFs, unless explicitly authorized by the AO/DAO.</t>
  </si>
  <si>
    <t>LSO and ISSM/ISSO will generate procedures or technical solutions for use/applications (or prohibition) in specific secure areas. Ensure procedures address how the system indicates to users that equipment is not in use and/or when equipment must be removed from the area.</t>
  </si>
  <si>
    <t>SC-15(4)</t>
  </si>
  <si>
    <t>EXPLICITLY INDICATE CURRENT PARTICIPANTS</t>
  </si>
  <si>
    <t>The information system provides an explicit indication of current participants in [Assignment: organization-defined online meetings and teleconferences].</t>
  </si>
  <si>
    <t xml:space="preserve">Tailored-out: 
Fences does not employ online meetings, teleconference, or VTCs.
</t>
  </si>
  <si>
    <t xml:space="preserve">LSO will be aware of the system's technical capability for ensuring only authorized users are involved to include identification of users participating. </t>
  </si>
  <si>
    <t>SC-16</t>
  </si>
  <si>
    <t>Transmission Of Security Attributes</t>
  </si>
  <si>
    <t>The information system associates [Assignment: organization-defined security attributes] with information exchanged between information systems and between system components.</t>
  </si>
  <si>
    <t>Tailored-out: 
Fences does not associate security attributes with information exchanged between systems and components.</t>
  </si>
  <si>
    <t>SC-17</t>
  </si>
  <si>
    <t>Public Key Infrastructure Certificates</t>
  </si>
  <si>
    <t>The organization issues public key certificates under a certificate policy as defined in CNSSP No. 25 or obtains public key certificates from an approved service provider.</t>
  </si>
  <si>
    <t>Inherited from Fences
Fences maintains its own certificate authority.</t>
  </si>
  <si>
    <t>SC-18</t>
  </si>
  <si>
    <t>Mobile Code</t>
  </si>
  <si>
    <t xml:space="preserve"> The organization:
a. Defines acceptable and unacceptable mobile code and mobile code technologies;
b. Establishes usage restrictions and implementation guidance for acceptable mobile code and mobile code technologies; and
c. Authorizes, monitors, and controls the use of mobile code within the information system.</t>
  </si>
  <si>
    <t>a. Acceptable and unacceptable forms of mobile code is defined in the [WC Configuration Management Plan]
b. Usage and implementation guidance for acceptable mobile code is defined in the [WC Configuration Management Plan]
c. Mobile code is authorized and controlled according to the processes defined in the [WC Configuration Management Plan]
Ref: [WC Configuration Management Plan]</t>
  </si>
  <si>
    <t>SC-18(1)</t>
  </si>
  <si>
    <t>IDENTIFY UNACCEPTABLE CODE / TAKE CORRECTIVE ACTIONS</t>
  </si>
  <si>
    <t>The information system identifies all mobile code not approved by the AO/DAO and takes action to block the mobile code, and immediately notify the ISSM/ISSO.</t>
  </si>
  <si>
    <t>Unapproved mobile code for [WC] is defined in the [WC Configuration Management Plan]. [WC Approach: MobileSolution] identifies and blocks unapproved mobile code and notifies the ISSM.</t>
  </si>
  <si>
    <t>SC-18(2)</t>
  </si>
  <si>
    <t>ACQUISITION / DEVELOPMENT / USE</t>
  </si>
  <si>
    <t>The organization ensures that the acquisition, development, and use of mobile code to be deployed in the information system meets the usage restrictions and implementation guidance provided in the JSIG Overprint for SC-18.</t>
  </si>
  <si>
    <t>All [WC] mobile code is evaluated against JSIG usage restrictions and the JSIG implementation guidance as part of the [WC] baseline configuration management process.</t>
  </si>
  <si>
    <t>SC-18(3)</t>
  </si>
  <si>
    <t>PREVENT DOWNLOADING / EXECUTION</t>
  </si>
  <si>
    <t>The information system prevents the download and execution of all mobile code not explicitly authorized by the AO/DAO.</t>
  </si>
  <si>
    <t>[WC Approach: PreventExe]</t>
  </si>
  <si>
    <t>SC-18(4)</t>
  </si>
  <si>
    <t>PREVENT AUTOMATIC EXECUTION</t>
  </si>
  <si>
    <t>The information system prevents the automatic execution of mobile code in all software applications and enforces user prompting prior to executing the code.</t>
  </si>
  <si>
    <t>[WC Approach: PreventAutoExe]</t>
  </si>
  <si>
    <t>SC-19</t>
  </si>
  <si>
    <t>Voice Over Internet Protocol</t>
  </si>
  <si>
    <t>The organization:
a. Establishes usage restrictions and implementation guidance for Voice over Internet Protocol (VoIP) technologies based on the potential to cause damage to the information system if used maliciously; and
b. Authorizes, monitors, and controls the use of VoIP within the information system.</t>
  </si>
  <si>
    <t xml:space="preserve">Tailored-out:
Fences does not implement a VoIP capability.
</t>
  </si>
  <si>
    <t xml:space="preserve">LSO will develop and execute a SOP (which would include procedures for the use of VoIP based on the environment) and approve entry into the facility.  AO will approve interconnection of equipment to SAP system(s). </t>
  </si>
  <si>
    <t>SC-20</t>
  </si>
  <si>
    <t>Secure Name / Address Resolution Service (Authoritative Source)</t>
  </si>
  <si>
    <t>The information system:
a. Provides additional data origin authentication and integrity verification artifacts along with the authoritative name resolution data the system returns in response to external name/address resolution queries; and
b. Provides the means to indicate the security status of child zones and (if the child supports secure resolution services) to enable verification of a chain of trust among parent and child domains, when operating as part of a distributed, hierarchical namespace.</t>
  </si>
  <si>
    <t xml:space="preserve">
[Customer Workload Defined]</t>
  </si>
  <si>
    <t>SC-21</t>
  </si>
  <si>
    <t xml:space="preserve">Secure Name / Address Resolution Service (Recursive Or Caching Resolver) </t>
  </si>
  <si>
    <t>The information system requests and performs data origin authentication and data integrity verification on the name/address resolution responses the system receives from authoritative sources.</t>
  </si>
  <si>
    <t>SC-22</t>
  </si>
  <si>
    <t>Architecture And Provisioning For Name / Address Resolution Service</t>
  </si>
  <si>
    <t>The information systems that collectively provide name/address resolution service for an organization are fault-tolerant and implement internal/external role separation.</t>
  </si>
  <si>
    <t>SC-23</t>
  </si>
  <si>
    <t>Session Authenticity</t>
  </si>
  <si>
    <t>The information system protects the authenticity of communications sessions.</t>
  </si>
  <si>
    <t>SC-23(1)</t>
  </si>
  <si>
    <t>INVALIDATE SESSION IDENTIFIERS AT LOGOUT</t>
  </si>
  <si>
    <t>The information system invalidates session identifiers upon user logout or other session termination.</t>
  </si>
  <si>
    <t xml:space="preserve">
Informational: Fences STIG'd Windows and RHEL images are configured to invalidate session identifiers upon logout.</t>
  </si>
  <si>
    <t>SC-23(3)</t>
  </si>
  <si>
    <t>UNIQUE SESSION IDENTIFIERS WITH RANDOMIZATION</t>
  </si>
  <si>
    <t>The information system generates a unique session identifier for each session with no readily reproducible or ‘spoofable’ session identifiers and recognizes only session identifiers that are system-generated.</t>
  </si>
  <si>
    <t>SC-23(5)</t>
  </si>
  <si>
    <t>ALLOWED CERTIFICATE AUTHORITIES</t>
  </si>
  <si>
    <t>The information system only allows the use of AO/DAO approved certificate authorities for verification of the establishment of protected sessions.</t>
  </si>
  <si>
    <t>SC-28</t>
  </si>
  <si>
    <t>Protection Of Information At Rest</t>
  </si>
  <si>
    <t>The information system protects the confidentiality and integrity of all information at rest using NSA approved encryption methodologies.</t>
  </si>
  <si>
    <t xml:space="preserve">Inherited from Fences
</t>
  </si>
  <si>
    <t xml:space="preserve">LSO must be aware of protection methods employed on information at rest.  </t>
  </si>
  <si>
    <t>SC-28(1)</t>
  </si>
  <si>
    <t>The information system implements cryptographic mechanisms to prevent unauthorized disclosure and modification of all information at rest on all Information System components and all storage media.</t>
  </si>
  <si>
    <t>SC-38</t>
  </si>
  <si>
    <t>Operations Security </t>
  </si>
  <si>
    <t>The organization employs AO/DAO/PSO approved OPSEC methodologies to protect key organizational information throughout the system development life cycle.</t>
  </si>
  <si>
    <t>[WC] approved OPSEC methods are briefed to new team members by the PSO, inform [WC] system development process, and are supported by the [WC] Acceptable Use Policy.</t>
  </si>
  <si>
    <t xml:space="preserve">LSO will ensure OPSEC requirements are met and documented.  LSO will submit OPSEC plan to PSO for approval. 
</t>
  </si>
  <si>
    <t>SC-39</t>
  </si>
  <si>
    <t>Process Isolation </t>
  </si>
  <si>
    <t>The information system maintains a separate execution domain for each executing process.</t>
  </si>
  <si>
    <t>SC-42</t>
  </si>
  <si>
    <t>Sensor Capability And Data </t>
  </si>
  <si>
    <t>The information system:
a. Prohibits the remote activation of environmental sensing capabilities with the following exceptions: None; and
b. Provides an explicit indication of sensor use to the device user.</t>
  </si>
  <si>
    <t>Tailored-Out:  Fences does not operate as a physical capability within SAPFs</t>
  </si>
  <si>
    <t xml:space="preserve">LSO and ISSM/ISSO will coordinate and obtain AO/PSO approval when there are circumstances in which sensors are required on mobile devices or other items.  LSO will be involved in developing procedures for protection of devices with sensor capabilities.  </t>
  </si>
  <si>
    <t>SC-42(3)</t>
  </si>
  <si>
    <t>PROHIBIT USE OF DEVICES</t>
  </si>
  <si>
    <t>The organization prohibits the use of devices possessing any environmental sensing capability in all SAPFs.</t>
  </si>
  <si>
    <t xml:space="preserve">LSO will ensure SOP clearly defines what type of devices/capabilities are prohibited within the SAPF and will ensure that facilities understand and comply with restrictions for entry.  LSO will ensure PSO approval is obtained prior to implementing any exceptions to this policy. 
</t>
  </si>
  <si>
    <t>SI-1</t>
  </si>
  <si>
    <t>System And Information Integrity Policy And Procedures</t>
  </si>
  <si>
    <t>The organization:
a. Develops, documents, and disseminates to all personnel having a role in System and Information Integrity:
1. A system and information integrity policy that addresses purpose, scope, roles, responsibilities, management commitment, coordination among organizational entities, and compliance; and
2. Procedures to facilitate the implementation of the system and information integrity policy and associated system and information integrity controls; and
b. Reviews and updates the current:
1. System and information integrity policy at least annually; and
2.  System and information integrity procedures at least annually.</t>
  </si>
  <si>
    <t>a. Inherited from Fences 
b. [WC] ISSM will check annually for updates to the JSIG and review internal system &amp; information integrity policies and procedures for compliance.</t>
  </si>
  <si>
    <t xml:space="preserve">LSO will be aware of policy requirements and organizational implementation of integrity controls. </t>
  </si>
  <si>
    <t>SI-2</t>
  </si>
  <si>
    <t>Flaw Remediation</t>
  </si>
  <si>
    <t>The organization:
a. Identifies, reports, and corrects information system flaws;
b. Tests software and firmware updates related to flaw remediation for effectiveness and potential side effects before installation;
c. Installs security-relevant software and firmware updates within thirty (30) days of the release of the updates; and
d. Incorporates flaw remediation into the organizational configuration management process.</t>
  </si>
  <si>
    <t xml:space="preserve">a. [WC Approach: FlawMgmt]
b. All software and firmware updates are functionally tested and security scanned before installation per the [WC Configuration Management Plan].
c. [WC] monitors system software for updates on a monthly basis and prioritizes security-relevant patches in the DevSecOps pipeline.
d. Flaw remediation is incorporated in organizational management process defined in the [WC Configuration Management Plan].
</t>
  </si>
  <si>
    <t>SI-2(1)</t>
  </si>
  <si>
    <t>CENTRAL MANAGEMENT</t>
  </si>
  <si>
    <t>The organization centrally manages the flaw remediation process.</t>
  </si>
  <si>
    <t xml:space="preserve">[WC] centrally manages the flaw remediation process as defined in the [CM Configuration Management Plan].
</t>
  </si>
  <si>
    <t>SI-2(2)</t>
  </si>
  <si>
    <t>AUTOMATED FLAW REMEDIATION STATUS</t>
  </si>
  <si>
    <t>The organization employs automated mechanisms at least once a quarter to determine the state of information system components with regard to flaw remediation.</t>
  </si>
  <si>
    <t>[WC Approach: Tool]</t>
  </si>
  <si>
    <t>SI-2(3)</t>
  </si>
  <si>
    <t>TIME TO REMEDIATE FLAWS / BENCHMARKS FOR CORRECTIVE ACTIONS</t>
  </si>
  <si>
    <t>The organization:
(a) Measures the time between flaw identification and flaw remediation; and
(b) Establishes benchmarks per flaw type for taking corrective actions.</t>
  </si>
  <si>
    <t>a. [WC Approach: MeasuredTime]
b. [WC Approach: Benchmark]</t>
  </si>
  <si>
    <t>SI-2(6)</t>
  </si>
  <si>
    <t>REMOVAL OF PREVIOUS VERSIONS OF SOFTWARE / FIRMWARE</t>
  </si>
  <si>
    <t>The organization removes previous versions of software and firmware components that are not automatically removed after updated versions have been installed.</t>
  </si>
  <si>
    <t xml:space="preserve">During the system update release process, previous versions of software and firmware are removed per the [WC Configuration Management Plan].
</t>
  </si>
  <si>
    <t>SI-3</t>
  </si>
  <si>
    <t>Malicious Code Protection</t>
  </si>
  <si>
    <t>The organization:
a. Employs malicious code protection mechanisms at information system entry and exit points to detect and eradicate malicious code;
b. Updates malicious code protection mechanisms whenever new releases are available in accordance with organizational configuration management policy and procedures;
c. Configures malicious code protection mechanisms to:
1. Perform periodic scans of the information system at least weekly and real-time scans of files from external sources at endpoints and network entry/exit points as the files are downloaded, opened, or executed in accordance with organizational security policy; and
2. Block and quarantine malicious code then send an alert to the system administrator in response to malicious code detection; and
d. Addresses the receipt of false positives during malicious code detection and eradication and the resulting potential impact on the availability of the information system.</t>
  </si>
  <si>
    <t xml:space="preserve">a. Inherited from Fences
b. Inherited from Fences
c. McAfee is configured to automatically perform scans, quarantine malicious code and send logs to the system's auditing utility.
d. Per the [WC] Inicdent Respsonse Plan, the [WC] IR team will process false positives and adjust the antivirus system as needed.
</t>
  </si>
  <si>
    <t>LSO will be aware of the types of malicious code protection, frequency of updates and will receive notification of alerts (i.e. anti-virus protection).</t>
  </si>
  <si>
    <t>SI-3(1)</t>
  </si>
  <si>
    <t>The organization centrally manages malicious code protection mechanisms.</t>
  </si>
  <si>
    <t>SI-3(2)</t>
  </si>
  <si>
    <t>AUTOMATIC UPDATES</t>
  </si>
  <si>
    <t>The information system automatically updates malicious code protection mechanisms.</t>
  </si>
  <si>
    <t>SI-3(4)</t>
  </si>
  <si>
    <t>UPDATES ONLY BY PRIVILEGED USERS</t>
  </si>
  <si>
    <t>The information system updates malicious code protection mechanisms only when directed by a privileged user.</t>
  </si>
  <si>
    <t>All [WC] system updates, including malicious code protection, are initiated &amp; controlled by privileged [WC] users.</t>
  </si>
  <si>
    <t>SI-3(10)</t>
  </si>
  <si>
    <t>MALICIOUS CODE ANALYSIS</t>
  </si>
  <si>
    <t>The organization:
(a) Employs a coordinated response between the ISSM/ISSO and System/Network Admins utilizing specific malicious code analysis tools and techniques to analyze the characteristics and behavior of malicious code; and
(b) Incorporates the results from malicious code analysis into organizational incident response and flaw remediation processes.</t>
  </si>
  <si>
    <t>SI-4</t>
  </si>
  <si>
    <t>Information System Monitoring</t>
  </si>
  <si>
    <t>The organization:
a. Monitors the information system to detect:
1. Attacks and indicators of potential attacks in accordance with organization-defined monitoring objectives; and
2. Unauthorized local, network, and remote connections;
b. Identifies unauthorized use of the information system through review of the following logs: audit, anti-malware, firewall, and IDS/IPS ;
c. Deploys monitoring devices: (i) strategically within the information system to collect organization-determined essential information; and (ii) at ad hoc locations within the system to track specific types of transactions of interest to the organization;
d. Protects information obtained from intrusion-monitoring tools from unauthorized access, modification, and deletion;
e. Heightens the level of information system monitoring activity whenever there is an indication of increased risk to organizational operations and assets, individuals, other organizations, or the Nation based on law enforcement information, intelligence information, or other credible sources of information;
f. Obtains legal opinion with regard to information system monitoring activities in accordance with applicable federal laws, Executive Orders, directives, policies, or regulations; and
g. Provides all relevant Information System monitoring information to the AO/DAO, PSO, ISO, CPSO/GPSO, ISSM/ISSO: as needed; to support the investigation of suspected Information System attacks.</t>
  </si>
  <si>
    <t>a. [WC] monitors the information system to detect attacks and unauthorized connection by use of [WC SysMon].
b. [WC] reviews its system logs manually and with automation for unauthorized usage.
c. [WC] has implemented monitoring devices on all system hosts.
d. [WC Approach: LogProtection]
e. [WC Approach: ElevatedSysMon]
f. Monitoring activities conform to applicable laws, and exceptions and new capabilities for user monitoring are coordinated with the [WC] program sponsor and government legal personnel.
g. Inherited from Fences</t>
  </si>
  <si>
    <t xml:space="preserve">LSO will be aware of network monitoring posture and notify the PSO of any incidents in accordance with incident response policy/procedures.    </t>
  </si>
  <si>
    <t>SI-4(1)</t>
  </si>
  <si>
    <t>SYSTEM-WIDE INTRUSION DETECTION SYSTEM</t>
  </si>
  <si>
    <t>The organization connects and configures individual intrusion detection tools into an information system-wide intrusion detection system.</t>
  </si>
  <si>
    <t>SI-4(2)</t>
  </si>
  <si>
    <t>AUTOMATED TOOLS FOR REAL-TIME ANALYSIS</t>
  </si>
  <si>
    <t>The organization employs automated tools to support near real-time analysis of events.</t>
  </si>
  <si>
    <t xml:space="preserve">[Workload Approach: AutoTools]
</t>
  </si>
  <si>
    <t>SI-4(4)</t>
  </si>
  <si>
    <t>INBOUND AND OUTBOUND COMMUNICATIONS TRAFFIC</t>
  </si>
  <si>
    <t>The information system monitors inbound and outbound communications traffic continuously for unusual or unauthorized activities or conditions.</t>
  </si>
  <si>
    <t>[Workload Approach: TrafficMonitoring]</t>
  </si>
  <si>
    <t>SI-4(5)</t>
  </si>
  <si>
    <t>SYSTEM-GENERATED ALERTS</t>
  </si>
  <si>
    <t>The information system alerts the ISSM/ISSO and System/Network Admins when the following indications of compromise or potential compromise occur: potential compromise of confidentiality, integrity, or availability as identified in alerts/logs from audits, anti-malware, firewalls, and IDS/IPS devices.</t>
  </si>
  <si>
    <t>[WC Approach: Alerting]</t>
  </si>
  <si>
    <t>SI-4(10)</t>
  </si>
  <si>
    <t>VISIBILITY OF ENCRYPTED COMMUNICATIONS</t>
  </si>
  <si>
    <t>The organization makes provisions so that [Assignment: organization-defined encrypted communications traffic] is visible to [Assignment: organization-defined information system monitoring tools].</t>
  </si>
  <si>
    <t>[WC] uses [WC Intercepting] to intercept encrypted communication traffic.</t>
  </si>
  <si>
    <t>SI-4(11)</t>
  </si>
  <si>
    <t>ANALYZE COMMUNICATIONS TRAFFIC ANOMALIES</t>
  </si>
  <si>
    <t>The organization analyzes outbound communications traffic at the external boundary of the information system and selected internal data aggregation points to discover anomalies.</t>
  </si>
  <si>
    <t>SI-4(12)</t>
  </si>
  <si>
    <t>AUTOMATED ALERTS</t>
  </si>
  <si>
    <t>The organization employs automated mechanisms to alert security personnel of the following inappropriate or unusual activities with security implications: at a minimum including unauthorized access attempts, unauthorized system usage.</t>
  </si>
  <si>
    <t>[Workload Approach: AutoAlerts]</t>
  </si>
  <si>
    <t>LSO will receive alerts (as defined by organizational policy) and will notify the PSO of any incidents in accordance with incident response policy/procedure.</t>
  </si>
  <si>
    <t>SI-4(14)</t>
  </si>
  <si>
    <t>WIRELESS INTRUSION DETECTION</t>
  </si>
  <si>
    <t>The organization employs a wireless intrusion detection system to identify rogue wireless devices and to detect attack attempts and potential compromises/breaches to the information system.</t>
  </si>
  <si>
    <t>Tailored-out:
Fences does not employ wireless network connectivity.</t>
  </si>
  <si>
    <t xml:space="preserve">Entry of wireless detection equipment will be coordinated with LSO and ISSM/ISSO and approved by PSO (in coordination with the AO).   </t>
  </si>
  <si>
    <t>SI-4(15)</t>
  </si>
  <si>
    <t>WIRELESS TO WIRELINE COMMUNICATIONS</t>
  </si>
  <si>
    <t>The organization employs an intrusion detection system to monitor wireless communications traffic as the traffic passes from wireless to wireline networks.</t>
  </si>
  <si>
    <t>SI-4(16)</t>
  </si>
  <si>
    <t>CORRELATE MONITORING INFORMATION</t>
  </si>
  <si>
    <t>The organization correlates information from monitoring tools employed throughout the information system.</t>
  </si>
  <si>
    <t>[Workload Approach: CorrelateMon]</t>
  </si>
  <si>
    <t>SI-4(19)</t>
  </si>
  <si>
    <t>INDIVIDUALS POSING GREATER RISK</t>
  </si>
  <si>
    <t>The organization implements an increased level of insider threat monitoring of individuals who have been identified by the AO/DAO, PSO, or ISO as posing an increased level of risk.</t>
  </si>
  <si>
    <t>[Workload Approach: InsiderMon]</t>
  </si>
  <si>
    <t xml:space="preserve">LSO in coordination with the ISSM/ISSO, AO, PSO, management, legal, and human resources officials will develop procedures for information systems monitoring of individuals posing greater risk.  PSO will utilize the databases at their disposal as well as coordinate with NCIS for determining individuals who may pose a greater risk.   </t>
  </si>
  <si>
    <t>SI-4(20)</t>
  </si>
  <si>
    <t>PRIVILEGED USER</t>
  </si>
  <si>
    <t>The organization implements AO/DAO, PSO, or ISO directed insider threat monitoring of privileged users.</t>
  </si>
  <si>
    <t>[Workload Approach: InsiderMon1]</t>
  </si>
  <si>
    <t>SI-4(21)</t>
  </si>
  <si>
    <t>PROBATIONARY PERIODS</t>
  </si>
  <si>
    <t>The organization implements AO/DAO, PSO, or ISO directed  additional monitoring of individuals during a ninety (90) day probationary period.</t>
  </si>
  <si>
    <t>[WC] will conduct additional monitoring when directed by the AO, PSO, or ISO for a 90 day probational perdiod.</t>
  </si>
  <si>
    <t>SI-4(22)</t>
  </si>
  <si>
    <t>UNAUTHORIZED NETWORK SERVICES</t>
  </si>
  <si>
    <t>The information system detects network services that have not been authorized or approved by the AO/DAO and alerts the ISSM/ISSO immediately.</t>
  </si>
  <si>
    <t>SI-4(23)</t>
  </si>
  <si>
    <t>HOST-BASED DEVICES</t>
  </si>
  <si>
    <t>The organization implements host-based monitoring mechanisms at all information system components where host-based monitoring can be implemented.</t>
  </si>
  <si>
    <t>[Workload Approach: HostBasedMon]</t>
  </si>
  <si>
    <t>SI-5</t>
  </si>
  <si>
    <t>Security Alerts, Advisories, And Directives</t>
  </si>
  <si>
    <t>The organization:
a. Receives information system security alerts, advisories, and directives from includes, but is not limited to, DHS US-CERT, SANS Internet Storm Center (ISC) and USCYBERCOM on an ongoing basis;
b. Generates internal security alerts, advisories, and directives as deemed necessary;
c. Disseminates security alerts, advisories, and directives to: ISOs, ISSM/ISSOs, system administrators, and security personnel, as appropriate; and
d. Implements security directives in accordance with established time frames, or notifies the issuing organization of the degree of noncompliance.</t>
  </si>
  <si>
    <t>a. The [WC] ISSM monitors security alerts, advisories, and directies from DHS US-CERT, SANS Internet Storm Center (ISC), and USCYBERCOM on a monthly basis.
b. The [WC] ISSM generates internal security alerts, advisories, and directives for general users and privileged users as deemed necessary.
c. The [WC] ISSM dissemenates security alerts, advisories, and directives to ISOs, ISSM/ISSOs, system administrators, security personnel, and general users as appropriate.  
d. The [WC] ISSM validates security directives are implemented within established time frames based on the prioritization framework in the [WC Configuration Management Plan].
Ref:  [WC Configuration Management Plan]</t>
  </si>
  <si>
    <t xml:space="preserve">In addition to cyber sources, insider threats and other applicable non-cyber security advisories will be monitored by LSO and ISSM/ISSO and disseminated as appropriate.   </t>
  </si>
  <si>
    <t>SI-7</t>
  </si>
  <si>
    <t>Software Firmware, And Information Integrity</t>
  </si>
  <si>
    <t>The organization employs integrity verification tools to detect unauthorized changes to all security-relevant software, firmware and settings.</t>
  </si>
  <si>
    <t>[Workload Approach: IntegrityVerification]</t>
  </si>
  <si>
    <t>SI-7(1)</t>
  </si>
  <si>
    <t>INTEGRITY CHECKS</t>
  </si>
  <si>
    <t>The information system performs an integrity check of the items identified in SI-7, at startup; at the conclusion of a system rebuild; and following significant security related events.</t>
  </si>
  <si>
    <t>[Workload Approach: IntegrityChecks]
Informational: Fences builds and validates the system and network architecture of the PaaS by running Ansible CM scripts on a weekly basis.  CM scripts ensure the software defined network, security groups, and instance configurations are consistent with the approved Fences baseline configuration.</t>
  </si>
  <si>
    <t>SI-7(2)</t>
  </si>
  <si>
    <t>AUTOMATED NOTIFICATIONS OF INTEGRITY VIOLATIONS</t>
  </si>
  <si>
    <t>The organization employs automated tools that provide notification to the ISSM/ISSO and SA/NA upon discovering discrepancies during integrity verification.</t>
  </si>
  <si>
    <t>[Workload Approach: IntegrityChecks1]</t>
  </si>
  <si>
    <t>SI-7(7)</t>
  </si>
  <si>
    <t>INTEGRATION OF DETECTION AND RESPONSE</t>
  </si>
  <si>
    <t>The organization incorporates the detection of unauthorized security-relevant changes to the information system (e.g., policy, settings, configurations, BIOS, audit, backups) into the organizational incident response capability.</t>
  </si>
  <si>
    <t>[Workload Approach: SecChanges]</t>
  </si>
  <si>
    <t xml:space="preserve">LSO is aware of the requirement/criteria for response to an unauthorized security-relevant change to the IS.  PSO will be notified and conduct the investigation depending on the circumstances.    </t>
  </si>
  <si>
    <t>SI-7(8)</t>
  </si>
  <si>
    <t>AUDITING CAPABILITY FOR SIGNIFICANT EVENTS</t>
  </si>
  <si>
    <t>The information system, upon detection of a potential integrity violation, provides the capability to audit the event and initiates the following actions: alerts the ISSM/ISSO and SA/NA immediately.</t>
  </si>
  <si>
    <t>[Workload Approach: IntegrityChecks]</t>
  </si>
  <si>
    <t>SI-7(14)</t>
  </si>
  <si>
    <t>BINARY OR MACHINE EXECUTABLE CODE</t>
  </si>
  <si>
    <t>The organization:
(a) Prohibits the use of binary or machine-executable code from sources with limited or no warranty and without the provision of source code; and
(b) Provides exceptions to the source code requirement only for compelling mission/operational requirements and with the approval of the authorizing official.</t>
  </si>
  <si>
    <t>SI-8</t>
  </si>
  <si>
    <t>Spam Protection</t>
  </si>
  <si>
    <t>The organization:
a. Employs spam protection mechanisms at information system entry and exit points to detect and take action on unsolicited messages; and
b. Updates spam protection mechanisms when new releases are available in accordance with organizational configuration management policy and procedures.</t>
  </si>
  <si>
    <t>Fences does not have email.</t>
  </si>
  <si>
    <t>SI-8(1)</t>
  </si>
  <si>
    <t>The organization centrally manages spam protection mechanisms.</t>
  </si>
  <si>
    <t>SI-8(2)</t>
  </si>
  <si>
    <t>The information system automatically updates spam protection mechanisms.</t>
  </si>
  <si>
    <t>SI-10</t>
  </si>
  <si>
    <t>Information Input Validation</t>
  </si>
  <si>
    <t>The information system checks the validity of all inputs to web/application servers, database servers, and any system or application input that might receive a crafted exploit toward executing some code or buffer overflow.</t>
  </si>
  <si>
    <t>[Workload Approach: InputValidation]</t>
  </si>
  <si>
    <t>SI-10(3)</t>
  </si>
  <si>
    <t>PREDICTABLE BEHAVIOR</t>
  </si>
  <si>
    <t>The information system behaves in a predictable and documented manner that reflects organizational and system objectives when invalid inputs are received.</t>
  </si>
  <si>
    <t>[Workload Approach: PredictableBehavior]</t>
  </si>
  <si>
    <t>SI-11</t>
  </si>
  <si>
    <t>Error Handling</t>
  </si>
  <si>
    <t>The information system:
a. Generates error messages that provide information necessary for corrective actions without revealing information that could be exploited by adversaries; and
b. Reveals error messages only to authorized security personnel (e.g., ISSM/ISSO, SA/NA).</t>
  </si>
  <si>
    <t>a. [Workload Approach: ErrorMessages]
b. Error message are only revealed to the ISSM, SA, etc.</t>
  </si>
  <si>
    <t>SI-12</t>
  </si>
  <si>
    <t>Information Handling And Retention</t>
  </si>
  <si>
    <t>The organization handles and retains information within the information system and information output from the system in accordance with applicable federal laws, Executive Orders, directives, policies, regulations, standards, and operational requirements.</t>
  </si>
  <si>
    <t xml:space="preserve">LSO and ISSM/ISSO will establish locations for secure storage of classified material requiring retention (digital and non-digital). Follow applicable organizational records management policies for information retention.  </t>
  </si>
  <si>
    <t>SI-14(1)</t>
  </si>
  <si>
    <t>REFRESH FROM TRUSTED SOURCES</t>
  </si>
  <si>
    <t>The organization ensures that software and data employed during information system component and service refreshes are obtained from trusted sources in which the integrity can be verified.</t>
  </si>
  <si>
    <t>[Workload Approach: Refresh]</t>
  </si>
  <si>
    <t>SI-16</t>
  </si>
  <si>
    <t>Memory Protection</t>
  </si>
  <si>
    <t>The information system implements hardware and/or software-enforced security safeguards (e.g., data execution prevention and address space layout randomization) to protect its memory from unauthorized code execution.</t>
  </si>
  <si>
    <t>PM-1</t>
  </si>
  <si>
    <t>Information Security Program Plan</t>
  </si>
  <si>
    <t>The organization:
a.  Develops and disseminates an organization-wide information security program plan that:
1.  Provides an overview of the requirements for the security program and a description of the security program management controls and common controls in place or planned for meeting those requirements;
2.  Includes the identification and assignment of roles, responsibilities, management commitment, coordination among organizational entities, and compliance;
3.  Reflects coordination among organizational entities responsible for the different aspects of information security (i.e., technical, physical, personnel, cyber-physical); and
4.  Is approved by a senior official with responsibility and accountability for the risk being incurred to organizational operations (including mission, functions, image, and reputation), organizational assets, individuals, other organizations, and the Nation;
b.  Reviews the organization-wide information security program plan at least annually;
c.  Updates the plan to address organizational changes and problems identified during plan implementation or security control assessments; and
d.  Protects the information security program plan from unauthorized disclosure and modification.</t>
  </si>
  <si>
    <t xml:space="preserve">LSO will be aware of DoD SAP information security requirements. </t>
  </si>
  <si>
    <t>PM-2</t>
  </si>
  <si>
    <t>Senior Information Security Officer</t>
  </si>
  <si>
    <t>The organization appoints a senior information security officer with the mission and resources to coordinate, develop, implement, and maintain an organization-wide information security program.</t>
  </si>
  <si>
    <t>PM-3</t>
  </si>
  <si>
    <t>Information Security Resources</t>
  </si>
  <si>
    <t>The organization:
a.  Ensures that all capital planning and investment requests include the resources needed to implement the information security program and documents all exceptions to this requirement;
b.  Employs a business case/Exhibit 300/Exhibit 53 to record the resources required; and
c.  Ensures that information security resources are available for expenditure as planned.</t>
  </si>
  <si>
    <t>PM-4</t>
  </si>
  <si>
    <t>Plan of Action and Milestones Process</t>
  </si>
  <si>
    <t>The organization:
a.  Implements a process for ensuring that plans of action and milestones for the security program and associated organizational information systems:
1.  Are developed and maintained;
2.  Document the remedial information security actions to adequately respond to risk to organizational operations and assets, individuals, other organizations, and the Nation; and
3.  Are reported in accordance with OMB FISMA reporting requirements.
b.  Reviews plans of action and milestones for consistency with the organizational risk management strategy and organization-wide priorities for risk response actions.</t>
  </si>
  <si>
    <t xml:space="preserve">LSO will ensure Primary and Collaboration Security Guidance controls in POA&amp;Ms are appropriately addressed until closed.  </t>
  </si>
  <si>
    <t>PM-5</t>
  </si>
  <si>
    <t>Information System Inventory</t>
  </si>
  <si>
    <t>The organization develops and maintains an inventory of its information systems</t>
  </si>
  <si>
    <t xml:space="preserve">LSO will be aware of all systems within SAPF.  </t>
  </si>
  <si>
    <t>PM-6</t>
  </si>
  <si>
    <t>Information Security Measures of Performance</t>
  </si>
  <si>
    <t xml:space="preserve">The organization develops, monitors, and reports on the results of information security measures of performance. </t>
  </si>
  <si>
    <t xml:space="preserve">LSO will be aware and/or provide input to ISSM/ISSO for information security metrics as necessary.  </t>
  </si>
  <si>
    <t>PM-7</t>
  </si>
  <si>
    <t>Enterprise Architecture</t>
  </si>
  <si>
    <t xml:space="preserve">The organization develops an enterprise architecture with consideration for information security and the resulting risk to organizational operations, organizational assets, individuals, other organizations, and the Nation. </t>
  </si>
  <si>
    <t>LSO/ISSM/ISSO support the organization’s enterprise architecture and ensure security considerations are properly addressed.</t>
  </si>
  <si>
    <t>PM-8</t>
  </si>
  <si>
    <t>Critical Infrastructure Plan</t>
  </si>
  <si>
    <t xml:space="preserve">The organization addresses information security issues in the development, documentation, and updating of a critical infrastructure and key resources protection plan. </t>
  </si>
  <si>
    <t>LSO/ISSM/ISSO will collaborate with the Information System Owner (ISO) and SCA to develop/review the organization’s critical infrastructure and key resources protection plan to ensure security considerations are properly addressed</t>
  </si>
  <si>
    <t>PM-9</t>
  </si>
  <si>
    <t>Risk Management Strategy</t>
  </si>
  <si>
    <t xml:space="preserve">The organization: 
a.  Develops a comprehensive strategy to manage risk to organizational operations and assets, individuals, other organizations, and the Nation associated with the operation and use of information systems; 
b. Implements the risk management strategy consistently across the organization; and 
c.  Reviews and updates the risk management strategy at least annually or as required, to address organizational changes. </t>
  </si>
  <si>
    <t>LSO and ISSM/ISSO will be aware of and assist in the development of the organizational Risk Management Plan and ensure any assigned security responsibilities are executed.</t>
  </si>
  <si>
    <t>PM-10</t>
  </si>
  <si>
    <t>Security Authorization Process</t>
  </si>
  <si>
    <t xml:space="preserve">The organization: 
a. Manages (i.e., documents, tracks, and reports) the security state of organizational information systems and the environments in which those systems operate through security authorization processes; 
b.  Designates individuals to fulfill specific roles and responsibilities within the organizational risk management process; and 
c.  Fully integrates the security authorization processes into an organization-wide risk management program. </t>
  </si>
  <si>
    <t xml:space="preserve">LSO and the ISSM/ISSO collaborates with the AO, PSO, &amp; SCA to ensure the overall security posture of the IS and environment are properly developed, documented, executed, and monitored.  </t>
  </si>
  <si>
    <t>PM-11</t>
  </si>
  <si>
    <t>Mission/Business Process Definition</t>
  </si>
  <si>
    <t xml:space="preserve">The organization: 
a.  Defines mission/business processes with consideration for information security and the resulting risk to organizational operations, organizational assets, individuals, other organizations, and the Nation; and 
b.  Determines information protection needs arising from the defined mission/business processes and revises the processes as necessary, until achievable protection needs are obtained. </t>
  </si>
  <si>
    <t xml:space="preserve">LSO will provide guidance and input to the ISSM/ISSO and ISOs pertaining to overall risk posture of organization and/or information system.  </t>
  </si>
  <si>
    <t>PM-12</t>
  </si>
  <si>
    <t>Insider Threat Program</t>
  </si>
  <si>
    <t xml:space="preserve">The organization implements an insider threat program that includes a cross-discipline insider threat incident handling team. </t>
  </si>
  <si>
    <t>The LSO will be familiar with the roles, responsibilities, and requirements outlined in an Insider Threat Program. LSO will collaborate with the Insider Threat management team on activities defined in the insider threat program/guidance.</t>
  </si>
  <si>
    <t>PM-13</t>
  </si>
  <si>
    <t>Information Security Workforce</t>
  </si>
  <si>
    <t xml:space="preserve">The organization establishes an information security workforce development and improvement program. </t>
  </si>
  <si>
    <t>PM-14</t>
  </si>
  <si>
    <t>Testing, Training, and Monitoring</t>
  </si>
  <si>
    <t xml:space="preserve">The organization: 
a.  Implements a process for ensuring that organizational plans for conducting security testing, training, and monitoring activities associated with organizational information systems: 
1.  Are developed and maintained; and 
2.  Continue to be executed in a timely manner; 
b.  Reviews testing, training, and monitoring plans for consistency with the organizational risk management strategy and organization-wide priorities for risk response actions. </t>
  </si>
  <si>
    <t>PM-15</t>
  </si>
  <si>
    <t>Contacts With Security Groups And Associations</t>
  </si>
  <si>
    <t xml:space="preserve">The organization establishes and institutionalizes contact with selected groups and associations within the security community: 
a.  To facilitate ongoing security education and training for organizational personnel; 
b.  To maintain currency with recommended security practices, techniques, and technologies; and 
c.  To share current security-related information including threats, vulnerabilities, and incidents. </t>
  </si>
  <si>
    <t>PM-16</t>
  </si>
  <si>
    <t>Threat Awareness Program</t>
  </si>
  <si>
    <t xml:space="preserve"> '</t>
  </si>
  <si>
    <t xml:space="preserve">The LSO will be aware of the Threat Awareness Program.  LSO will disseminate (and facilitate dissemination of) threat information to greatest extent possible and execute any assigned tasks. </t>
  </si>
  <si>
    <t>H</t>
  </si>
  <si>
    <t>a. [WC] has document its Access Control Policy and Procedures in the [WC Access Control Plan] and disseminates the [WC Access Control Plan] to all personal having a role in Access Control.  BLAH!
b. As defined in the [WC Access Control Plan], the ISSM will annually review the policies and procedures of the document and update the document as necessary.
Ref: [WC Access Control Plan]</t>
  </si>
  <si>
    <t>The organization:
(a) Monitors information system accounts for atypical usage, including but not limited to the following:
during "non-standard" work hours; from "non-standard" locations; during scheduled out-of-office periods; logging into multiple workstations concurrently; attempted logins/use of unauthorized applications; and attempted I/O port usage; and
(b) Reports atypical usage of information system accounts to appropriate security personnel (i.e., ISSM/ISSO/CPSO/GSSO/PSO).</t>
  </si>
  <si>
    <t>a. No user actions can be performed  on [WC] without identification and authentication.
b. Not applicable as no user actions can be performed without identification &amp; authentication.</t>
  </si>
  <si>
    <t>a. [WC Approach: SecAtt]
b. [WC] security attributes are made by [WC Approach: SecAttC] and retain by way of [WC Approach: SecAttR].
c. Permitted classification and caveats for [WC] are defined in [WC Access Control Plan].
d. Permitted parameters for each security attribute is defined in [WC Access Control Plan].</t>
  </si>
  <si>
    <t xml:space="preserve">[WC] provides basic security awareness training via [WC Training], which is provided a part of initial new user training, when required by information system changes, and at least annually thereafter. </t>
  </si>
  <si>
    <t>Insider threat training for recognizing and reporting potential indicators is included in the [WC Training].</t>
  </si>
  <si>
    <t>Physical security controls are covered in the [WC Training]. 
Inherited:
There is no physical access to Fences hardware/infrastructure because it is all controlled and maintained by Amazon C2S</t>
  </si>
  <si>
    <t>The organization provides training to its personnel on suspicious emails, opening suspicious attachments, clicking on suspicious links/URLs, phishing attempts, virus alerts and malicious code detection notifications to recognize suspicious communications and anomalous behavior in organizational information systems.</t>
  </si>
  <si>
    <t>The [WC] ISSM reviews and updates audited events at least annually in accordance with the [WC Audit Plan].</t>
  </si>
  <si>
    <t>a. The [WC] IA personnel review and analyzes audit records weekly for inappropriate or unusual activity.
b. Findings are presented to the ISSM, PSO, and ISO.</t>
  </si>
  <si>
    <t>[WC] synchronizes with the Fences NTP as its authoritative source. 
Inherited from Fences: 
Fences NTP which is synchronized with C2S NTP as the authoritative source.</t>
  </si>
  <si>
    <t>a. [Workload Approach: AuditGeneration]
b. The [WC] ISSM selects which auditable events are audited.
c. [Workload Approach: Audit Generation]</t>
  </si>
  <si>
    <t xml:space="preserve">Accelerator Variables </t>
  </si>
  <si>
    <t xml:space="preserve">Variable Input </t>
  </si>
  <si>
    <t>Description</t>
  </si>
  <si>
    <t xml:space="preserve">AC Family          </t>
  </si>
  <si>
    <t>[WC]</t>
  </si>
  <si>
    <t>BARFOO</t>
  </si>
  <si>
    <t>enter your system name</t>
  </si>
  <si>
    <t>[WC Access Control Plan]</t>
  </si>
  <si>
    <t>ERIN</t>
  </si>
  <si>
    <t>enter title of your access control plan</t>
  </si>
  <si>
    <t>[WC Approach: Accounts]</t>
  </si>
  <si>
    <t>B6</t>
  </si>
  <si>
    <t>enter all of the account types that are used on your system</t>
  </si>
  <si>
    <t>[WC Approach: Monitoring1]</t>
  </si>
  <si>
    <t>B7</t>
  </si>
  <si>
    <t>describe how monitoring for account usage is accomplished</t>
  </si>
  <si>
    <t>[WC Approach: Notification]</t>
  </si>
  <si>
    <t>B8</t>
  </si>
  <si>
    <t>describe account manager notification approach</t>
  </si>
  <si>
    <t>[WC Approach: AutoUtil]</t>
  </si>
  <si>
    <t>B9</t>
  </si>
  <si>
    <t>describe your utility that provides automated usage or status change notifications</t>
  </si>
  <si>
    <t>B10</t>
  </si>
  <si>
    <t>describe the mechanism that automatically disables system accounts after 90 days of inactivity</t>
  </si>
  <si>
    <t>B11</t>
  </si>
  <si>
    <t xml:space="preserve">describe approach to audit requirement events and notify responsible personnel (e.g. ISSM) </t>
  </si>
  <si>
    <t>[WC Acceptable Use Policy]</t>
  </si>
  <si>
    <t>B12</t>
  </si>
  <si>
    <t>enter title of your AUP</t>
  </si>
  <si>
    <t>[WC Approach: Monitoring2]</t>
  </si>
  <si>
    <t>B13</t>
  </si>
  <si>
    <t>describe how the delegaton of privileged roles are observed by someone monitoring the system</t>
  </si>
  <si>
    <t>[WC Approach: Disables]</t>
  </si>
  <si>
    <t>B14</t>
  </si>
  <si>
    <t>describe approach to take action when role assignment is revoked</t>
  </si>
  <si>
    <t>[WC Approach: Monitoring3]</t>
  </si>
  <si>
    <t>B15</t>
  </si>
  <si>
    <t>describe your approach to monitor/observe abnormal account usage</t>
  </si>
  <si>
    <t>[WC Approach: Reporting]</t>
  </si>
  <si>
    <t>B16</t>
  </si>
  <si>
    <t>describe your approach to report atypical usage to proper personnel</t>
  </si>
  <si>
    <t>B17</t>
  </si>
  <si>
    <t>describe your approach to disable high-risk accounts when directed to do so</t>
  </si>
  <si>
    <t>[WC Approach: AA Solution]</t>
  </si>
  <si>
    <t>B18</t>
  </si>
  <si>
    <t xml:space="preserve">enter your authorization solution </t>
  </si>
  <si>
    <t>B19</t>
  </si>
  <si>
    <t>describe your approach to enforce identity-based discretionary access</t>
  </si>
  <si>
    <t>B20</t>
  </si>
  <si>
    <t>describe your approach to revoke access authorizations due to security attribute change</t>
  </si>
  <si>
    <t xml:space="preserve">[WC Approach: InfoFlow] </t>
  </si>
  <si>
    <t>B21</t>
  </si>
  <si>
    <t>describe your approach to enforce approved authorizations for controlling data flow</t>
  </si>
  <si>
    <t>[WC Approach: Roles]</t>
  </si>
  <si>
    <t>B22</t>
  </si>
  <si>
    <t>enter the name of your sys admin role, your auditor role, &amp; all other privileged roles</t>
  </si>
  <si>
    <t>B23</t>
  </si>
  <si>
    <t xml:space="preserve">describe your implementation of the Least Privileges principle and where you have documented it </t>
  </si>
  <si>
    <t>[WC Approach: SecAuth]</t>
  </si>
  <si>
    <t>B24</t>
  </si>
  <si>
    <t>describe your approach to explicitly authorizes access to all security functions</t>
  </si>
  <si>
    <t>[WC Approach:UAC]</t>
  </si>
  <si>
    <t>B25</t>
  </si>
  <si>
    <t>describe approach/mechanisms to restrict programs execution at levels higher than the user possesses</t>
  </si>
  <si>
    <t>B26</t>
  </si>
  <si>
    <t>describe your approach to audit the use of privileged functions</t>
  </si>
  <si>
    <t>B27</t>
  </si>
  <si>
    <t>describe approach to restrict general users from executing privileged programs</t>
  </si>
  <si>
    <t>[WC Approach: CILA]</t>
  </si>
  <si>
    <t>B28</t>
  </si>
  <si>
    <t>describe approach and mechansim that enforces a maximum of 3 consecutive invalid logon attempts</t>
  </si>
  <si>
    <t>[WC Approach: AutoLock]</t>
  </si>
  <si>
    <t>B29</t>
  </si>
  <si>
    <t>describe approach and mechansim that automatically locks user accounts until released by an account manager or admin</t>
  </si>
  <si>
    <t>[WC Approach: ConsentBanner]</t>
  </si>
  <si>
    <t>B30</t>
  </si>
  <si>
    <t>describe your implementation of the DoD Consent Banner</t>
  </si>
  <si>
    <t>[WC Approach: BannerRetention]</t>
  </si>
  <si>
    <t>B31</t>
  </si>
  <si>
    <t xml:space="preserve">describe that your DoD Consent Banner remains on screen until acknowledged by the user </t>
  </si>
  <si>
    <t>B32</t>
  </si>
  <si>
    <t>describe solution that notifies the user of their last successful logon event</t>
  </si>
  <si>
    <t>B33</t>
  </si>
  <si>
    <t>describe solution that notifies the user of the number of unsuccessful logon attempts since last access</t>
  </si>
  <si>
    <t>B34</t>
  </si>
  <si>
    <t>describe the system configuration restricting concurrent sessions and state the amount of sessions permitted</t>
  </si>
  <si>
    <t>[WC Approach: SessionLock]</t>
  </si>
  <si>
    <t>B35</t>
  </si>
  <si>
    <t>enter the name of session lock solution</t>
  </si>
  <si>
    <t>[WC Approach: SessionTerm]</t>
  </si>
  <si>
    <t>B36</t>
  </si>
  <si>
    <t>enter OS type and OS configuration that enables session termination after 6 hours of inactivity</t>
  </si>
  <si>
    <t>[WC Approach: UsrLogOut]</t>
  </si>
  <si>
    <t>B37</t>
  </si>
  <si>
    <t>enter name of mechanism(s) that enable user session logout</t>
  </si>
  <si>
    <t>[WC Approach: SecAtt]</t>
  </si>
  <si>
    <t>B38</t>
  </si>
  <si>
    <t>enter approach to associate classification labels with data in storage, in process, in transit</t>
  </si>
  <si>
    <t>[WC Approach: SecAttC]</t>
  </si>
  <si>
    <t>B39</t>
  </si>
  <si>
    <t>describe how security attributes are created</t>
  </si>
  <si>
    <t>[WC Approach: SecAttR]</t>
  </si>
  <si>
    <t>B40</t>
  </si>
  <si>
    <t>describe applied method(s) to retain security attributes, restate [WC Approach: SecAtt] if applicable</t>
  </si>
  <si>
    <t>B41</t>
  </si>
  <si>
    <t>decribe your security attributes are maintained within the IS</t>
  </si>
  <si>
    <t>B42</t>
  </si>
  <si>
    <t>describe your approach to allow users to associate security attributes with objects</t>
  </si>
  <si>
    <t>[WC Approach: SecAttDisplay]</t>
  </si>
  <si>
    <t>B43</t>
  </si>
  <si>
    <t>enter the name of mechanism responsible for displaying security attributes in human-readable form</t>
  </si>
  <si>
    <t>[WC Approach: SecAttPersonal]</t>
  </si>
  <si>
    <t>B44</t>
  </si>
  <si>
    <t>describe approach to allow personnel to associate attributes with objects</t>
  </si>
  <si>
    <t>B45</t>
  </si>
  <si>
    <t>describe how database lookups are performed</t>
  </si>
  <si>
    <t xml:space="preserve">[WC Approach: AuditFaAcAt] </t>
  </si>
  <si>
    <t>B46</t>
  </si>
  <si>
    <t>decribe how failed attempts are audited within your workload</t>
  </si>
  <si>
    <t>AT Family</t>
  </si>
  <si>
    <t>[WC Training Plan]</t>
  </si>
  <si>
    <t>B50</t>
  </si>
  <si>
    <t>enter the title of your training plan</t>
  </si>
  <si>
    <t xml:space="preserve">[WC Training] </t>
  </si>
  <si>
    <t>B51</t>
  </si>
  <si>
    <t>enter title of basic user training</t>
  </si>
  <si>
    <t xml:space="preserve">[WC Training Role] </t>
  </si>
  <si>
    <t>B52</t>
  </si>
  <si>
    <t>enter title of privileged user training</t>
  </si>
  <si>
    <t>AU Family</t>
  </si>
  <si>
    <t>[WC Audit Plan]</t>
  </si>
  <si>
    <t>B56</t>
  </si>
  <si>
    <t>enter the title of your audit and accountability plan</t>
  </si>
  <si>
    <t>B57</t>
  </si>
  <si>
    <t>describe how the system generates audit records that establish what type of event occurred, when the event occurred, where the event occurred, the source of the event, the outcome of the event, and the identity of any individuals or subjects associated with the event.</t>
  </si>
  <si>
    <t>B58</t>
  </si>
  <si>
    <t>describe your approach for full-text recording of privileged commands and the individual identities of group account users</t>
  </si>
  <si>
    <t>B59</t>
  </si>
  <si>
    <t>describe your approach for allocating audit record storage capacity  to reduce the likelihood of capacity being exceeded</t>
  </si>
  <si>
    <t>B60</t>
  </si>
  <si>
    <t>describe your approach to off-load audit records at least weekly onto a different system or media than the system being audited</t>
  </si>
  <si>
    <t>[Workload Approach: AuditFailure]</t>
  </si>
  <si>
    <t>B61</t>
  </si>
  <si>
    <t>describe how the ISSM is notified when there is a auditing failure</t>
  </si>
  <si>
    <t>[Workload Approach: AuditFailure1]</t>
  </si>
  <si>
    <t>B62</t>
  </si>
  <si>
    <t>describe how the following actions occur when audit failure occurs: records any audit processing failures and shuts down the IS until auditing can be reenabled</t>
  </si>
  <si>
    <t>B63</t>
  </si>
  <si>
    <t>describe your approach for how the ISSM is notified when the audit storage capacity reaches 75%</t>
  </si>
  <si>
    <t>B64</t>
  </si>
  <si>
    <t>describe your approach to provide an alert in real-time when the following audit failure events occur: minimally but not limited to: auditing software/hardware errors, failures in the audit capturing mechanisms, and audit storage capacity being reached or exceeded.</t>
  </si>
  <si>
    <t>B65</t>
  </si>
  <si>
    <t>describe your approach  for automated mechanisms to integrate audit review, analysis, and reporting processes to support organizational processes for investigation and response to suspicious activities</t>
  </si>
  <si>
    <t>B66</t>
  </si>
  <si>
    <t>describe your approach for audit correlation across different respositories</t>
  </si>
  <si>
    <t>B67</t>
  </si>
  <si>
    <t>describe your capability to centrally review and analyze audit records from multiple components within the system</t>
  </si>
  <si>
    <t>[Workload Approah: IntegratedAnalysis]</t>
  </si>
  <si>
    <t>B68</t>
  </si>
  <si>
    <t>describe your approach for integrating analysis of audit records with analysis of vulnerability scanning information</t>
  </si>
  <si>
    <t>B69</t>
  </si>
  <si>
    <t>describe the permitted actions for each role/user associated with the review, analysis, and reporting of audit information</t>
  </si>
  <si>
    <t>B70</t>
  </si>
  <si>
    <t>describe your approach to conduct full text analysis of audited privileged commands to include how this analysis is perfomed on a dedicated system</t>
  </si>
  <si>
    <t>B71</t>
  </si>
  <si>
    <t>describe your approach to audit reduction and report generation that (a) supports on-demand audit review, analysis, and reporting requirements and after-the-fact investigations of security incidents; and (b) Does not alter the original content or time ordering of audit records.</t>
  </si>
  <si>
    <t>B72</t>
  </si>
  <si>
    <t>descrive your approach for the sorting and searching audit records</t>
  </si>
  <si>
    <t>B73</t>
  </si>
  <si>
    <t>describe your approach for protecting audit records and tools from unathorized access, modification, and deletion</t>
  </si>
  <si>
    <t>B74</t>
  </si>
  <si>
    <t>describe your approach to back up audit records at least weekly onto a physically different system or system component than the system or component being audited.</t>
  </si>
  <si>
    <t>B75</t>
  </si>
  <si>
    <t>describe your approach to authorize read-only access to audit information to system/network administrators.</t>
  </si>
  <si>
    <t>B76</t>
  </si>
  <si>
    <t>describe your approach to store audit records for a minimum of 5 years</t>
  </si>
  <si>
    <t>B77</t>
  </si>
  <si>
    <t>describe your approach to retain technology to access audit records for the duration of the required retention period to ensure that long-term audit records generated by the information system can be retrieved.</t>
  </si>
  <si>
    <t>[Workload Approach: AuditGeneration]</t>
  </si>
  <si>
    <t>B78</t>
  </si>
  <si>
    <t>describe your approach for an audit record generation capability for the auditable events defined in AU-2  at all information systems and network components</t>
  </si>
  <si>
    <t>B79</t>
  </si>
  <si>
    <t>describe your approach to compile audit records from all IS components into a system-wide (logical or physical) audit trail that is time-correlated to within the tolerance defined in AU-8.</t>
  </si>
  <si>
    <t>B80</t>
  </si>
  <si>
    <t>describe your approach for the ISSM to be able to change audit settings within minutes</t>
  </si>
  <si>
    <t>B81</t>
  </si>
  <si>
    <t>describe your approach for authorized users to select a user session to capture/record or view/hear.</t>
  </si>
  <si>
    <t>B82</t>
  </si>
  <si>
    <t>describe your approach to provide the capability for authorized users to capture/record and log content related to a user session</t>
  </si>
  <si>
    <t>CA Family</t>
  </si>
  <si>
    <t>[DoD-component]</t>
  </si>
  <si>
    <t>B86</t>
  </si>
  <si>
    <t>enter your owning DoD component</t>
  </si>
  <si>
    <t>CM Family</t>
  </si>
  <si>
    <t>[WC Configuration Management Plan]</t>
  </si>
  <si>
    <t>B90</t>
  </si>
  <si>
    <t>enter the name of your configuration management plan</t>
  </si>
  <si>
    <t>B91</t>
  </si>
  <si>
    <t>describe your approach to retain at least two previous versions of system baseline configurations</t>
  </si>
  <si>
    <t>B92</t>
  </si>
  <si>
    <t>describe your test environments other than your Production system</t>
  </si>
  <si>
    <t>CP Family</t>
  </si>
  <si>
    <t>[WC Contingency Plan]</t>
  </si>
  <si>
    <t>B96</t>
  </si>
  <si>
    <t>enter the name of your contingency plan</t>
  </si>
  <si>
    <t>IA Family</t>
  </si>
  <si>
    <t xml:space="preserve">[WC Approach: CredType] </t>
  </si>
  <si>
    <t>B100</t>
  </si>
  <si>
    <t>enter the credential type used within your system (uname &amp; password, MFA, X.509)</t>
  </si>
  <si>
    <t xml:space="preserve">[WC Approach: DirectorySvc] </t>
  </si>
  <si>
    <t>B101</t>
  </si>
  <si>
    <t>enter the name of your directory service solution</t>
  </si>
  <si>
    <t>B102</t>
  </si>
  <si>
    <t>describe your MFA approach to as it applies to privileged and non-privileged network accounts, as it applies to privileged and non-privileged local accounts; enter "Non-compliant" if MFA is not implemented</t>
  </si>
  <si>
    <t>B103</t>
  </si>
  <si>
    <t>confirm that your system does not use group authenticators to access system resources</t>
  </si>
  <si>
    <t>B104</t>
  </si>
  <si>
    <t>describe your replay-resistant authentication mechanism(s)/approach</t>
  </si>
  <si>
    <t>B105</t>
  </si>
  <si>
    <t xml:space="preserve">describe the use of a 3rd-party device that provides the second factor of your MFA solution  </t>
  </si>
  <si>
    <t>B106</t>
  </si>
  <si>
    <t>describe your approach accept and verify Personal Identity Verification credentials</t>
  </si>
  <si>
    <t>B107</t>
  </si>
  <si>
    <t>describe the uniformity of your environment and your choice of implemented authentication protocol</t>
  </si>
  <si>
    <t>B108</t>
  </si>
  <si>
    <t>describe your approach to accomplish bi-directional encryption, include the applicable protocol</t>
  </si>
  <si>
    <t>B109</t>
  </si>
  <si>
    <t>describe your approach and associated timetables when the system configuration will be evaluated</t>
  </si>
  <si>
    <t>[Workload Approach: LeastPriv]</t>
  </si>
  <si>
    <t>B110</t>
  </si>
  <si>
    <t>describe your approach to limits privileges to change information system components and system-related information within a production or operational environment</t>
  </si>
  <si>
    <t>[Workload Approach: UnauthorizedDetection]</t>
  </si>
  <si>
    <t>B111</t>
  </si>
  <si>
    <t>describe your automated approach to identify unauthorized hardware, software, or firmware components are detected on the infomration system</t>
  </si>
  <si>
    <t>B112</t>
  </si>
  <si>
    <t>describe your technical approach for limiting general user's ability to install software on the system</t>
  </si>
  <si>
    <t>IR Family</t>
  </si>
  <si>
    <t>[WC Incident Response Plan]</t>
  </si>
  <si>
    <t>B116</t>
  </si>
  <si>
    <t>enter the name of your incident response plan</t>
  </si>
  <si>
    <t>B117</t>
  </si>
  <si>
    <t>describe your approach to testing incident response procedures</t>
  </si>
  <si>
    <t>B118</t>
  </si>
  <si>
    <t>describe your approach for handling insider threat in your incident handling</t>
  </si>
  <si>
    <t>B119</t>
  </si>
  <si>
    <t>describe your approach for coordinating incident handling for insider threat across all organizational elements</t>
  </si>
  <si>
    <t>B120</t>
  </si>
  <si>
    <t>describe your approach for coordinating with the AO/DAO and externa organizations to correlate and share relavent incident information</t>
  </si>
  <si>
    <t>B121</t>
  </si>
  <si>
    <t>descrive your approach for coordination with other entities involving supply chain incidents</t>
  </si>
  <si>
    <t>B122</t>
  </si>
  <si>
    <t>describe your approach to document and track incidents</t>
  </si>
  <si>
    <t>B123</t>
  </si>
  <si>
    <t>describe automated mechanisms used for documenting and tracking incidents</t>
  </si>
  <si>
    <t>[Workload Approach: Automated Reporting]</t>
  </si>
  <si>
    <t>B124</t>
  </si>
  <si>
    <t>describe any automation used when reporting incidents to the AO.</t>
  </si>
  <si>
    <t>[Workload Approach: Incident Assisstance]</t>
  </si>
  <si>
    <t>B125</t>
  </si>
  <si>
    <t>describe your incident response support resource that provides advice for incidents</t>
  </si>
  <si>
    <t>[Workload Approach: Incident Assisstance1]</t>
  </si>
  <si>
    <t>B126</t>
  </si>
  <si>
    <t>describe automated mechanisms used to increase availability of incident response related information and support</t>
  </si>
  <si>
    <t>[Workload Approach: IR Plan Protection]</t>
  </si>
  <si>
    <t>B127</t>
  </si>
  <si>
    <t>describe how you protect your incident response plan from unauthroized modification</t>
  </si>
  <si>
    <t>[Workload Approach: Inadvertant Disclosure]</t>
  </si>
  <si>
    <t>B128</t>
  </si>
  <si>
    <t>describe your inadvertant dislosure process</t>
  </si>
  <si>
    <t>[Workload Approach: Security Cell]</t>
  </si>
  <si>
    <t>B129</t>
  </si>
  <si>
    <t>describe your integrated team of forensic/malicious code analysts, tool developers, and real-time operations personnel</t>
  </si>
  <si>
    <t>[WC Maintenance Plan]</t>
  </si>
  <si>
    <t>B133</t>
  </si>
  <si>
    <t>enter the name of your maintenance plan</t>
  </si>
  <si>
    <t>[Workload Approach: Maintenance Auditing]</t>
  </si>
  <si>
    <t>B134</t>
  </si>
  <si>
    <t>describe your approach for audit maintenace activities on the system</t>
  </si>
  <si>
    <t>[Workload Approach: Maintenance Auditing Reviews]</t>
  </si>
  <si>
    <t>B135</t>
  </si>
  <si>
    <t>describe your aproach for review maintenance audit logs</t>
  </si>
  <si>
    <t>RA Family</t>
  </si>
  <si>
    <t>[WC Categorization]</t>
  </si>
  <si>
    <t>B139</t>
  </si>
  <si>
    <t>enter the system categorization (e.g, M-L-L)</t>
  </si>
  <si>
    <t>B140</t>
  </si>
  <si>
    <t>describe your approach for ensuring breadth and depth of scanning covering for system components</t>
  </si>
  <si>
    <t>SA Family</t>
  </si>
  <si>
    <t>B144</t>
  </si>
  <si>
    <t>provide a description of the functional properties of the security controls to be employed.</t>
  </si>
  <si>
    <t>B145</t>
  </si>
  <si>
    <t>provide design and implementation information for the security controls to be employed that includes: high and low-level system design information at a sufficient level of detail to support control assessments and recommendations.</t>
  </si>
  <si>
    <t>B146</t>
  </si>
  <si>
    <t>describe your use of system security engineering principles in the specification, design, development, implementation, and modification of the information system.</t>
  </si>
  <si>
    <t>[Workload Approach: Integrity Verification]</t>
  </si>
  <si>
    <t>B147</t>
  </si>
  <si>
    <t>describe your approach for integrity verification of firmware and software components.</t>
  </si>
  <si>
    <t>[Workload Approach: Flaw Remediation Policy}</t>
  </si>
  <si>
    <t>B148</t>
  </si>
  <si>
    <t>describe your flaw remediation policy and procedures</t>
  </si>
  <si>
    <t>[Workload Approach: Supply Chain]</t>
  </si>
  <si>
    <t>B149</t>
  </si>
  <si>
    <t>describe your supply chain protection procedures and policies</t>
  </si>
  <si>
    <t>[Workload Approach: Counterfeit]</t>
  </si>
  <si>
    <t>B150</t>
  </si>
  <si>
    <t>describe your anti-counterfeit policy and procedures that include the means to detect and prevent counterfeit components from entering the information system</t>
  </si>
  <si>
    <t>[Workload Approach: Documentation]</t>
  </si>
  <si>
    <t>B151</t>
  </si>
  <si>
    <t>describe your administration documenation to include: secure configuration, installation, and operation; effectie use and maintenance; and know vulnerabilities</t>
  </si>
  <si>
    <t>[Workload Approach: Documenation1]</t>
  </si>
  <si>
    <t>B152</t>
  </si>
  <si>
    <t>describe your user documentation to include: user accessible security functions; methods for user interaction; and user responsibilities</t>
  </si>
  <si>
    <t>[Workload Approach: Documentation2]</t>
  </si>
  <si>
    <t>B153</t>
  </si>
  <si>
    <t>describe how you will document attempts to obtain information system, system component, or information system service documentation when such documentation is either unavailable or nonexistent and notifies SCA in response</t>
  </si>
  <si>
    <t xml:space="preserve">SC Family          </t>
  </si>
  <si>
    <t>B157</t>
  </si>
  <si>
    <t>describe your approach to separate user functionality from information system management functionality</t>
  </si>
  <si>
    <t>[WC Approach: SecFI]</t>
  </si>
  <si>
    <t>B158</t>
  </si>
  <si>
    <t>describe your approach to isolate security functionality from non-security functionality (e.g. subnets, user interfaces)</t>
  </si>
  <si>
    <t>[WC Firewall]</t>
  </si>
  <si>
    <t>B159</t>
  </si>
  <si>
    <t>enter the name of your host-based firewall selection (firewalld for Linux, Windows Defender Firewall for Windows)</t>
  </si>
  <si>
    <t>[WC Approach: DoS]</t>
  </si>
  <si>
    <t>*not possible via IaaS restricted routes but should we direct them to implement mitigations as bp?</t>
  </si>
  <si>
    <t>enter additional DoS mitigation methods for your system (e.g. load-balancing, web server configuration)</t>
  </si>
  <si>
    <t>[WC Approach: NetMon]</t>
  </si>
  <si>
    <t>B161</t>
  </si>
  <si>
    <t>enter the name of your network monitoring solution</t>
  </si>
  <si>
    <t>[WC SubnetsAmt]</t>
  </si>
  <si>
    <t>B162</t>
  </si>
  <si>
    <t>enter the quantity of subnets within your VPC</t>
  </si>
  <si>
    <t>[WC Approach: deniesTraffic]</t>
  </si>
  <si>
    <t>B163</t>
  </si>
  <si>
    <t>describe your approach to detect and deny outgoing communication traffic that is threaten to external systems (e.g. IPS/IDS)</t>
  </si>
  <si>
    <t>[WC Approach: deniedTrafUsr]</t>
  </si>
  <si>
    <t>B164</t>
  </si>
  <si>
    <t>describe your approach to identify internal users associated with denied communication traffic</t>
  </si>
  <si>
    <t>B165</t>
  </si>
  <si>
    <t>enter the title of your configuration management plan</t>
  </si>
  <si>
    <t>[WC Approach: MobileSolution]</t>
  </si>
  <si>
    <t>B166</t>
  </si>
  <si>
    <t>enter the name of your mobile code detection solution</t>
  </si>
  <si>
    <t>B167</t>
  </si>
  <si>
    <t>describe your technical approach to prevent the downloading and execution of mobile code</t>
  </si>
  <si>
    <t>B168</t>
  </si>
  <si>
    <t>describe your technical approach to prevent the automatic execution of mobile code within your environment</t>
  </si>
  <si>
    <t>B169</t>
  </si>
  <si>
    <t>describe your approach to prevent the presentation of information system management-related functionality at an interface for non-privileged users</t>
  </si>
  <si>
    <t xml:space="preserve">SI Family          </t>
  </si>
  <si>
    <t>[WC Approach: FlawMgmt]</t>
  </si>
  <si>
    <t>B173</t>
  </si>
  <si>
    <t>describe your approach to identify, track, monitor, &amp; resolve system flaws</t>
  </si>
  <si>
    <t>B174</t>
  </si>
  <si>
    <t>state the name of your tool(s) that's used to automate the determination of flaw remediation status and describe its use</t>
  </si>
  <si>
    <t>[WC Approach: MeasuredTime]</t>
  </si>
  <si>
    <t>B175</t>
  </si>
  <si>
    <t>describe your approach to measure the time between flaw identification and flaw remediation</t>
  </si>
  <si>
    <t>[WC Approach: Benchmark]</t>
  </si>
  <si>
    <t>B176</t>
  </si>
  <si>
    <t xml:space="preserve">describe your flaw benchmarking process that's applied to take corrective actions </t>
  </si>
  <si>
    <t>[WC Approach: MalCodeProtection]</t>
  </si>
  <si>
    <t>B177</t>
  </si>
  <si>
    <t>state the name of your malware protection utility and describe its use</t>
  </si>
  <si>
    <t>[WC SysMon]</t>
  </si>
  <si>
    <t>B178</t>
  </si>
  <si>
    <t>enter the name of your system monitoring tool that's used to detect attacks &amp; unauthorized network connections</t>
  </si>
  <si>
    <t>[WC Approach: LogProtection]</t>
  </si>
  <si>
    <t>B179</t>
  </si>
  <si>
    <t>enter your approach to protect monitoring log data from unauthorized access, modification, &amp; deletion</t>
  </si>
  <si>
    <t>[WC Approach: ElevatedSysMon]</t>
  </si>
  <si>
    <t>B180</t>
  </si>
  <si>
    <t>describe your approach and actions taken to elevate system monitoring when faced with increased risk</t>
  </si>
  <si>
    <t>B181</t>
  </si>
  <si>
    <t>describe your approach to system generated alerting, email and notification dashboards are common solutions</t>
  </si>
  <si>
    <t>[WC Intercepting]</t>
  </si>
  <si>
    <t>B182</t>
  </si>
  <si>
    <t>enter the name of your intercepting proxy solution</t>
  </si>
  <si>
    <t>[Workload Approach: AutoTools]</t>
  </si>
  <si>
    <t>B183</t>
  </si>
  <si>
    <t>describe what automated tools you are using for near real time analysis of malicious code</t>
  </si>
  <si>
    <t>B184</t>
  </si>
  <si>
    <t>describe how you monitor inbound and outbouns traffic continuously</t>
  </si>
  <si>
    <t>B185</t>
  </si>
  <si>
    <t>describe what automated mechanisms are used to alert security of unauthorized access attempts and unauthorized system use</t>
  </si>
  <si>
    <t>B186</t>
  </si>
  <si>
    <t>describe your approach to correlate information from monitoring tools throughout the system</t>
  </si>
  <si>
    <t>B187</t>
  </si>
  <si>
    <t>describe your approach to enhanced monitoring for users specified by the AO</t>
  </si>
  <si>
    <t>B188</t>
  </si>
  <si>
    <t>describe your aproach to enhanced monitoring for privileged users</t>
  </si>
  <si>
    <t>B189</t>
  </si>
  <si>
    <t>describe your approach for host-based monitoring</t>
  </si>
  <si>
    <t>B190</t>
  </si>
  <si>
    <t>describe your approach to detect unauthorized changes to all security relavent software, firmware, and settings.</t>
  </si>
  <si>
    <t>B191</t>
  </si>
  <si>
    <t>describe your approach for performing integrity checks for all items listed in SI-7.\</t>
  </si>
  <si>
    <t>B192</t>
  </si>
  <si>
    <t>describe the automated tools your use to provide notification to the ISSM upon discovering discrepencies when performing integrity checks</t>
  </si>
  <si>
    <t>B193</t>
  </si>
  <si>
    <t>describe your approach for incorporating the detection of unauthorized security-relevant changes to the information system (e.g., policy, settings, configurations, BIOS, audit, backups) into the organizational incident response capability.</t>
  </si>
  <si>
    <t>B194</t>
  </si>
  <si>
    <t>describe your approach for validating all inputs for web/application servers, database servers, and any system or application input that might receive a crafted exploit toward executing some code or buffer overflow.</t>
  </si>
  <si>
    <t>B195</t>
  </si>
  <si>
    <t>describe your approach that your  information system behaves in a predictable and documented manner that reflects organizational and system objectives when invalid inputs are received.</t>
  </si>
  <si>
    <t>[Workload Approach: ErrorMessages]</t>
  </si>
  <si>
    <t>B196</t>
  </si>
  <si>
    <t>describe your approach to generate error messages providing information for corrective actions without exploitable information</t>
  </si>
  <si>
    <t>B197</t>
  </si>
  <si>
    <t>describe your process for ensuring software deployed during maintenance/refresh to ensure it comes from a trusted source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</si>
</sst>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font>
      <sz val="10"/>
      <color rgb="FF000000"/>
      <name val="Arial"/>
    </font>
    <font>
      <sz val="10"/>
      <name val="Arial"/>
      <family val="2"/>
    </font>
    <font>
      <sz val="10"/>
      <name val="Calibri"/>
      <family val="2"/>
    </font>
    <font>
      <b/>
      <sz val="14"/>
      <name val="Arial"/>
      <family val="2"/>
    </font>
    <font>
      <b/>
      <sz val="10"/>
      <name val="Arial"/>
      <family val="2"/>
    </font>
    <font>
      <sz val="10"/>
      <name val="Times New Roman"/>
      <family val="1"/>
    </font>
    <font>
      <sz val="10"/>
      <color rgb="FF000000"/>
      <name val="Times New Roman"/>
      <family val="1"/>
    </font>
    <font>
      <b/>
      <sz val="10"/>
      <color rgb="FF000000"/>
      <name val="Times New Roman"/>
      <family val="1"/>
    </font>
    <font>
      <b/>
      <sz val="10"/>
      <name val="Times New Roman"/>
      <family val="1"/>
    </font>
    <font>
      <sz val="10"/>
      <color rgb="FFFF0000"/>
      <name val="Times New Roman"/>
      <family val="1"/>
    </font>
    <font>
      <sz val="10"/>
      <color rgb="FF000000"/>
      <name val="&quot;Times New Roman&quot;"/>
    </font>
    <font>
      <sz val="10"/>
      <color rgb="FF000000"/>
      <name val="Arial"/>
      <family val="2"/>
    </font>
    <font>
      <b/>
      <sz val="11"/>
      <name val="Calibri"/>
      <family val="2"/>
    </font>
    <font>
      <sz val="11"/>
      <name val="Calibri"/>
      <family val="2"/>
    </font>
    <font>
      <sz val="11"/>
      <color rgb="FF000000"/>
      <name val="Calibri"/>
      <family val="2"/>
    </font>
    <font>
      <b/>
      <sz val="11"/>
      <color rgb="FF000000"/>
      <name val="Calibri"/>
      <family val="2"/>
    </font>
    <font>
      <sz val="11"/>
      <color rgb="FF000000"/>
      <name val="Times New Roman"/>
      <family val="1"/>
    </font>
    <font>
      <b/>
      <sz val="10"/>
      <name val="Calibri"/>
      <family val="2"/>
    </font>
  </fonts>
  <fills count="16">
    <fill>
      <patternFill patternType="none"/>
    </fill>
    <fill>
      <patternFill patternType="gray125"/>
    </fill>
    <fill>
      <patternFill patternType="solid">
        <fgColor rgb="FFD8D8D8"/>
        <bgColor rgb="FFD8D8D8"/>
      </patternFill>
    </fill>
    <fill>
      <patternFill patternType="solid">
        <fgColor rgb="FFD9D9D9"/>
        <bgColor rgb="FFD9D9D9"/>
      </patternFill>
    </fill>
    <fill>
      <patternFill patternType="solid">
        <fgColor rgb="FFA4C2F4"/>
        <bgColor rgb="FFA4C2F4"/>
      </patternFill>
    </fill>
    <fill>
      <patternFill patternType="solid">
        <fgColor rgb="FF002451"/>
        <bgColor rgb="FF002451"/>
      </patternFill>
    </fill>
    <fill>
      <patternFill patternType="solid">
        <fgColor rgb="FFF2DBDB"/>
        <bgColor rgb="FFF2DBDB"/>
      </patternFill>
    </fill>
    <fill>
      <patternFill patternType="solid">
        <fgColor rgb="FFC6D9F1"/>
        <bgColor rgb="FFC6D9F1"/>
      </patternFill>
    </fill>
    <fill>
      <patternFill patternType="solid">
        <fgColor rgb="FFFFFFFF"/>
        <bgColor rgb="FFFFFFFF"/>
      </patternFill>
    </fill>
    <fill>
      <patternFill patternType="solid">
        <fgColor rgb="FFBFBFBF"/>
        <bgColor rgb="FFBFBFBF"/>
      </patternFill>
    </fill>
    <fill>
      <patternFill patternType="solid">
        <fgColor rgb="FFF8F9D5"/>
        <bgColor rgb="FFF8F9D5"/>
      </patternFill>
    </fill>
    <fill>
      <patternFill patternType="solid">
        <fgColor rgb="FFB8CCE4"/>
        <bgColor rgb="FFB8CCE4"/>
      </patternFill>
    </fill>
    <fill>
      <patternFill patternType="solid">
        <fgColor rgb="FFDDD9C3"/>
        <bgColor rgb="FFDDD9C3"/>
      </patternFill>
    </fill>
    <fill>
      <patternFill patternType="solid">
        <fgColor rgb="FFDAEEF3"/>
        <bgColor rgb="FFDAEEF3"/>
      </patternFill>
    </fill>
    <fill>
      <patternFill patternType="solid">
        <fgColor rgb="FFEFEFEF"/>
        <bgColor rgb="FFEFEFEF"/>
      </patternFill>
    </fill>
    <fill>
      <patternFill patternType="solid">
        <fgColor rgb="FFB7E1CD"/>
        <bgColor rgb="FFB7E1CD"/>
      </patternFill>
    </fill>
  </fills>
  <borders count="18">
    <border>
      <left/>
      <right/>
      <top/>
      <bottom/>
      <diagonal/>
    </border>
    <border>
      <left style="thin">
        <color rgb="FF000000"/>
      </left>
      <right style="thin">
        <color rgb="FF000000"/>
      </right>
      <top style="medium">
        <color rgb="FF000000"/>
      </top>
      <bottom/>
      <diagonal/>
    </border>
    <border>
      <left/>
      <right/>
      <top style="medium">
        <color rgb="FF000000"/>
      </top>
      <bottom/>
      <diagonal/>
    </border>
    <border>
      <left/>
      <right style="medium">
        <color rgb="FF000000"/>
      </right>
      <top style="medium">
        <color rgb="FF000000"/>
      </top>
      <bottom/>
      <diagonal/>
    </border>
    <border>
      <left/>
      <right style="thin">
        <color rgb="FF000000"/>
      </right>
      <top/>
      <bottom style="medium">
        <color rgb="FF000000"/>
      </bottom>
      <diagonal/>
    </border>
    <border>
      <left/>
      <right/>
      <top/>
      <bottom style="thin">
        <color rgb="FF000000"/>
      </bottom>
      <diagonal/>
    </border>
    <border>
      <left style="thin">
        <color rgb="FF000000"/>
      </left>
      <right style="thin">
        <color rgb="FF000000"/>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rgb="FF000000"/>
      </right>
      <top/>
      <bottom/>
      <diagonal/>
    </border>
    <border>
      <left/>
      <right style="medium">
        <color rgb="FF000000"/>
      </right>
      <top/>
      <bottom style="thin">
        <color rgb="FF000000"/>
      </bottom>
      <diagonal/>
    </border>
    <border>
      <left style="thin">
        <color rgb="FF000000"/>
      </left>
      <right style="thin">
        <color rgb="FF000000"/>
      </right>
      <top/>
      <bottom style="medium">
        <color rgb="FF000000"/>
      </bottom>
      <diagonal/>
    </border>
    <border>
      <left/>
      <right style="thin">
        <color rgb="FF000000"/>
      </right>
      <top/>
      <bottom/>
      <diagonal/>
    </border>
    <border>
      <left/>
      <right style="thin">
        <color rgb="FF000000"/>
      </right>
      <top/>
      <bottom style="thin">
        <color rgb="FF000000"/>
      </bottom>
      <diagonal/>
    </border>
    <border>
      <left/>
      <right/>
      <top/>
      <bottom/>
      <diagonal/>
    </border>
    <border>
      <left/>
      <right style="medium">
        <color rgb="FF000000"/>
      </right>
      <top/>
      <bottom style="medium">
        <color rgb="FF000000"/>
      </bottom>
      <diagonal/>
    </border>
    <border>
      <left/>
      <right/>
      <top style="thin">
        <color rgb="FF000000"/>
      </top>
      <bottom style="thin">
        <color rgb="FF000000"/>
      </bottom>
      <diagonal/>
    </border>
  </borders>
  <cellStyleXfs count="2">
    <xf numFmtId="0" fontId="0" fillId="0" borderId="0"/>
    <xf numFmtId="0" fontId="11" fillId="0" borderId="15"/>
  </cellStyleXfs>
  <cellXfs count="137">
    <xf numFmtId="0" fontId="0" fillId="0" borderId="0" xfId="0" applyFont="1" applyAlignment="1"/>
    <xf numFmtId="0" fontId="2" fillId="2" borderId="1" xfId="0" applyFont="1" applyFill="1" applyBorder="1" applyAlignment="1"/>
    <xf numFmtId="0" fontId="3" fillId="0" borderId="0" xfId="0" applyFont="1" applyAlignment="1">
      <alignment wrapText="1"/>
    </xf>
    <xf numFmtId="0" fontId="4" fillId="4" borderId="0" xfId="0" applyFont="1" applyFill="1" applyAlignment="1">
      <alignment wrapText="1"/>
    </xf>
    <xf numFmtId="0" fontId="5" fillId="2" borderId="2" xfId="0" applyFont="1" applyFill="1" applyBorder="1" applyAlignment="1">
      <alignment wrapText="1"/>
    </xf>
    <xf numFmtId="0" fontId="2" fillId="2" borderId="3" xfId="0" applyFont="1" applyFill="1" applyBorder="1" applyAlignment="1"/>
    <xf numFmtId="0" fontId="4" fillId="0" borderId="0" xfId="0" applyFont="1" applyAlignment="1">
      <alignment wrapText="1"/>
    </xf>
    <xf numFmtId="0" fontId="1" fillId="0" borderId="0" xfId="0" applyFont="1" applyAlignment="1">
      <alignment wrapText="1"/>
    </xf>
    <xf numFmtId="0" fontId="5" fillId="5" borderId="0" xfId="0" applyFont="1" applyFill="1" applyAlignment="1">
      <alignment wrapText="1"/>
    </xf>
    <xf numFmtId="0" fontId="2" fillId="5" borderId="0" xfId="0" applyFont="1" applyFill="1" applyAlignment="1">
      <alignment horizontal="center"/>
    </xf>
    <xf numFmtId="49" fontId="2" fillId="0" borderId="4" xfId="0" applyNumberFormat="1" applyFont="1" applyBorder="1" applyAlignment="1"/>
    <xf numFmtId="0" fontId="2" fillId="2" borderId="5" xfId="0" applyFont="1" applyFill="1" applyBorder="1"/>
    <xf numFmtId="0" fontId="2" fillId="0" borderId="0" xfId="0" applyFont="1" applyAlignment="1"/>
    <xf numFmtId="0" fontId="6" fillId="0" borderId="0" xfId="0" applyFont="1" applyAlignment="1">
      <alignment wrapText="1"/>
    </xf>
    <xf numFmtId="0" fontId="6" fillId="0" borderId="0" xfId="0" applyFont="1" applyAlignment="1">
      <alignment horizontal="right"/>
    </xf>
    <xf numFmtId="0" fontId="7" fillId="3" borderId="6" xfId="0" applyFont="1" applyFill="1" applyBorder="1" applyAlignment="1">
      <alignment horizontal="center" vertical="top" wrapText="1"/>
    </xf>
    <xf numFmtId="0" fontId="8" fillId="3" borderId="7" xfId="0" applyFont="1" applyFill="1" applyBorder="1" applyAlignment="1">
      <alignment horizontal="center" wrapText="1"/>
    </xf>
    <xf numFmtId="0" fontId="2" fillId="3" borderId="7" xfId="0" applyFont="1" applyFill="1" applyBorder="1" applyAlignment="1">
      <alignment wrapText="1"/>
    </xf>
    <xf numFmtId="0" fontId="2" fillId="3" borderId="7" xfId="0" applyFont="1" applyFill="1" applyBorder="1" applyAlignment="1"/>
    <xf numFmtId="0" fontId="2" fillId="6" borderId="7" xfId="0" applyFont="1" applyFill="1" applyBorder="1" applyAlignment="1">
      <alignment vertical="center"/>
    </xf>
    <xf numFmtId="0" fontId="2" fillId="0" borderId="7" xfId="0" applyFont="1" applyBorder="1" applyAlignment="1">
      <alignment vertical="center"/>
    </xf>
    <xf numFmtId="0" fontId="2" fillId="7" borderId="7" xfId="0" applyFont="1" applyFill="1" applyBorder="1" applyAlignment="1">
      <alignment vertical="center"/>
    </xf>
    <xf numFmtId="0" fontId="6" fillId="0" borderId="7" xfId="0" applyFont="1" applyBorder="1" applyAlignment="1">
      <alignment horizontal="center"/>
    </xf>
    <xf numFmtId="0" fontId="7" fillId="0" borderId="7" xfId="0" applyFont="1" applyBorder="1" applyAlignment="1">
      <alignment horizontal="center"/>
    </xf>
    <xf numFmtId="0" fontId="7" fillId="0" borderId="7" xfId="0" applyFont="1" applyBorder="1" applyAlignment="1">
      <alignment horizontal="center" vertical="top" wrapText="1"/>
    </xf>
    <xf numFmtId="0" fontId="7" fillId="8" borderId="7" xfId="0" applyFont="1" applyFill="1" applyBorder="1" applyAlignment="1">
      <alignment horizontal="center" wrapText="1"/>
    </xf>
    <xf numFmtId="0" fontId="6" fillId="9" borderId="10" xfId="0" applyFont="1" applyFill="1" applyBorder="1" applyAlignment="1"/>
    <xf numFmtId="0" fontId="2" fillId="2" borderId="11" xfId="0" applyFont="1" applyFill="1" applyBorder="1" applyAlignment="1"/>
    <xf numFmtId="0" fontId="7" fillId="3" borderId="12" xfId="0" applyFont="1" applyFill="1" applyBorder="1" applyAlignment="1">
      <alignment horizontal="center" wrapText="1"/>
    </xf>
    <xf numFmtId="0" fontId="8" fillId="6" borderId="7" xfId="0" applyFont="1" applyFill="1" applyBorder="1" applyAlignment="1">
      <alignment horizontal="center" vertical="center" wrapText="1"/>
    </xf>
    <xf numFmtId="0" fontId="8" fillId="0" borderId="7" xfId="0" applyFont="1" applyBorder="1" applyAlignment="1">
      <alignment horizontal="center" vertical="center" wrapText="1"/>
    </xf>
    <xf numFmtId="0" fontId="8" fillId="7" borderId="7" xfId="0" applyFont="1" applyFill="1" applyBorder="1" applyAlignment="1">
      <alignment horizontal="center" vertical="center" wrapText="1"/>
    </xf>
    <xf numFmtId="0" fontId="7" fillId="0" borderId="7" xfId="0" applyFont="1" applyBorder="1" applyAlignment="1">
      <alignment horizontal="center" wrapText="1"/>
    </xf>
    <xf numFmtId="0" fontId="7" fillId="2" borderId="7" xfId="0" applyFont="1" applyFill="1" applyBorder="1" applyAlignment="1">
      <alignment horizontal="center"/>
    </xf>
    <xf numFmtId="0" fontId="2" fillId="0" borderId="7" xfId="0" applyFont="1" applyBorder="1" applyAlignment="1">
      <alignment vertical="top"/>
    </xf>
    <xf numFmtId="0" fontId="5" fillId="0" borderId="7" xfId="0" applyFont="1" applyBorder="1" applyAlignment="1">
      <alignment wrapText="1"/>
    </xf>
    <xf numFmtId="0" fontId="7" fillId="9" borderId="10" xfId="0" applyFont="1" applyFill="1" applyBorder="1" applyAlignment="1"/>
    <xf numFmtId="0" fontId="7" fillId="2" borderId="11" xfId="0" applyFont="1" applyFill="1" applyBorder="1" applyAlignment="1">
      <alignment horizontal="center" wrapText="1"/>
    </xf>
    <xf numFmtId="0" fontId="8" fillId="2" borderId="4" xfId="0" applyFont="1" applyFill="1" applyBorder="1" applyAlignment="1">
      <alignment horizontal="center" wrapText="1"/>
    </xf>
    <xf numFmtId="0" fontId="7" fillId="0" borderId="0" xfId="0" applyFont="1" applyAlignment="1"/>
    <xf numFmtId="0" fontId="7" fillId="0" borderId="0" xfId="0" applyFont="1" applyAlignment="1">
      <alignment horizontal="right"/>
    </xf>
    <xf numFmtId="0" fontId="6" fillId="0" borderId="13" xfId="0" applyFont="1" applyBorder="1" applyAlignment="1">
      <alignment horizontal="right"/>
    </xf>
    <xf numFmtId="0" fontId="5" fillId="10" borderId="7" xfId="0" applyFont="1" applyFill="1" applyBorder="1" applyAlignment="1">
      <alignment vertical="top" wrapText="1"/>
    </xf>
    <xf numFmtId="0" fontId="5" fillId="6" borderId="7" xfId="0" applyFont="1" applyFill="1" applyBorder="1" applyAlignment="1">
      <alignment horizontal="center" vertical="center" wrapText="1"/>
    </xf>
    <xf numFmtId="0" fontId="5" fillId="8" borderId="7" xfId="0" applyFont="1" applyFill="1" applyBorder="1" applyAlignment="1">
      <alignment horizontal="center" vertical="center" wrapText="1"/>
    </xf>
    <xf numFmtId="0" fontId="5" fillId="11" borderId="7" xfId="0" applyFont="1" applyFill="1" applyBorder="1" applyAlignment="1">
      <alignment horizontal="center" vertical="center" wrapText="1"/>
    </xf>
    <xf numFmtId="0" fontId="2" fillId="0" borderId="7" xfId="0" applyFont="1" applyBorder="1"/>
    <xf numFmtId="0" fontId="2" fillId="12" borderId="7" xfId="0" applyFont="1" applyFill="1" applyBorder="1"/>
    <xf numFmtId="0" fontId="2" fillId="13" borderId="7" xfId="0" applyFont="1" applyFill="1" applyBorder="1"/>
    <xf numFmtId="0" fontId="2" fillId="2" borderId="7" xfId="0" applyFont="1" applyFill="1" applyBorder="1"/>
    <xf numFmtId="0" fontId="6" fillId="9" borderId="10" xfId="0" applyFont="1" applyFill="1" applyBorder="1" applyAlignment="1">
      <alignment horizontal="right"/>
    </xf>
    <xf numFmtId="0" fontId="5" fillId="2" borderId="14" xfId="0" applyFont="1" applyFill="1" applyBorder="1" applyAlignment="1">
      <alignment vertical="top" wrapText="1"/>
    </xf>
    <xf numFmtId="0" fontId="9" fillId="0" borderId="0" xfId="0" applyFont="1" applyAlignment="1"/>
    <xf numFmtId="0" fontId="2" fillId="11" borderId="7" xfId="0" applyFont="1" applyFill="1" applyBorder="1" applyAlignment="1">
      <alignment vertical="center"/>
    </xf>
    <xf numFmtId="0" fontId="6" fillId="0" borderId="7" xfId="0" applyFont="1" applyBorder="1" applyAlignment="1">
      <alignment vertical="top" wrapText="1"/>
    </xf>
    <xf numFmtId="0" fontId="10" fillId="8" borderId="0" xfId="0" applyFont="1" applyFill="1" applyAlignment="1">
      <alignment horizontal="left" wrapText="1"/>
    </xf>
    <xf numFmtId="0" fontId="6" fillId="0" borderId="7" xfId="0" applyFont="1" applyBorder="1" applyAlignment="1">
      <alignment horizontal="center" vertical="top" wrapText="1"/>
    </xf>
    <xf numFmtId="0" fontId="2" fillId="8" borderId="7" xfId="0" applyFont="1" applyFill="1" applyBorder="1" applyAlignment="1">
      <alignment vertical="center"/>
    </xf>
    <xf numFmtId="0" fontId="2" fillId="12" borderId="7" xfId="0" quotePrefix="1" applyFont="1" applyFill="1" applyBorder="1"/>
    <xf numFmtId="0" fontId="2" fillId="2" borderId="7" xfId="0" quotePrefix="1" applyFont="1" applyFill="1" applyBorder="1"/>
    <xf numFmtId="0" fontId="6" fillId="13" borderId="7" xfId="0" applyFont="1" applyFill="1" applyBorder="1" applyAlignment="1">
      <alignment horizontal="center"/>
    </xf>
    <xf numFmtId="0" fontId="2" fillId="2" borderId="7" xfId="0" applyFont="1" applyFill="1" applyBorder="1" applyAlignment="1"/>
    <xf numFmtId="0" fontId="6" fillId="2" borderId="11" xfId="0" applyFont="1" applyFill="1" applyBorder="1" applyAlignment="1">
      <alignment horizontal="center"/>
    </xf>
    <xf numFmtId="0" fontId="6" fillId="0" borderId="7" xfId="0" applyFont="1" applyBorder="1" applyAlignment="1">
      <alignment wrapText="1"/>
    </xf>
    <xf numFmtId="0" fontId="5" fillId="0" borderId="7" xfId="0" applyFont="1" applyBorder="1" applyAlignment="1">
      <alignment horizontal="center" vertical="center" wrapText="1"/>
    </xf>
    <xf numFmtId="0" fontId="6" fillId="2" borderId="16" xfId="0" applyFont="1" applyFill="1" applyBorder="1" applyAlignment="1">
      <alignment horizontal="center"/>
    </xf>
    <xf numFmtId="0" fontId="5" fillId="0" borderId="7" xfId="0" applyFont="1" applyBorder="1" applyAlignment="1">
      <alignment vertical="top" wrapText="1"/>
    </xf>
    <xf numFmtId="0" fontId="2" fillId="0" borderId="7" xfId="0" applyFont="1" applyBorder="1" applyAlignment="1">
      <alignment horizontal="center"/>
    </xf>
    <xf numFmtId="0" fontId="2" fillId="0" borderId="7" xfId="0" applyFont="1" applyBorder="1" applyAlignment="1">
      <alignment horizontal="center" vertical="top"/>
    </xf>
    <xf numFmtId="0" fontId="5" fillId="0" borderId="7" xfId="0" applyFont="1" applyBorder="1" applyAlignment="1">
      <alignment horizontal="center" vertical="top" wrapText="1"/>
    </xf>
    <xf numFmtId="0" fontId="6" fillId="12" borderId="7" xfId="0" quotePrefix="1" applyFont="1" applyFill="1" applyBorder="1" applyAlignment="1">
      <alignment horizontal="center"/>
    </xf>
    <xf numFmtId="0" fontId="6" fillId="12" borderId="7" xfId="0" applyFont="1" applyFill="1" applyBorder="1" applyAlignment="1">
      <alignment horizontal="center"/>
    </xf>
    <xf numFmtId="0" fontId="6" fillId="2" borderId="7" xfId="0" quotePrefix="1" applyFont="1" applyFill="1" applyBorder="1" applyAlignment="1">
      <alignment horizontal="center"/>
    </xf>
    <xf numFmtId="0" fontId="2" fillId="2" borderId="16" xfId="0" applyFont="1" applyFill="1" applyBorder="1" applyAlignment="1"/>
    <xf numFmtId="0" fontId="6" fillId="2" borderId="7" xfId="0" applyFont="1" applyFill="1" applyBorder="1" applyAlignment="1">
      <alignment horizontal="center"/>
    </xf>
    <xf numFmtId="0" fontId="10" fillId="8" borderId="0" xfId="0" applyFont="1" applyFill="1" applyAlignment="1">
      <alignment horizontal="left" vertical="top"/>
    </xf>
    <xf numFmtId="0" fontId="6" fillId="0" borderId="7" xfId="0" applyFont="1" applyBorder="1" applyAlignment="1">
      <alignment horizontal="left" vertical="top" wrapText="1"/>
    </xf>
    <xf numFmtId="0" fontId="2" fillId="12" borderId="7" xfId="0" quotePrefix="1" applyFont="1" applyFill="1" applyBorder="1" applyAlignment="1">
      <alignment horizontal="center"/>
    </xf>
    <xf numFmtId="0" fontId="2" fillId="2" borderId="7" xfId="0" quotePrefix="1" applyFont="1" applyFill="1" applyBorder="1" applyAlignment="1">
      <alignment horizontal="center"/>
    </xf>
    <xf numFmtId="0" fontId="6" fillId="10" borderId="7" xfId="0" applyFont="1" applyFill="1" applyBorder="1" applyAlignment="1">
      <alignment wrapText="1"/>
    </xf>
    <xf numFmtId="0" fontId="6" fillId="2" borderId="10" xfId="0" applyFont="1" applyFill="1" applyBorder="1" applyAlignment="1">
      <alignment horizontal="center"/>
    </xf>
    <xf numFmtId="0" fontId="6" fillId="15" borderId="7" xfId="0" applyFont="1" applyFill="1" applyBorder="1" applyAlignment="1">
      <alignment vertical="top" wrapText="1"/>
    </xf>
    <xf numFmtId="0" fontId="2" fillId="2" borderId="16" xfId="0" applyFont="1" applyFill="1" applyBorder="1"/>
    <xf numFmtId="0" fontId="2" fillId="0" borderId="0" xfId="0" applyFont="1" applyAlignment="1">
      <alignment wrapText="1"/>
    </xf>
    <xf numFmtId="0" fontId="2" fillId="0" borderId="0" xfId="0" applyFont="1" applyAlignment="1">
      <alignment vertical="center"/>
    </xf>
    <xf numFmtId="0" fontId="2" fillId="0" borderId="0" xfId="0" applyFont="1"/>
    <xf numFmtId="0" fontId="2" fillId="0" borderId="0" xfId="0" applyFont="1" applyAlignment="1">
      <alignment vertical="top"/>
    </xf>
    <xf numFmtId="0" fontId="2" fillId="0" borderId="0" xfId="0" applyFont="1" applyAlignment="1">
      <alignment horizontal="center"/>
    </xf>
    <xf numFmtId="0" fontId="5" fillId="0" borderId="0" xfId="0" applyFont="1" applyAlignment="1">
      <alignment wrapText="1"/>
    </xf>
    <xf numFmtId="0" fontId="12" fillId="4" borderId="15" xfId="1" applyFont="1" applyFill="1" applyAlignment="1"/>
    <xf numFmtId="0" fontId="12" fillId="4" borderId="15" xfId="1" applyFont="1" applyFill="1" applyAlignment="1">
      <alignment wrapText="1"/>
    </xf>
    <xf numFmtId="0" fontId="13" fillId="0" borderId="15" xfId="1" applyFont="1" applyAlignment="1"/>
    <xf numFmtId="0" fontId="0" fillId="0" borderId="15" xfId="1" applyFont="1" applyAlignment="1"/>
    <xf numFmtId="0" fontId="12" fillId="8" borderId="15" xfId="1" applyFont="1" applyFill="1" applyAlignment="1">
      <alignment horizontal="center"/>
    </xf>
    <xf numFmtId="0" fontId="13" fillId="0" borderId="15" xfId="1" applyFont="1" applyAlignment="1">
      <alignment wrapText="1"/>
    </xf>
    <xf numFmtId="0" fontId="12" fillId="8" borderId="15" xfId="1" applyFont="1" applyFill="1" applyAlignment="1">
      <alignment wrapText="1"/>
    </xf>
    <xf numFmtId="0" fontId="13" fillId="0" borderId="7" xfId="1" applyFont="1" applyBorder="1" applyAlignment="1"/>
    <xf numFmtId="0" fontId="13" fillId="0" borderId="7" xfId="1" applyFont="1" applyBorder="1" applyAlignment="1">
      <alignment wrapText="1"/>
    </xf>
    <xf numFmtId="0" fontId="14" fillId="8" borderId="7" xfId="1" applyFont="1" applyFill="1" applyBorder="1" applyAlignment="1">
      <alignment wrapText="1"/>
    </xf>
    <xf numFmtId="0" fontId="14" fillId="8" borderId="7" xfId="1" applyFont="1" applyFill="1" applyBorder="1" applyAlignment="1"/>
    <xf numFmtId="0" fontId="14" fillId="8" borderId="15" xfId="1" applyFont="1" applyFill="1" applyAlignment="1"/>
    <xf numFmtId="0" fontId="15" fillId="14" borderId="8" xfId="1" applyFont="1" applyFill="1" applyBorder="1" applyAlignment="1"/>
    <xf numFmtId="0" fontId="15" fillId="14" borderId="9" xfId="1" applyFont="1" applyFill="1" applyBorder="1" applyAlignment="1"/>
    <xf numFmtId="0" fontId="14" fillId="8" borderId="7" xfId="1" applyFont="1" applyFill="1" applyBorder="1" applyAlignment="1">
      <alignment horizontal="left"/>
    </xf>
    <xf numFmtId="0" fontId="10" fillId="8" borderId="15" xfId="1" applyFont="1" applyFill="1" applyAlignment="1">
      <alignment horizontal="left" wrapText="1"/>
    </xf>
    <xf numFmtId="0" fontId="12" fillId="14" borderId="8" xfId="1" applyFont="1" applyFill="1" applyBorder="1" applyAlignment="1"/>
    <xf numFmtId="0" fontId="16" fillId="8" borderId="7" xfId="1" applyFont="1" applyFill="1" applyBorder="1" applyAlignment="1"/>
    <xf numFmtId="0" fontId="2" fillId="3" borderId="13" xfId="0" applyFont="1" applyFill="1" applyBorder="1"/>
    <xf numFmtId="0" fontId="6" fillId="0" borderId="5" xfId="0" applyFont="1" applyBorder="1" applyAlignment="1">
      <alignment horizontal="center" wrapText="1"/>
    </xf>
    <xf numFmtId="49" fontId="6" fillId="0" borderId="5" xfId="0" applyNumberFormat="1" applyFont="1" applyBorder="1" applyAlignment="1">
      <alignment horizontal="center" wrapText="1"/>
    </xf>
    <xf numFmtId="0" fontId="2" fillId="5" borderId="5" xfId="0" applyFont="1" applyFill="1" applyBorder="1" applyAlignment="1">
      <alignment vertical="top"/>
    </xf>
    <xf numFmtId="0" fontId="2" fillId="0" borderId="15" xfId="0" applyFont="1" applyBorder="1" applyAlignment="1"/>
    <xf numFmtId="0" fontId="2" fillId="2" borderId="14" xfId="0" applyFont="1" applyFill="1" applyBorder="1"/>
    <xf numFmtId="0" fontId="2" fillId="2" borderId="13" xfId="0" applyFont="1" applyFill="1" applyBorder="1"/>
    <xf numFmtId="0" fontId="1" fillId="0" borderId="0" xfId="0" applyFont="1"/>
    <xf numFmtId="0" fontId="1" fillId="0" borderId="0" xfId="0" applyFont="1" applyAlignment="1">
      <alignment horizontal="center"/>
    </xf>
    <xf numFmtId="0" fontId="1" fillId="0" borderId="9" xfId="1" applyFont="1" applyBorder="1"/>
    <xf numFmtId="0" fontId="1" fillId="0" borderId="0" xfId="0" applyFont="1" applyAlignment="1">
      <alignment vertical="center"/>
    </xf>
    <xf numFmtId="0" fontId="0" fillId="0" borderId="0" xfId="0" applyFont="1" applyAlignment="1"/>
    <xf numFmtId="0" fontId="1" fillId="0" borderId="0" xfId="0" applyFont="1" applyAlignment="1">
      <alignment vertical="center"/>
    </xf>
    <xf numFmtId="0" fontId="0" fillId="0" borderId="0" xfId="0" applyFont="1" applyAlignment="1"/>
    <xf numFmtId="0" fontId="7" fillId="0" borderId="8" xfId="0" applyFont="1" applyBorder="1" applyAlignment="1">
      <alignment horizontal="center"/>
    </xf>
    <xf numFmtId="0" fontId="1" fillId="0" borderId="9" xfId="0" applyFont="1" applyBorder="1" applyAlignment="1"/>
    <xf numFmtId="0" fontId="12" fillId="14" borderId="8" xfId="1" applyFont="1" applyFill="1" applyBorder="1" applyAlignment="1">
      <alignment horizontal="left"/>
    </xf>
    <xf numFmtId="0" fontId="12" fillId="14" borderId="17" xfId="1" applyFont="1" applyFill="1" applyBorder="1" applyAlignment="1">
      <alignment horizontal="left"/>
    </xf>
    <xf numFmtId="0" fontId="12" fillId="14" borderId="9" xfId="1" applyFont="1" applyFill="1" applyBorder="1" applyAlignment="1">
      <alignment horizontal="left"/>
    </xf>
    <xf numFmtId="0" fontId="2" fillId="6" borderId="7" xfId="0" applyFont="1" applyFill="1" applyBorder="1" applyAlignment="1">
      <alignment horizontal="center" vertical="center"/>
    </xf>
    <xf numFmtId="0" fontId="2" fillId="0" borderId="0" xfId="0" applyFont="1" applyAlignment="1">
      <alignment horizontal="center" vertical="center"/>
    </xf>
    <xf numFmtId="0" fontId="1" fillId="0" borderId="0" xfId="0" applyFont="1" applyAlignment="1">
      <alignment horizontal="center" vertical="center"/>
    </xf>
    <xf numFmtId="0" fontId="0" fillId="0" borderId="0" xfId="0" applyFont="1" applyAlignment="1">
      <alignment horizontal="center" vertical="center"/>
    </xf>
    <xf numFmtId="0" fontId="2" fillId="0" borderId="7" xfId="0" applyFont="1" applyBorder="1" applyAlignment="1">
      <alignment horizontal="center" vertical="center"/>
    </xf>
    <xf numFmtId="0" fontId="2" fillId="8" borderId="7" xfId="0" applyFont="1" applyFill="1" applyBorder="1" applyAlignment="1">
      <alignment horizontal="center" vertical="center"/>
    </xf>
    <xf numFmtId="0" fontId="0" fillId="0" borderId="0" xfId="0" applyFont="1" applyAlignment="1">
      <alignment horizontal="center"/>
    </xf>
    <xf numFmtId="0" fontId="2" fillId="11" borderId="7" xfId="0" applyFont="1" applyFill="1" applyBorder="1" applyAlignment="1">
      <alignment horizontal="center" vertical="center"/>
    </xf>
    <xf numFmtId="0" fontId="17" fillId="6" borderId="7" xfId="0" applyFont="1" applyFill="1" applyBorder="1" applyAlignment="1">
      <alignment horizontal="center" vertical="center"/>
    </xf>
    <xf numFmtId="0" fontId="17" fillId="0" borderId="7" xfId="0" applyFont="1" applyBorder="1" applyAlignment="1">
      <alignment horizontal="center" vertical="center"/>
    </xf>
    <xf numFmtId="0" fontId="17" fillId="7" borderId="7" xfId="0" applyFont="1" applyFill="1" applyBorder="1" applyAlignment="1">
      <alignment horizontal="center" vertical="center"/>
    </xf>
  </cellXfs>
  <cellStyles count="2">
    <cellStyle name="Normal" xfId="0" builtinId="0"/>
    <cellStyle name="Normal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xdr:from>
      <xdr:col>0</xdr:col>
      <xdr:colOff>4235450</xdr:colOff>
      <xdr:row>16</xdr:row>
      <xdr:rowOff>441325</xdr:rowOff>
    </xdr:from>
    <xdr:to>
      <xdr:col>0</xdr:col>
      <xdr:colOff>6470650</xdr:colOff>
      <xdr:row>20</xdr:row>
      <xdr:rowOff>15875</xdr:rowOff>
    </xdr:to>
    <xdr:sp macro="[0]!ThisWorkbook.generateFinalizedSCTM" textlink="">
      <xdr:nvSpPr>
        <xdr:cNvPr id="2" name="Rectangle 1">
          <a:extLst>
            <a:ext uri="{FF2B5EF4-FFF2-40B4-BE49-F238E27FC236}">
              <a16:creationId xmlns:a16="http://schemas.microsoft.com/office/drawing/2014/main" id="{4A9161A0-398B-3F4F-8522-9364EC79D7F4}"/>
            </a:ext>
          </a:extLst>
        </xdr:cNvPr>
        <xdr:cNvSpPr/>
      </xdr:nvSpPr>
      <xdr:spPr>
        <a:xfrm>
          <a:off x="4235450" y="4346575"/>
          <a:ext cx="2235200" cy="979488"/>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000"/>
            <a:t>Generate SCTM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A1004"/>
  <sheetViews>
    <sheetView zoomScale="120" zoomScaleNormal="120" workbookViewId="0">
      <selection activeCell="A7" sqref="A7"/>
    </sheetView>
  </sheetViews>
  <sheetFormatPr defaultColWidth="14.42578125" defaultRowHeight="15.75" customHeight="1"/>
  <cols>
    <col min="1" max="1" width="166.28515625" customWidth="1"/>
  </cols>
  <sheetData>
    <row r="1" spans="1:1" ht="15.75" customHeight="1">
      <c r="A1" s="7"/>
    </row>
    <row r="2" spans="1:1" ht="18">
      <c r="A2" s="2" t="s">
        <v>0</v>
      </c>
    </row>
    <row r="3" spans="1:1" ht="15.75" customHeight="1">
      <c r="A3" s="7"/>
    </row>
    <row r="4" spans="1:1" ht="15.75" customHeight="1">
      <c r="A4" s="3" t="s">
        <v>1</v>
      </c>
    </row>
    <row r="5" spans="1:1" ht="25.5">
      <c r="A5" s="7" t="s">
        <v>2</v>
      </c>
    </row>
    <row r="6" spans="1:1" ht="15.75" customHeight="1">
      <c r="A6" s="6"/>
    </row>
    <row r="7" spans="1:1" ht="15.75" customHeight="1">
      <c r="A7" s="6"/>
    </row>
    <row r="8" spans="1:1" ht="15.75" customHeight="1">
      <c r="A8" s="3" t="s">
        <v>3</v>
      </c>
    </row>
    <row r="9" spans="1:1" ht="38.25">
      <c r="A9" s="7" t="s">
        <v>4</v>
      </c>
    </row>
    <row r="10" spans="1:1" ht="15.75" customHeight="1">
      <c r="A10" s="7"/>
    </row>
    <row r="11" spans="1:1" ht="15.75" customHeight="1">
      <c r="A11" s="7"/>
    </row>
    <row r="12" spans="1:1" ht="15.75" customHeight="1">
      <c r="A12" s="3" t="s">
        <v>5</v>
      </c>
    </row>
    <row r="13" spans="1:1" ht="38.25">
      <c r="A13" s="7" t="s">
        <v>6</v>
      </c>
    </row>
    <row r="14" spans="1:1" ht="15.75" customHeight="1">
      <c r="A14" s="7"/>
    </row>
    <row r="15" spans="1:1" ht="15.75" customHeight="1">
      <c r="A15" s="7"/>
    </row>
    <row r="16" spans="1:1" ht="15.75" customHeight="1">
      <c r="A16" s="3" t="s">
        <v>7</v>
      </c>
    </row>
    <row r="17" spans="1:1" ht="63.75">
      <c r="A17" s="7" t="s">
        <v>8</v>
      </c>
    </row>
    <row r="18" spans="1:1" ht="15.75" customHeight="1">
      <c r="A18" s="7"/>
    </row>
    <row r="19" spans="1:1" ht="15.75" customHeight="1">
      <c r="A19" s="7"/>
    </row>
    <row r="20" spans="1:1" ht="15.75" customHeight="1">
      <c r="A20" s="7"/>
    </row>
    <row r="21" spans="1:1" ht="15.75" customHeight="1">
      <c r="A21" s="7"/>
    </row>
    <row r="22" spans="1:1" ht="15.75" customHeight="1">
      <c r="A22" s="7"/>
    </row>
    <row r="23" spans="1:1" ht="15.75" customHeight="1">
      <c r="A23" s="7"/>
    </row>
    <row r="24" spans="1:1" ht="15.75" customHeight="1">
      <c r="A24" s="7"/>
    </row>
    <row r="25" spans="1:1" ht="15.75" customHeight="1">
      <c r="A25" s="7"/>
    </row>
    <row r="26" spans="1:1" ht="15.75" customHeight="1">
      <c r="A26" s="7"/>
    </row>
    <row r="27" spans="1:1" ht="15.75" customHeight="1">
      <c r="A27" s="7"/>
    </row>
    <row r="28" spans="1:1" ht="15.75" customHeight="1">
      <c r="A28" s="7"/>
    </row>
    <row r="29" spans="1:1" ht="15.75" customHeight="1">
      <c r="A29" s="7"/>
    </row>
    <row r="30" spans="1:1" ht="15.75" customHeight="1">
      <c r="A30" s="7"/>
    </row>
    <row r="31" spans="1:1" ht="15.75" customHeight="1">
      <c r="A31" s="7"/>
    </row>
    <row r="32" spans="1:1" ht="15.75" customHeight="1">
      <c r="A32" s="7"/>
    </row>
    <row r="33" spans="1:1" ht="15.75" customHeight="1">
      <c r="A33" s="7"/>
    </row>
    <row r="34" spans="1:1" ht="15.75" customHeight="1">
      <c r="A34" s="7"/>
    </row>
    <row r="35" spans="1:1" ht="15.75" customHeight="1">
      <c r="A35" s="7"/>
    </row>
    <row r="36" spans="1:1" ht="15.75" customHeight="1">
      <c r="A36" s="7"/>
    </row>
    <row r="37" spans="1:1" ht="15.75" customHeight="1">
      <c r="A37" s="7"/>
    </row>
    <row r="38" spans="1:1" ht="15.75" customHeight="1">
      <c r="A38" s="7"/>
    </row>
    <row r="39" spans="1:1" ht="15.75" customHeight="1">
      <c r="A39" s="7"/>
    </row>
    <row r="40" spans="1:1" ht="15.75" customHeight="1">
      <c r="A40" s="7"/>
    </row>
    <row r="41" spans="1:1" ht="15.75" customHeight="1">
      <c r="A41" s="7"/>
    </row>
    <row r="42" spans="1:1" ht="15.75" customHeight="1">
      <c r="A42" s="7"/>
    </row>
    <row r="43" spans="1:1" ht="15.75" customHeight="1">
      <c r="A43" s="7"/>
    </row>
    <row r="44" spans="1:1" ht="15.75" customHeight="1">
      <c r="A44" s="7"/>
    </row>
    <row r="45" spans="1:1" ht="15.75" customHeight="1">
      <c r="A45" s="7"/>
    </row>
    <row r="46" spans="1:1" ht="15.75" customHeight="1">
      <c r="A46" s="7"/>
    </row>
    <row r="47" spans="1:1" ht="15.75" customHeight="1">
      <c r="A47" s="7"/>
    </row>
    <row r="48" spans="1:1" ht="15.75" customHeight="1">
      <c r="A48" s="7"/>
    </row>
    <row r="49" spans="1:1" ht="15.75" customHeight="1">
      <c r="A49" s="7"/>
    </row>
    <row r="50" spans="1:1" ht="15.75" customHeight="1">
      <c r="A50" s="7"/>
    </row>
    <row r="51" spans="1:1" ht="15.75" customHeight="1">
      <c r="A51" s="7"/>
    </row>
    <row r="52" spans="1:1" ht="15.75" customHeight="1">
      <c r="A52" s="7"/>
    </row>
    <row r="53" spans="1:1" ht="15.75" customHeight="1">
      <c r="A53" s="7"/>
    </row>
    <row r="54" spans="1:1" ht="15.75" customHeight="1">
      <c r="A54" s="7"/>
    </row>
    <row r="55" spans="1:1" ht="15.75" customHeight="1">
      <c r="A55" s="7"/>
    </row>
    <row r="56" spans="1:1" ht="15.75" customHeight="1">
      <c r="A56" s="7"/>
    </row>
    <row r="57" spans="1:1" ht="15.75" customHeight="1">
      <c r="A57" s="7"/>
    </row>
    <row r="58" spans="1:1" ht="12.75">
      <c r="A58" s="7"/>
    </row>
    <row r="59" spans="1:1" ht="12.75">
      <c r="A59" s="7"/>
    </row>
    <row r="60" spans="1:1" ht="12.75">
      <c r="A60" s="7"/>
    </row>
    <row r="61" spans="1:1" ht="12.75">
      <c r="A61" s="7"/>
    </row>
    <row r="62" spans="1:1" ht="12.75">
      <c r="A62" s="7"/>
    </row>
    <row r="63" spans="1:1" ht="12.75">
      <c r="A63" s="7"/>
    </row>
    <row r="64" spans="1:1" ht="12.75">
      <c r="A64" s="7"/>
    </row>
    <row r="65" spans="1:1" ht="12.75">
      <c r="A65" s="7"/>
    </row>
    <row r="66" spans="1:1" ht="12.75">
      <c r="A66" s="7"/>
    </row>
    <row r="67" spans="1:1" ht="12.75">
      <c r="A67" s="7"/>
    </row>
    <row r="68" spans="1:1" ht="12.75">
      <c r="A68" s="7"/>
    </row>
    <row r="69" spans="1:1" ht="12.75">
      <c r="A69" s="7"/>
    </row>
    <row r="70" spans="1:1" ht="12.75">
      <c r="A70" s="7"/>
    </row>
    <row r="71" spans="1:1" ht="12.75">
      <c r="A71" s="7"/>
    </row>
    <row r="72" spans="1:1" ht="12.75">
      <c r="A72" s="7"/>
    </row>
    <row r="73" spans="1:1" ht="12.75">
      <c r="A73" s="7"/>
    </row>
    <row r="74" spans="1:1" ht="12.75">
      <c r="A74" s="7"/>
    </row>
    <row r="75" spans="1:1" ht="12.75">
      <c r="A75" s="7"/>
    </row>
    <row r="76" spans="1:1" ht="12.75">
      <c r="A76" s="7"/>
    </row>
    <row r="77" spans="1:1" ht="12.75">
      <c r="A77" s="7"/>
    </row>
    <row r="78" spans="1:1" ht="12.75">
      <c r="A78" s="7"/>
    </row>
    <row r="79" spans="1:1" ht="12.75">
      <c r="A79" s="7"/>
    </row>
    <row r="80" spans="1:1" ht="12.75">
      <c r="A80" s="7"/>
    </row>
    <row r="81" spans="1:1" ht="12.75">
      <c r="A81" s="7"/>
    </row>
    <row r="82" spans="1:1" ht="12.75">
      <c r="A82" s="7"/>
    </row>
    <row r="83" spans="1:1" ht="12.75">
      <c r="A83" s="7"/>
    </row>
    <row r="84" spans="1:1" ht="12.75">
      <c r="A84" s="7"/>
    </row>
    <row r="85" spans="1:1" ht="12.75">
      <c r="A85" s="7"/>
    </row>
    <row r="86" spans="1:1" ht="12.75">
      <c r="A86" s="7"/>
    </row>
    <row r="87" spans="1:1" ht="12.75">
      <c r="A87" s="7"/>
    </row>
    <row r="88" spans="1:1" ht="12.75">
      <c r="A88" s="7"/>
    </row>
    <row r="89" spans="1:1" ht="12.75">
      <c r="A89" s="7"/>
    </row>
    <row r="90" spans="1:1" ht="12.75">
      <c r="A90" s="7"/>
    </row>
    <row r="91" spans="1:1" ht="12.75">
      <c r="A91" s="7"/>
    </row>
    <row r="92" spans="1:1" ht="12.75">
      <c r="A92" s="7"/>
    </row>
    <row r="93" spans="1:1" ht="12.75">
      <c r="A93" s="7"/>
    </row>
    <row r="94" spans="1:1" ht="12.75">
      <c r="A94" s="7"/>
    </row>
    <row r="95" spans="1:1" ht="12.75">
      <c r="A95" s="7"/>
    </row>
    <row r="96" spans="1:1" ht="12.75">
      <c r="A96" s="7"/>
    </row>
    <row r="97" spans="1:1" ht="12.75">
      <c r="A97" s="7"/>
    </row>
    <row r="98" spans="1:1" ht="12.75">
      <c r="A98" s="7"/>
    </row>
    <row r="99" spans="1:1" ht="12.75">
      <c r="A99" s="7"/>
    </row>
    <row r="100" spans="1:1" ht="12.75">
      <c r="A100" s="7"/>
    </row>
    <row r="101" spans="1:1" ht="12.75">
      <c r="A101" s="7"/>
    </row>
    <row r="102" spans="1:1" ht="12.75">
      <c r="A102" s="7"/>
    </row>
    <row r="103" spans="1:1" ht="12.75">
      <c r="A103" s="7"/>
    </row>
    <row r="104" spans="1:1" ht="12.75">
      <c r="A104" s="7"/>
    </row>
    <row r="105" spans="1:1" ht="12.75">
      <c r="A105" s="7"/>
    </row>
    <row r="106" spans="1:1" ht="12.75">
      <c r="A106" s="7"/>
    </row>
    <row r="107" spans="1:1" ht="12.75">
      <c r="A107" s="7"/>
    </row>
    <row r="108" spans="1:1" ht="12.75">
      <c r="A108" s="7"/>
    </row>
    <row r="109" spans="1:1" ht="12.75">
      <c r="A109" s="7"/>
    </row>
    <row r="110" spans="1:1" ht="12.75">
      <c r="A110" s="7"/>
    </row>
    <row r="111" spans="1:1" ht="12.75">
      <c r="A111" s="7"/>
    </row>
    <row r="112" spans="1:1" ht="12.75">
      <c r="A112" s="7"/>
    </row>
    <row r="113" spans="1:1" ht="12.75">
      <c r="A113" s="7"/>
    </row>
    <row r="114" spans="1:1" ht="12.75">
      <c r="A114" s="7"/>
    </row>
    <row r="115" spans="1:1" ht="12.75">
      <c r="A115" s="7"/>
    </row>
    <row r="116" spans="1:1" ht="12.75">
      <c r="A116" s="7"/>
    </row>
    <row r="117" spans="1:1" ht="12.75">
      <c r="A117" s="7"/>
    </row>
    <row r="118" spans="1:1" ht="12.75">
      <c r="A118" s="7"/>
    </row>
    <row r="119" spans="1:1" ht="12.75">
      <c r="A119" s="7"/>
    </row>
    <row r="120" spans="1:1" ht="12.75">
      <c r="A120" s="7"/>
    </row>
    <row r="121" spans="1:1" ht="12.75">
      <c r="A121" s="7"/>
    </row>
    <row r="122" spans="1:1" ht="12.75">
      <c r="A122" s="7"/>
    </row>
    <row r="123" spans="1:1" ht="12.75">
      <c r="A123" s="7"/>
    </row>
    <row r="124" spans="1:1" ht="12.75">
      <c r="A124" s="7"/>
    </row>
    <row r="125" spans="1:1" ht="12.75">
      <c r="A125" s="7"/>
    </row>
    <row r="126" spans="1:1" ht="12.75">
      <c r="A126" s="7"/>
    </row>
    <row r="127" spans="1:1" ht="12.75">
      <c r="A127" s="7"/>
    </row>
    <row r="128" spans="1:1" ht="12.75">
      <c r="A128" s="7"/>
    </row>
    <row r="129" spans="1:1" ht="12.75">
      <c r="A129" s="7"/>
    </row>
    <row r="130" spans="1:1" ht="12.75">
      <c r="A130" s="7"/>
    </row>
    <row r="131" spans="1:1" ht="12.75">
      <c r="A131" s="7"/>
    </row>
    <row r="132" spans="1:1" ht="12.75">
      <c r="A132" s="7"/>
    </row>
    <row r="133" spans="1:1" ht="12.75">
      <c r="A133" s="7"/>
    </row>
    <row r="134" spans="1:1" ht="12.75">
      <c r="A134" s="7"/>
    </row>
    <row r="135" spans="1:1" ht="12.75">
      <c r="A135" s="7"/>
    </row>
    <row r="136" spans="1:1" ht="12.75">
      <c r="A136" s="7"/>
    </row>
    <row r="137" spans="1:1" ht="12.75">
      <c r="A137" s="7"/>
    </row>
    <row r="138" spans="1:1" ht="12.75">
      <c r="A138" s="7"/>
    </row>
    <row r="139" spans="1:1" ht="12.75">
      <c r="A139" s="7"/>
    </row>
    <row r="140" spans="1:1" ht="12.75">
      <c r="A140" s="7"/>
    </row>
    <row r="141" spans="1:1" ht="12.75">
      <c r="A141" s="7"/>
    </row>
    <row r="142" spans="1:1" ht="12.75">
      <c r="A142" s="7"/>
    </row>
    <row r="143" spans="1:1" ht="12.75">
      <c r="A143" s="7"/>
    </row>
    <row r="144" spans="1:1" ht="12.75">
      <c r="A144" s="7"/>
    </row>
    <row r="145" spans="1:1" ht="12.75">
      <c r="A145" s="7"/>
    </row>
    <row r="146" spans="1:1" ht="12.75">
      <c r="A146" s="7"/>
    </row>
    <row r="147" spans="1:1" ht="12.75">
      <c r="A147" s="7"/>
    </row>
    <row r="148" spans="1:1" ht="12.75">
      <c r="A148" s="7"/>
    </row>
    <row r="149" spans="1:1" ht="12.75">
      <c r="A149" s="7"/>
    </row>
    <row r="150" spans="1:1" ht="12.75">
      <c r="A150" s="7"/>
    </row>
    <row r="151" spans="1:1" ht="12.75">
      <c r="A151" s="7"/>
    </row>
    <row r="152" spans="1:1" ht="12.75">
      <c r="A152" s="7"/>
    </row>
    <row r="153" spans="1:1" ht="12.75">
      <c r="A153" s="7"/>
    </row>
    <row r="154" spans="1:1" ht="12.75">
      <c r="A154" s="7"/>
    </row>
    <row r="155" spans="1:1" ht="12.75">
      <c r="A155" s="7"/>
    </row>
    <row r="156" spans="1:1" ht="12.75">
      <c r="A156" s="7"/>
    </row>
    <row r="157" spans="1:1" ht="12.75">
      <c r="A157" s="7"/>
    </row>
    <row r="158" spans="1:1" ht="12.75">
      <c r="A158" s="7"/>
    </row>
    <row r="159" spans="1:1" ht="12.75">
      <c r="A159" s="7"/>
    </row>
    <row r="160" spans="1:1" ht="12.75">
      <c r="A160" s="7"/>
    </row>
    <row r="161" spans="1:1" ht="12.75">
      <c r="A161" s="7"/>
    </row>
    <row r="162" spans="1:1" ht="12.75">
      <c r="A162" s="7"/>
    </row>
    <row r="163" spans="1:1" ht="12.75">
      <c r="A163" s="7"/>
    </row>
    <row r="164" spans="1:1" ht="12.75">
      <c r="A164" s="7"/>
    </row>
    <row r="165" spans="1:1" ht="12.75">
      <c r="A165" s="7"/>
    </row>
    <row r="166" spans="1:1" ht="12.75">
      <c r="A166" s="7"/>
    </row>
    <row r="167" spans="1:1" ht="12.75">
      <c r="A167" s="7"/>
    </row>
    <row r="168" spans="1:1" ht="12.75">
      <c r="A168" s="7"/>
    </row>
    <row r="169" spans="1:1" ht="12.75">
      <c r="A169" s="7"/>
    </row>
    <row r="170" spans="1:1" ht="12.75">
      <c r="A170" s="7"/>
    </row>
    <row r="171" spans="1:1" ht="12.75">
      <c r="A171" s="7"/>
    </row>
    <row r="172" spans="1:1" ht="12.75">
      <c r="A172" s="7"/>
    </row>
    <row r="173" spans="1:1" ht="12.75">
      <c r="A173" s="7"/>
    </row>
    <row r="174" spans="1:1" ht="12.75">
      <c r="A174" s="7"/>
    </row>
    <row r="175" spans="1:1" ht="12.75">
      <c r="A175" s="7"/>
    </row>
    <row r="176" spans="1:1" ht="12.75">
      <c r="A176" s="7"/>
    </row>
    <row r="177" spans="1:1" ht="12.75">
      <c r="A177" s="7"/>
    </row>
    <row r="178" spans="1:1" ht="12.75">
      <c r="A178" s="7"/>
    </row>
    <row r="179" spans="1:1" ht="12.75">
      <c r="A179" s="7"/>
    </row>
    <row r="180" spans="1:1" ht="12.75">
      <c r="A180" s="7"/>
    </row>
    <row r="181" spans="1:1" ht="12.75">
      <c r="A181" s="7"/>
    </row>
    <row r="182" spans="1:1" ht="12.75">
      <c r="A182" s="7"/>
    </row>
    <row r="183" spans="1:1" ht="12.75">
      <c r="A183" s="7"/>
    </row>
    <row r="184" spans="1:1" ht="12.75">
      <c r="A184" s="7"/>
    </row>
    <row r="185" spans="1:1" ht="12.75">
      <c r="A185" s="7"/>
    </row>
    <row r="186" spans="1:1" ht="12.75">
      <c r="A186" s="7"/>
    </row>
    <row r="187" spans="1:1" ht="12.75">
      <c r="A187" s="7"/>
    </row>
    <row r="188" spans="1:1" ht="12.75">
      <c r="A188" s="7"/>
    </row>
    <row r="189" spans="1:1" ht="12.75">
      <c r="A189" s="7"/>
    </row>
    <row r="190" spans="1:1" ht="12.75">
      <c r="A190" s="7"/>
    </row>
    <row r="191" spans="1:1" ht="12.75">
      <c r="A191" s="7"/>
    </row>
    <row r="192" spans="1:1" ht="12.75">
      <c r="A192" s="7"/>
    </row>
    <row r="193" spans="1:1" ht="12.75">
      <c r="A193" s="7"/>
    </row>
    <row r="194" spans="1:1" ht="12.75">
      <c r="A194" s="7"/>
    </row>
    <row r="195" spans="1:1" ht="12.75">
      <c r="A195" s="7"/>
    </row>
    <row r="196" spans="1:1" ht="12.75">
      <c r="A196" s="7"/>
    </row>
    <row r="197" spans="1:1" ht="12.75">
      <c r="A197" s="7"/>
    </row>
    <row r="198" spans="1:1" ht="12.75">
      <c r="A198" s="7"/>
    </row>
    <row r="199" spans="1:1" ht="12.75">
      <c r="A199" s="7"/>
    </row>
    <row r="200" spans="1:1" ht="12.75">
      <c r="A200" s="7"/>
    </row>
    <row r="201" spans="1:1" ht="12.75">
      <c r="A201" s="7"/>
    </row>
    <row r="202" spans="1:1" ht="12.75">
      <c r="A202" s="7"/>
    </row>
    <row r="203" spans="1:1" ht="12.75">
      <c r="A203" s="7"/>
    </row>
    <row r="204" spans="1:1" ht="12.75">
      <c r="A204" s="7"/>
    </row>
    <row r="205" spans="1:1" ht="12.75">
      <c r="A205" s="7"/>
    </row>
    <row r="206" spans="1:1" ht="12.75">
      <c r="A206" s="7"/>
    </row>
    <row r="207" spans="1:1" ht="12.75">
      <c r="A207" s="7"/>
    </row>
    <row r="208" spans="1:1" ht="12.75">
      <c r="A208" s="7"/>
    </row>
    <row r="209" spans="1:1" ht="12.75">
      <c r="A209" s="7"/>
    </row>
    <row r="210" spans="1:1" ht="12.75">
      <c r="A210" s="7"/>
    </row>
    <row r="211" spans="1:1" ht="12.75">
      <c r="A211" s="7"/>
    </row>
    <row r="212" spans="1:1" ht="12.75">
      <c r="A212" s="7"/>
    </row>
    <row r="213" spans="1:1" ht="12.75">
      <c r="A213" s="7"/>
    </row>
    <row r="214" spans="1:1" ht="12.75">
      <c r="A214" s="7"/>
    </row>
    <row r="215" spans="1:1" ht="12.75">
      <c r="A215" s="7"/>
    </row>
    <row r="216" spans="1:1" ht="12.75">
      <c r="A216" s="7"/>
    </row>
    <row r="217" spans="1:1" ht="12.75">
      <c r="A217" s="7"/>
    </row>
    <row r="218" spans="1:1" ht="12.75">
      <c r="A218" s="7"/>
    </row>
    <row r="219" spans="1:1" ht="12.75">
      <c r="A219" s="7"/>
    </row>
    <row r="220" spans="1:1" ht="12.75">
      <c r="A220" s="7"/>
    </row>
    <row r="221" spans="1:1" ht="12.75">
      <c r="A221" s="7"/>
    </row>
    <row r="222" spans="1:1" ht="12.75">
      <c r="A222" s="7"/>
    </row>
    <row r="223" spans="1:1" ht="12.75">
      <c r="A223" s="7"/>
    </row>
    <row r="224" spans="1:1" ht="12.75">
      <c r="A224" s="7"/>
    </row>
    <row r="225" spans="1:1" ht="12.75">
      <c r="A225" s="7"/>
    </row>
    <row r="226" spans="1:1" ht="12.75">
      <c r="A226" s="7"/>
    </row>
    <row r="227" spans="1:1" ht="12.75">
      <c r="A227" s="7"/>
    </row>
    <row r="228" spans="1:1" ht="12.75">
      <c r="A228" s="7"/>
    </row>
    <row r="229" spans="1:1" ht="12.75">
      <c r="A229" s="7"/>
    </row>
    <row r="230" spans="1:1" ht="12.75">
      <c r="A230" s="7"/>
    </row>
    <row r="231" spans="1:1" ht="12.75">
      <c r="A231" s="7"/>
    </row>
    <row r="232" spans="1:1" ht="12.75">
      <c r="A232" s="7"/>
    </row>
    <row r="233" spans="1:1" ht="12.75">
      <c r="A233" s="7"/>
    </row>
    <row r="234" spans="1:1" ht="12.75">
      <c r="A234" s="7"/>
    </row>
    <row r="235" spans="1:1" ht="12.75">
      <c r="A235" s="7"/>
    </row>
    <row r="236" spans="1:1" ht="12.75">
      <c r="A236" s="7"/>
    </row>
    <row r="237" spans="1:1" ht="12.75">
      <c r="A237" s="7"/>
    </row>
    <row r="238" spans="1:1" ht="12.75">
      <c r="A238" s="7"/>
    </row>
    <row r="239" spans="1:1" ht="12.75">
      <c r="A239" s="7"/>
    </row>
    <row r="240" spans="1:1" ht="12.75">
      <c r="A240" s="7"/>
    </row>
    <row r="241" spans="1:1" ht="12.75">
      <c r="A241" s="7"/>
    </row>
    <row r="242" spans="1:1" ht="12.75">
      <c r="A242" s="7"/>
    </row>
    <row r="243" spans="1:1" ht="12.75">
      <c r="A243" s="7"/>
    </row>
    <row r="244" spans="1:1" ht="12.75">
      <c r="A244" s="7"/>
    </row>
    <row r="245" spans="1:1" ht="12.75">
      <c r="A245" s="7"/>
    </row>
    <row r="246" spans="1:1" ht="12.75">
      <c r="A246" s="7"/>
    </row>
    <row r="247" spans="1:1" ht="12.75">
      <c r="A247" s="7"/>
    </row>
    <row r="248" spans="1:1" ht="12.75">
      <c r="A248" s="7"/>
    </row>
    <row r="249" spans="1:1" ht="12.75">
      <c r="A249" s="7"/>
    </row>
    <row r="250" spans="1:1" ht="12.75">
      <c r="A250" s="7"/>
    </row>
    <row r="251" spans="1:1" ht="12.75">
      <c r="A251" s="7"/>
    </row>
    <row r="252" spans="1:1" ht="12.75">
      <c r="A252" s="7"/>
    </row>
    <row r="253" spans="1:1" ht="12.75">
      <c r="A253" s="7"/>
    </row>
    <row r="254" spans="1:1" ht="12.75">
      <c r="A254" s="7"/>
    </row>
    <row r="255" spans="1:1" ht="12.75">
      <c r="A255" s="7"/>
    </row>
    <row r="256" spans="1:1" ht="12.75">
      <c r="A256" s="7"/>
    </row>
    <row r="257" spans="1:1" ht="12.75">
      <c r="A257" s="7"/>
    </row>
    <row r="258" spans="1:1" ht="12.75">
      <c r="A258" s="7"/>
    </row>
    <row r="259" spans="1:1" ht="12.75">
      <c r="A259" s="7"/>
    </row>
    <row r="260" spans="1:1" ht="12.75">
      <c r="A260" s="7"/>
    </row>
    <row r="261" spans="1:1" ht="12.75">
      <c r="A261" s="7"/>
    </row>
    <row r="262" spans="1:1" ht="12.75">
      <c r="A262" s="7"/>
    </row>
    <row r="263" spans="1:1" ht="12.75">
      <c r="A263" s="7"/>
    </row>
    <row r="264" spans="1:1" ht="12.75">
      <c r="A264" s="7"/>
    </row>
    <row r="265" spans="1:1" ht="12.75">
      <c r="A265" s="7"/>
    </row>
    <row r="266" spans="1:1" ht="12.75">
      <c r="A266" s="7"/>
    </row>
    <row r="267" spans="1:1" ht="12.75">
      <c r="A267" s="7"/>
    </row>
    <row r="268" spans="1:1" ht="12.75">
      <c r="A268" s="7"/>
    </row>
    <row r="269" spans="1:1" ht="12.75">
      <c r="A269" s="7"/>
    </row>
    <row r="270" spans="1:1" ht="12.75">
      <c r="A270" s="7"/>
    </row>
    <row r="271" spans="1:1" ht="12.75">
      <c r="A271" s="7"/>
    </row>
    <row r="272" spans="1:1" ht="12.75">
      <c r="A272" s="7"/>
    </row>
    <row r="273" spans="1:1" ht="12.75">
      <c r="A273" s="7"/>
    </row>
    <row r="274" spans="1:1" ht="12.75">
      <c r="A274" s="7"/>
    </row>
    <row r="275" spans="1:1" ht="12.75">
      <c r="A275" s="7"/>
    </row>
    <row r="276" spans="1:1" ht="12.75">
      <c r="A276" s="7"/>
    </row>
    <row r="277" spans="1:1" ht="12.75">
      <c r="A277" s="7"/>
    </row>
    <row r="278" spans="1:1" ht="12.75">
      <c r="A278" s="7"/>
    </row>
    <row r="279" spans="1:1" ht="12.75">
      <c r="A279" s="7"/>
    </row>
    <row r="280" spans="1:1" ht="12.75">
      <c r="A280" s="7"/>
    </row>
    <row r="281" spans="1:1" ht="12.75">
      <c r="A281" s="7"/>
    </row>
    <row r="282" spans="1:1" ht="12.75">
      <c r="A282" s="7"/>
    </row>
    <row r="283" spans="1:1" ht="12.75">
      <c r="A283" s="7"/>
    </row>
    <row r="284" spans="1:1" ht="12.75">
      <c r="A284" s="7"/>
    </row>
    <row r="285" spans="1:1" ht="12.75">
      <c r="A285" s="7"/>
    </row>
    <row r="286" spans="1:1" ht="12.75">
      <c r="A286" s="7"/>
    </row>
    <row r="287" spans="1:1" ht="12.75">
      <c r="A287" s="7"/>
    </row>
    <row r="288" spans="1:1" ht="12.75">
      <c r="A288" s="7"/>
    </row>
    <row r="289" spans="1:1" ht="12.75">
      <c r="A289" s="7"/>
    </row>
    <row r="290" spans="1:1" ht="12.75">
      <c r="A290" s="7"/>
    </row>
    <row r="291" spans="1:1" ht="12.75">
      <c r="A291" s="7"/>
    </row>
    <row r="292" spans="1:1" ht="12.75">
      <c r="A292" s="7"/>
    </row>
    <row r="293" spans="1:1" ht="12.75">
      <c r="A293" s="7"/>
    </row>
    <row r="294" spans="1:1" ht="12.75">
      <c r="A294" s="7"/>
    </row>
    <row r="295" spans="1:1" ht="12.75">
      <c r="A295" s="7"/>
    </row>
    <row r="296" spans="1:1" ht="12.75">
      <c r="A296" s="7"/>
    </row>
    <row r="297" spans="1:1" ht="12.75">
      <c r="A297" s="7"/>
    </row>
    <row r="298" spans="1:1" ht="12.75">
      <c r="A298" s="7"/>
    </row>
    <row r="299" spans="1:1" ht="12.75">
      <c r="A299" s="7"/>
    </row>
    <row r="300" spans="1:1" ht="12.75">
      <c r="A300" s="7"/>
    </row>
    <row r="301" spans="1:1" ht="12.75">
      <c r="A301" s="7"/>
    </row>
    <row r="302" spans="1:1" ht="12.75">
      <c r="A302" s="7"/>
    </row>
    <row r="303" spans="1:1" ht="12.75">
      <c r="A303" s="7"/>
    </row>
    <row r="304" spans="1:1" ht="12.75">
      <c r="A304" s="7"/>
    </row>
    <row r="305" spans="1:1" ht="12.75">
      <c r="A305" s="7"/>
    </row>
    <row r="306" spans="1:1" ht="12.75">
      <c r="A306" s="7"/>
    </row>
    <row r="307" spans="1:1" ht="12.75">
      <c r="A307" s="7"/>
    </row>
    <row r="308" spans="1:1" ht="12.75">
      <c r="A308" s="7"/>
    </row>
    <row r="309" spans="1:1" ht="12.75">
      <c r="A309" s="7"/>
    </row>
    <row r="310" spans="1:1" ht="12.75">
      <c r="A310" s="7"/>
    </row>
    <row r="311" spans="1:1" ht="12.75">
      <c r="A311" s="7"/>
    </row>
    <row r="312" spans="1:1" ht="12.75">
      <c r="A312" s="7"/>
    </row>
    <row r="313" spans="1:1" ht="12.75">
      <c r="A313" s="7"/>
    </row>
    <row r="314" spans="1:1" ht="12.75">
      <c r="A314" s="7"/>
    </row>
    <row r="315" spans="1:1" ht="12.75">
      <c r="A315" s="7"/>
    </row>
    <row r="316" spans="1:1" ht="12.75">
      <c r="A316" s="7"/>
    </row>
    <row r="317" spans="1:1" ht="12.75">
      <c r="A317" s="7"/>
    </row>
    <row r="318" spans="1:1" ht="12.75">
      <c r="A318" s="7"/>
    </row>
    <row r="319" spans="1:1" ht="12.75">
      <c r="A319" s="7"/>
    </row>
    <row r="320" spans="1:1" ht="12.75">
      <c r="A320" s="7"/>
    </row>
    <row r="321" spans="1:1" ht="12.75">
      <c r="A321" s="7"/>
    </row>
    <row r="322" spans="1:1" ht="12.75">
      <c r="A322" s="7"/>
    </row>
    <row r="323" spans="1:1" ht="12.75">
      <c r="A323" s="7"/>
    </row>
    <row r="324" spans="1:1" ht="12.75">
      <c r="A324" s="7"/>
    </row>
    <row r="325" spans="1:1" ht="12.75">
      <c r="A325" s="7"/>
    </row>
    <row r="326" spans="1:1" ht="12.75">
      <c r="A326" s="7"/>
    </row>
    <row r="327" spans="1:1" ht="12.75">
      <c r="A327" s="7"/>
    </row>
    <row r="328" spans="1:1" ht="12.75">
      <c r="A328" s="7"/>
    </row>
    <row r="329" spans="1:1" ht="12.75">
      <c r="A329" s="7"/>
    </row>
    <row r="330" spans="1:1" ht="12.75">
      <c r="A330" s="7"/>
    </row>
    <row r="331" spans="1:1" ht="12.75">
      <c r="A331" s="7"/>
    </row>
    <row r="332" spans="1:1" ht="12.75">
      <c r="A332" s="7"/>
    </row>
    <row r="333" spans="1:1" ht="12.75">
      <c r="A333" s="7"/>
    </row>
    <row r="334" spans="1:1" ht="12.75">
      <c r="A334" s="7"/>
    </row>
    <row r="335" spans="1:1" ht="12.75">
      <c r="A335" s="7"/>
    </row>
    <row r="336" spans="1:1" ht="12.75">
      <c r="A336" s="7"/>
    </row>
    <row r="337" spans="1:1" ht="12.75">
      <c r="A337" s="7"/>
    </row>
    <row r="338" spans="1:1" ht="12.75">
      <c r="A338" s="7"/>
    </row>
    <row r="339" spans="1:1" ht="12.75">
      <c r="A339" s="7"/>
    </row>
    <row r="340" spans="1:1" ht="12.75">
      <c r="A340" s="7"/>
    </row>
    <row r="341" spans="1:1" ht="12.75">
      <c r="A341" s="7"/>
    </row>
    <row r="342" spans="1:1" ht="12.75">
      <c r="A342" s="7"/>
    </row>
    <row r="343" spans="1:1" ht="12.75">
      <c r="A343" s="7"/>
    </row>
    <row r="344" spans="1:1" ht="12.75">
      <c r="A344" s="7"/>
    </row>
    <row r="345" spans="1:1" ht="12.75">
      <c r="A345" s="7"/>
    </row>
    <row r="346" spans="1:1" ht="12.75">
      <c r="A346" s="7"/>
    </row>
    <row r="347" spans="1:1" ht="12.75">
      <c r="A347" s="7"/>
    </row>
    <row r="348" spans="1:1" ht="12.75">
      <c r="A348" s="7"/>
    </row>
    <row r="349" spans="1:1" ht="12.75">
      <c r="A349" s="7"/>
    </row>
    <row r="350" spans="1:1" ht="12.75">
      <c r="A350" s="7"/>
    </row>
    <row r="351" spans="1:1" ht="12.75">
      <c r="A351" s="7"/>
    </row>
    <row r="352" spans="1:1" ht="12.75">
      <c r="A352" s="7"/>
    </row>
    <row r="353" spans="1:1" ht="12.75">
      <c r="A353" s="7"/>
    </row>
    <row r="354" spans="1:1" ht="12.75">
      <c r="A354" s="7"/>
    </row>
    <row r="355" spans="1:1" ht="12.75">
      <c r="A355" s="7"/>
    </row>
    <row r="356" spans="1:1" ht="12.75">
      <c r="A356" s="7"/>
    </row>
    <row r="357" spans="1:1" ht="12.75">
      <c r="A357" s="7"/>
    </row>
    <row r="358" spans="1:1" ht="12.75">
      <c r="A358" s="7"/>
    </row>
    <row r="359" spans="1:1" ht="12.75">
      <c r="A359" s="7"/>
    </row>
    <row r="360" spans="1:1" ht="12.75">
      <c r="A360" s="7"/>
    </row>
    <row r="361" spans="1:1" ht="12.75">
      <c r="A361" s="7"/>
    </row>
    <row r="362" spans="1:1" ht="12.75">
      <c r="A362" s="7"/>
    </row>
    <row r="363" spans="1:1" ht="12.75">
      <c r="A363" s="7"/>
    </row>
    <row r="364" spans="1:1" ht="12.75">
      <c r="A364" s="7"/>
    </row>
    <row r="365" spans="1:1" ht="12.75">
      <c r="A365" s="7"/>
    </row>
    <row r="366" spans="1:1" ht="12.75">
      <c r="A366" s="7"/>
    </row>
    <row r="367" spans="1:1" ht="12.75">
      <c r="A367" s="7"/>
    </row>
    <row r="368" spans="1:1" ht="12.75">
      <c r="A368" s="7"/>
    </row>
    <row r="369" spans="1:1" ht="12.75">
      <c r="A369" s="7"/>
    </row>
    <row r="370" spans="1:1" ht="12.75">
      <c r="A370" s="7"/>
    </row>
    <row r="371" spans="1:1" ht="12.75">
      <c r="A371" s="7"/>
    </row>
    <row r="372" spans="1:1" ht="12.75">
      <c r="A372" s="7"/>
    </row>
    <row r="373" spans="1:1" ht="12.75">
      <c r="A373" s="7"/>
    </row>
    <row r="374" spans="1:1" ht="12.75">
      <c r="A374" s="7"/>
    </row>
    <row r="375" spans="1:1" ht="12.75">
      <c r="A375" s="7"/>
    </row>
    <row r="376" spans="1:1" ht="12.75">
      <c r="A376" s="7"/>
    </row>
    <row r="377" spans="1:1" ht="12.75">
      <c r="A377" s="7"/>
    </row>
    <row r="378" spans="1:1" ht="12.75">
      <c r="A378" s="7"/>
    </row>
    <row r="379" spans="1:1" ht="12.75">
      <c r="A379" s="7"/>
    </row>
    <row r="380" spans="1:1" ht="12.75">
      <c r="A380" s="7"/>
    </row>
    <row r="381" spans="1:1" ht="12.75">
      <c r="A381" s="7"/>
    </row>
    <row r="382" spans="1:1" ht="12.75">
      <c r="A382" s="7"/>
    </row>
    <row r="383" spans="1:1" ht="12.75">
      <c r="A383" s="7"/>
    </row>
    <row r="384" spans="1:1" ht="12.75">
      <c r="A384" s="7"/>
    </row>
    <row r="385" spans="1:1" ht="12.75">
      <c r="A385" s="7"/>
    </row>
    <row r="386" spans="1:1" ht="12.75">
      <c r="A386" s="7"/>
    </row>
    <row r="387" spans="1:1" ht="12.75">
      <c r="A387" s="7"/>
    </row>
    <row r="388" spans="1:1" ht="12.75">
      <c r="A388" s="7"/>
    </row>
    <row r="389" spans="1:1" ht="12.75">
      <c r="A389" s="7"/>
    </row>
    <row r="390" spans="1:1" ht="12.75">
      <c r="A390" s="7"/>
    </row>
    <row r="391" spans="1:1" ht="12.75">
      <c r="A391" s="7"/>
    </row>
    <row r="392" spans="1:1" ht="12.75">
      <c r="A392" s="7"/>
    </row>
    <row r="393" spans="1:1" ht="12.75">
      <c r="A393" s="7"/>
    </row>
    <row r="394" spans="1:1" ht="12.75">
      <c r="A394" s="7"/>
    </row>
    <row r="395" spans="1:1" ht="12.75">
      <c r="A395" s="7"/>
    </row>
    <row r="396" spans="1:1" ht="12.75">
      <c r="A396" s="7"/>
    </row>
    <row r="397" spans="1:1" ht="12.75">
      <c r="A397" s="7"/>
    </row>
    <row r="398" spans="1:1" ht="12.75">
      <c r="A398" s="7"/>
    </row>
    <row r="399" spans="1:1" ht="12.75">
      <c r="A399" s="7"/>
    </row>
    <row r="400" spans="1:1" ht="12.75">
      <c r="A400" s="7"/>
    </row>
    <row r="401" spans="1:1" ht="12.75">
      <c r="A401" s="7"/>
    </row>
    <row r="402" spans="1:1" ht="12.75">
      <c r="A402" s="7"/>
    </row>
    <row r="403" spans="1:1" ht="12.75">
      <c r="A403" s="7"/>
    </row>
    <row r="404" spans="1:1" ht="12.75">
      <c r="A404" s="7"/>
    </row>
    <row r="405" spans="1:1" ht="12.75">
      <c r="A405" s="7"/>
    </row>
    <row r="406" spans="1:1" ht="12.75">
      <c r="A406" s="7"/>
    </row>
    <row r="407" spans="1:1" ht="12.75">
      <c r="A407" s="7"/>
    </row>
    <row r="408" spans="1:1" ht="12.75">
      <c r="A408" s="7"/>
    </row>
    <row r="409" spans="1:1" ht="12.75">
      <c r="A409" s="7"/>
    </row>
    <row r="410" spans="1:1" ht="12.75">
      <c r="A410" s="7"/>
    </row>
    <row r="411" spans="1:1" ht="12.75">
      <c r="A411" s="7"/>
    </row>
    <row r="412" spans="1:1" ht="12.75">
      <c r="A412" s="7"/>
    </row>
    <row r="413" spans="1:1" ht="12.75">
      <c r="A413" s="7"/>
    </row>
    <row r="414" spans="1:1" ht="12.75">
      <c r="A414" s="7"/>
    </row>
    <row r="415" spans="1:1" ht="12.75">
      <c r="A415" s="7"/>
    </row>
    <row r="416" spans="1:1" ht="12.75">
      <c r="A416" s="7"/>
    </row>
    <row r="417" spans="1:1" ht="12.75">
      <c r="A417" s="7"/>
    </row>
    <row r="418" spans="1:1" ht="12.75">
      <c r="A418" s="7"/>
    </row>
    <row r="419" spans="1:1" ht="12.75">
      <c r="A419" s="7"/>
    </row>
    <row r="420" spans="1:1" ht="12.75">
      <c r="A420" s="7"/>
    </row>
    <row r="421" spans="1:1" ht="12.75">
      <c r="A421" s="7"/>
    </row>
    <row r="422" spans="1:1" ht="12.75">
      <c r="A422" s="7"/>
    </row>
    <row r="423" spans="1:1" ht="12.75">
      <c r="A423" s="7"/>
    </row>
    <row r="424" spans="1:1" ht="12.75">
      <c r="A424" s="7"/>
    </row>
    <row r="425" spans="1:1" ht="12.75">
      <c r="A425" s="7"/>
    </row>
    <row r="426" spans="1:1" ht="12.75">
      <c r="A426" s="7"/>
    </row>
    <row r="427" spans="1:1" ht="12.75">
      <c r="A427" s="7"/>
    </row>
    <row r="428" spans="1:1" ht="12.75">
      <c r="A428" s="7"/>
    </row>
    <row r="429" spans="1:1" ht="12.75">
      <c r="A429" s="7"/>
    </row>
    <row r="430" spans="1:1" ht="12.75">
      <c r="A430" s="7"/>
    </row>
    <row r="431" spans="1:1" ht="12.75">
      <c r="A431" s="7"/>
    </row>
    <row r="432" spans="1:1" ht="12.75">
      <c r="A432" s="7"/>
    </row>
    <row r="433" spans="1:1" ht="12.75">
      <c r="A433" s="7"/>
    </row>
    <row r="434" spans="1:1" ht="12.75">
      <c r="A434" s="7"/>
    </row>
    <row r="435" spans="1:1" ht="12.75">
      <c r="A435" s="7"/>
    </row>
    <row r="436" spans="1:1" ht="12.75">
      <c r="A436" s="7"/>
    </row>
    <row r="437" spans="1:1" ht="12.75">
      <c r="A437" s="7"/>
    </row>
    <row r="438" spans="1:1" ht="12.75">
      <c r="A438" s="7"/>
    </row>
    <row r="439" spans="1:1" ht="12.75">
      <c r="A439" s="7"/>
    </row>
    <row r="440" spans="1:1" ht="12.75">
      <c r="A440" s="7"/>
    </row>
    <row r="441" spans="1:1" ht="12.75">
      <c r="A441" s="7"/>
    </row>
    <row r="442" spans="1:1" ht="12.75">
      <c r="A442" s="7"/>
    </row>
    <row r="443" spans="1:1" ht="12.75">
      <c r="A443" s="7"/>
    </row>
    <row r="444" spans="1:1" ht="12.75">
      <c r="A444" s="7"/>
    </row>
    <row r="445" spans="1:1" ht="12.75">
      <c r="A445" s="7"/>
    </row>
    <row r="446" spans="1:1" ht="12.75">
      <c r="A446" s="7"/>
    </row>
    <row r="447" spans="1:1" ht="12.75">
      <c r="A447" s="7"/>
    </row>
    <row r="448" spans="1:1" ht="12.75">
      <c r="A448" s="7"/>
    </row>
    <row r="449" spans="1:1" ht="12.75">
      <c r="A449" s="7"/>
    </row>
    <row r="450" spans="1:1" ht="12.75">
      <c r="A450" s="7"/>
    </row>
    <row r="451" spans="1:1" ht="12.75">
      <c r="A451" s="7"/>
    </row>
    <row r="452" spans="1:1" ht="12.75">
      <c r="A452" s="7"/>
    </row>
    <row r="453" spans="1:1" ht="12.75">
      <c r="A453" s="7"/>
    </row>
    <row r="454" spans="1:1" ht="12.75">
      <c r="A454" s="7"/>
    </row>
    <row r="455" spans="1:1" ht="12.75">
      <c r="A455" s="7"/>
    </row>
    <row r="456" spans="1:1" ht="12.75">
      <c r="A456" s="7"/>
    </row>
    <row r="457" spans="1:1" ht="12.75">
      <c r="A457" s="7"/>
    </row>
    <row r="458" spans="1:1" ht="12.75">
      <c r="A458" s="7"/>
    </row>
    <row r="459" spans="1:1" ht="12.75">
      <c r="A459" s="7"/>
    </row>
    <row r="460" spans="1:1" ht="12.75">
      <c r="A460" s="7"/>
    </row>
    <row r="461" spans="1:1" ht="12.75">
      <c r="A461" s="7"/>
    </row>
    <row r="462" spans="1:1" ht="12.75">
      <c r="A462" s="7"/>
    </row>
    <row r="463" spans="1:1" ht="12.75">
      <c r="A463" s="7"/>
    </row>
    <row r="464" spans="1:1" ht="12.75">
      <c r="A464" s="7"/>
    </row>
    <row r="465" spans="1:1" ht="12.75">
      <c r="A465" s="7"/>
    </row>
    <row r="466" spans="1:1" ht="12.75">
      <c r="A466" s="7"/>
    </row>
    <row r="467" spans="1:1" ht="12.75">
      <c r="A467" s="7"/>
    </row>
    <row r="468" spans="1:1" ht="12.75">
      <c r="A468" s="7"/>
    </row>
    <row r="469" spans="1:1" ht="12.75">
      <c r="A469" s="7"/>
    </row>
    <row r="470" spans="1:1" ht="12.75">
      <c r="A470" s="7"/>
    </row>
    <row r="471" spans="1:1" ht="12.75">
      <c r="A471" s="7"/>
    </row>
    <row r="472" spans="1:1" ht="12.75">
      <c r="A472" s="7"/>
    </row>
    <row r="473" spans="1:1" ht="12.75">
      <c r="A473" s="7"/>
    </row>
    <row r="474" spans="1:1" ht="12.75">
      <c r="A474" s="7"/>
    </row>
    <row r="475" spans="1:1" ht="12.75">
      <c r="A475" s="7"/>
    </row>
    <row r="476" spans="1:1" ht="12.75">
      <c r="A476" s="7"/>
    </row>
    <row r="477" spans="1:1" ht="12.75">
      <c r="A477" s="7"/>
    </row>
    <row r="478" spans="1:1" ht="12.75">
      <c r="A478" s="7"/>
    </row>
    <row r="479" spans="1:1" ht="12.75">
      <c r="A479" s="7"/>
    </row>
    <row r="480" spans="1:1" ht="12.75">
      <c r="A480" s="7"/>
    </row>
    <row r="481" spans="1:1" ht="12.75">
      <c r="A481" s="7"/>
    </row>
    <row r="482" spans="1:1" ht="12.75">
      <c r="A482" s="7"/>
    </row>
    <row r="483" spans="1:1" ht="12.75">
      <c r="A483" s="7"/>
    </row>
    <row r="484" spans="1:1" ht="12.75">
      <c r="A484" s="7"/>
    </row>
    <row r="485" spans="1:1" ht="12.75">
      <c r="A485" s="7"/>
    </row>
    <row r="486" spans="1:1" ht="12.75">
      <c r="A486" s="7"/>
    </row>
    <row r="487" spans="1:1" ht="12.75">
      <c r="A487" s="7"/>
    </row>
    <row r="488" spans="1:1" ht="12.75">
      <c r="A488" s="7"/>
    </row>
    <row r="489" spans="1:1" ht="12.75">
      <c r="A489" s="7"/>
    </row>
    <row r="490" spans="1:1" ht="12.75">
      <c r="A490" s="7"/>
    </row>
    <row r="491" spans="1:1" ht="12.75">
      <c r="A491" s="7"/>
    </row>
    <row r="492" spans="1:1" ht="12.75">
      <c r="A492" s="7"/>
    </row>
    <row r="493" spans="1:1" ht="12.75">
      <c r="A493" s="7"/>
    </row>
    <row r="494" spans="1:1" ht="12.75">
      <c r="A494" s="7"/>
    </row>
    <row r="495" spans="1:1" ht="12.75">
      <c r="A495" s="7"/>
    </row>
    <row r="496" spans="1:1" ht="12.75">
      <c r="A496" s="7"/>
    </row>
    <row r="497" spans="1:1" ht="12.75">
      <c r="A497" s="7"/>
    </row>
    <row r="498" spans="1:1" ht="12.75">
      <c r="A498" s="7"/>
    </row>
    <row r="499" spans="1:1" ht="12.75">
      <c r="A499" s="7"/>
    </row>
    <row r="500" spans="1:1" ht="12.75">
      <c r="A500" s="7"/>
    </row>
    <row r="501" spans="1:1" ht="12.75">
      <c r="A501" s="7"/>
    </row>
    <row r="502" spans="1:1" ht="12.75">
      <c r="A502" s="7"/>
    </row>
    <row r="503" spans="1:1" ht="12.75">
      <c r="A503" s="7"/>
    </row>
    <row r="504" spans="1:1" ht="12.75">
      <c r="A504" s="7"/>
    </row>
    <row r="505" spans="1:1" ht="12.75">
      <c r="A505" s="7"/>
    </row>
    <row r="506" spans="1:1" ht="12.75">
      <c r="A506" s="7"/>
    </row>
    <row r="507" spans="1:1" ht="12.75">
      <c r="A507" s="7"/>
    </row>
    <row r="508" spans="1:1" ht="12.75">
      <c r="A508" s="7"/>
    </row>
    <row r="509" spans="1:1" ht="12.75">
      <c r="A509" s="7"/>
    </row>
    <row r="510" spans="1:1" ht="12.75">
      <c r="A510" s="7"/>
    </row>
    <row r="511" spans="1:1" ht="12.75">
      <c r="A511" s="7"/>
    </row>
    <row r="512" spans="1:1" ht="12.75">
      <c r="A512" s="7"/>
    </row>
    <row r="513" spans="1:1" ht="12.75">
      <c r="A513" s="7"/>
    </row>
    <row r="514" spans="1:1" ht="12.75">
      <c r="A514" s="7"/>
    </row>
    <row r="515" spans="1:1" ht="12.75">
      <c r="A515" s="7"/>
    </row>
    <row r="516" spans="1:1" ht="12.75">
      <c r="A516" s="7"/>
    </row>
    <row r="517" spans="1:1" ht="12.75">
      <c r="A517" s="7"/>
    </row>
    <row r="518" spans="1:1" ht="12.75">
      <c r="A518" s="7"/>
    </row>
    <row r="519" spans="1:1" ht="12.75">
      <c r="A519" s="7"/>
    </row>
    <row r="520" spans="1:1" ht="12.75">
      <c r="A520" s="7"/>
    </row>
    <row r="521" spans="1:1" ht="12.75">
      <c r="A521" s="7"/>
    </row>
    <row r="522" spans="1:1" ht="12.75">
      <c r="A522" s="7"/>
    </row>
    <row r="523" spans="1:1" ht="12.75">
      <c r="A523" s="7"/>
    </row>
    <row r="524" spans="1:1" ht="12.75">
      <c r="A524" s="7"/>
    </row>
    <row r="525" spans="1:1" ht="12.75">
      <c r="A525" s="7"/>
    </row>
    <row r="526" spans="1:1" ht="12.75">
      <c r="A526" s="7"/>
    </row>
    <row r="527" spans="1:1" ht="12.75">
      <c r="A527" s="7"/>
    </row>
    <row r="528" spans="1:1" ht="12.75">
      <c r="A528" s="7"/>
    </row>
    <row r="529" spans="1:1" ht="12.75">
      <c r="A529" s="7"/>
    </row>
    <row r="530" spans="1:1" ht="12.75">
      <c r="A530" s="7"/>
    </row>
    <row r="531" spans="1:1" ht="12.75">
      <c r="A531" s="7"/>
    </row>
    <row r="532" spans="1:1" ht="12.75">
      <c r="A532" s="7"/>
    </row>
    <row r="533" spans="1:1" ht="12.75">
      <c r="A533" s="7"/>
    </row>
    <row r="534" spans="1:1" ht="12.75">
      <c r="A534" s="7"/>
    </row>
    <row r="535" spans="1:1" ht="12.75">
      <c r="A535" s="7"/>
    </row>
    <row r="536" spans="1:1" ht="12.75">
      <c r="A536" s="7"/>
    </row>
    <row r="537" spans="1:1" ht="12.75">
      <c r="A537" s="7"/>
    </row>
    <row r="538" spans="1:1" ht="12.75">
      <c r="A538" s="7"/>
    </row>
    <row r="539" spans="1:1" ht="12.75">
      <c r="A539" s="7"/>
    </row>
    <row r="540" spans="1:1" ht="12.75">
      <c r="A540" s="7"/>
    </row>
    <row r="541" spans="1:1" ht="12.75">
      <c r="A541" s="7"/>
    </row>
    <row r="542" spans="1:1" ht="12.75">
      <c r="A542" s="7"/>
    </row>
    <row r="543" spans="1:1" ht="12.75">
      <c r="A543" s="7"/>
    </row>
    <row r="544" spans="1:1" ht="12.75">
      <c r="A544" s="7"/>
    </row>
    <row r="545" spans="1:1" ht="12.75">
      <c r="A545" s="7"/>
    </row>
    <row r="546" spans="1:1" ht="12.75">
      <c r="A546" s="7"/>
    </row>
    <row r="547" spans="1:1" ht="12.75">
      <c r="A547" s="7"/>
    </row>
    <row r="548" spans="1:1" ht="12.75">
      <c r="A548" s="7"/>
    </row>
    <row r="549" spans="1:1" ht="12.75">
      <c r="A549" s="7"/>
    </row>
    <row r="550" spans="1:1" ht="12.75">
      <c r="A550" s="7"/>
    </row>
    <row r="551" spans="1:1" ht="12.75">
      <c r="A551" s="7"/>
    </row>
    <row r="552" spans="1:1" ht="12.75">
      <c r="A552" s="7"/>
    </row>
    <row r="553" spans="1:1" ht="12.75">
      <c r="A553" s="7"/>
    </row>
    <row r="554" spans="1:1" ht="12.75">
      <c r="A554" s="7"/>
    </row>
    <row r="555" spans="1:1" ht="12.75">
      <c r="A555" s="7"/>
    </row>
    <row r="556" spans="1:1" ht="12.75">
      <c r="A556" s="7"/>
    </row>
    <row r="557" spans="1:1" ht="12.75">
      <c r="A557" s="7"/>
    </row>
    <row r="558" spans="1:1" ht="12.75">
      <c r="A558" s="7"/>
    </row>
    <row r="559" spans="1:1" ht="12.75">
      <c r="A559" s="7"/>
    </row>
    <row r="560" spans="1:1" ht="12.75">
      <c r="A560" s="7"/>
    </row>
    <row r="561" spans="1:1" ht="12.75">
      <c r="A561" s="7"/>
    </row>
    <row r="562" spans="1:1" ht="12.75">
      <c r="A562" s="7"/>
    </row>
    <row r="563" spans="1:1" ht="12.75">
      <c r="A563" s="7"/>
    </row>
    <row r="564" spans="1:1" ht="12.75">
      <c r="A564" s="7"/>
    </row>
    <row r="565" spans="1:1" ht="12.75">
      <c r="A565" s="7"/>
    </row>
    <row r="566" spans="1:1" ht="12.75">
      <c r="A566" s="7"/>
    </row>
    <row r="567" spans="1:1" ht="12.75">
      <c r="A567" s="7"/>
    </row>
    <row r="568" spans="1:1" ht="12.75">
      <c r="A568" s="7"/>
    </row>
    <row r="569" spans="1:1" ht="12.75">
      <c r="A569" s="7"/>
    </row>
    <row r="570" spans="1:1" ht="12.75">
      <c r="A570" s="7"/>
    </row>
    <row r="571" spans="1:1" ht="12.75">
      <c r="A571" s="7"/>
    </row>
    <row r="572" spans="1:1" ht="12.75">
      <c r="A572" s="7"/>
    </row>
    <row r="573" spans="1:1" ht="12.75">
      <c r="A573" s="7"/>
    </row>
    <row r="574" spans="1:1" ht="12.75">
      <c r="A574" s="7"/>
    </row>
    <row r="575" spans="1:1" ht="12.75">
      <c r="A575" s="7"/>
    </row>
    <row r="576" spans="1:1" ht="12.75">
      <c r="A576" s="7"/>
    </row>
    <row r="577" spans="1:1" ht="12.75">
      <c r="A577" s="7"/>
    </row>
    <row r="578" spans="1:1" ht="12.75">
      <c r="A578" s="7"/>
    </row>
    <row r="579" spans="1:1" ht="12.75">
      <c r="A579" s="7"/>
    </row>
    <row r="580" spans="1:1" ht="12.75">
      <c r="A580" s="7"/>
    </row>
    <row r="581" spans="1:1" ht="12.75">
      <c r="A581" s="7"/>
    </row>
    <row r="582" spans="1:1" ht="12.75">
      <c r="A582" s="7"/>
    </row>
    <row r="583" spans="1:1" ht="12.75">
      <c r="A583" s="7"/>
    </row>
    <row r="584" spans="1:1" ht="12.75">
      <c r="A584" s="7"/>
    </row>
    <row r="585" spans="1:1" ht="12.75">
      <c r="A585" s="7"/>
    </row>
    <row r="586" spans="1:1" ht="12.75">
      <c r="A586" s="7"/>
    </row>
    <row r="587" spans="1:1" ht="12.75">
      <c r="A587" s="7"/>
    </row>
    <row r="588" spans="1:1" ht="12.75">
      <c r="A588" s="7"/>
    </row>
    <row r="589" spans="1:1" ht="12.75">
      <c r="A589" s="7"/>
    </row>
    <row r="590" spans="1:1" ht="12.75">
      <c r="A590" s="7"/>
    </row>
    <row r="591" spans="1:1" ht="12.75">
      <c r="A591" s="7"/>
    </row>
    <row r="592" spans="1:1" ht="12.75">
      <c r="A592" s="7"/>
    </row>
    <row r="593" spans="1:1" ht="12.75">
      <c r="A593" s="7"/>
    </row>
    <row r="594" spans="1:1" ht="12.75">
      <c r="A594" s="7"/>
    </row>
    <row r="595" spans="1:1" ht="12.75">
      <c r="A595" s="7"/>
    </row>
    <row r="596" spans="1:1" ht="12.75">
      <c r="A596" s="7"/>
    </row>
    <row r="597" spans="1:1" ht="12.75">
      <c r="A597" s="7"/>
    </row>
    <row r="598" spans="1:1" ht="12.75">
      <c r="A598" s="7"/>
    </row>
    <row r="599" spans="1:1" ht="12.75">
      <c r="A599" s="7"/>
    </row>
    <row r="600" spans="1:1" ht="12.75">
      <c r="A600" s="7"/>
    </row>
    <row r="601" spans="1:1" ht="12.75">
      <c r="A601" s="7"/>
    </row>
    <row r="602" spans="1:1" ht="12.75">
      <c r="A602" s="7"/>
    </row>
    <row r="603" spans="1:1" ht="12.75">
      <c r="A603" s="7"/>
    </row>
    <row r="604" spans="1:1" ht="12.75">
      <c r="A604" s="7"/>
    </row>
    <row r="605" spans="1:1" ht="12.75">
      <c r="A605" s="7"/>
    </row>
    <row r="606" spans="1:1" ht="12.75">
      <c r="A606" s="7"/>
    </row>
    <row r="607" spans="1:1" ht="12.75">
      <c r="A607" s="7"/>
    </row>
    <row r="608" spans="1:1" ht="12.75">
      <c r="A608" s="7"/>
    </row>
    <row r="609" spans="1:1" ht="12.75">
      <c r="A609" s="7"/>
    </row>
    <row r="610" spans="1:1" ht="12.75">
      <c r="A610" s="7"/>
    </row>
    <row r="611" spans="1:1" ht="12.75">
      <c r="A611" s="7"/>
    </row>
    <row r="612" spans="1:1" ht="12.75">
      <c r="A612" s="7"/>
    </row>
    <row r="613" spans="1:1" ht="12.75">
      <c r="A613" s="7"/>
    </row>
    <row r="614" spans="1:1" ht="12.75">
      <c r="A614" s="7"/>
    </row>
    <row r="615" spans="1:1" ht="12.75">
      <c r="A615" s="7"/>
    </row>
    <row r="616" spans="1:1" ht="12.75">
      <c r="A616" s="7"/>
    </row>
    <row r="617" spans="1:1" ht="12.75">
      <c r="A617" s="7"/>
    </row>
    <row r="618" spans="1:1" ht="12.75">
      <c r="A618" s="7"/>
    </row>
    <row r="619" spans="1:1" ht="12.75">
      <c r="A619" s="7"/>
    </row>
    <row r="620" spans="1:1" ht="12.75">
      <c r="A620" s="7"/>
    </row>
    <row r="621" spans="1:1" ht="12.75">
      <c r="A621" s="7"/>
    </row>
    <row r="622" spans="1:1" ht="12.75">
      <c r="A622" s="7"/>
    </row>
    <row r="623" spans="1:1" ht="12.75">
      <c r="A623" s="7"/>
    </row>
    <row r="624" spans="1:1" ht="12.75">
      <c r="A624" s="7"/>
    </row>
    <row r="625" spans="1:1" ht="12.75">
      <c r="A625" s="7"/>
    </row>
    <row r="626" spans="1:1" ht="12.75">
      <c r="A626" s="7"/>
    </row>
    <row r="627" spans="1:1" ht="12.75">
      <c r="A627" s="7"/>
    </row>
    <row r="628" spans="1:1" ht="12.75">
      <c r="A628" s="7"/>
    </row>
    <row r="629" spans="1:1" ht="12.75">
      <c r="A629" s="7"/>
    </row>
    <row r="630" spans="1:1" ht="12.75">
      <c r="A630" s="7"/>
    </row>
    <row r="631" spans="1:1" ht="12.75">
      <c r="A631" s="7"/>
    </row>
    <row r="632" spans="1:1" ht="12.75">
      <c r="A632" s="7"/>
    </row>
    <row r="633" spans="1:1" ht="12.75">
      <c r="A633" s="7"/>
    </row>
    <row r="634" spans="1:1" ht="12.75">
      <c r="A634" s="7"/>
    </row>
    <row r="635" spans="1:1" ht="12.75">
      <c r="A635" s="7"/>
    </row>
    <row r="636" spans="1:1" ht="12.75">
      <c r="A636" s="7"/>
    </row>
    <row r="637" spans="1:1" ht="12.75">
      <c r="A637" s="7"/>
    </row>
    <row r="638" spans="1:1" ht="12.75">
      <c r="A638" s="7"/>
    </row>
    <row r="639" spans="1:1" ht="12.75">
      <c r="A639" s="7"/>
    </row>
    <row r="640" spans="1:1" ht="12.75">
      <c r="A640" s="7"/>
    </row>
    <row r="641" spans="1:1" ht="12.75">
      <c r="A641" s="7"/>
    </row>
    <row r="642" spans="1:1" ht="12.75">
      <c r="A642" s="7"/>
    </row>
    <row r="643" spans="1:1" ht="12.75">
      <c r="A643" s="7"/>
    </row>
    <row r="644" spans="1:1" ht="12.75">
      <c r="A644" s="7"/>
    </row>
    <row r="645" spans="1:1" ht="12.75">
      <c r="A645" s="7"/>
    </row>
    <row r="646" spans="1:1" ht="12.75">
      <c r="A646" s="7"/>
    </row>
    <row r="647" spans="1:1" ht="12.75">
      <c r="A647" s="7"/>
    </row>
    <row r="648" spans="1:1" ht="12.75">
      <c r="A648" s="7"/>
    </row>
    <row r="649" spans="1:1" ht="12.75">
      <c r="A649" s="7"/>
    </row>
    <row r="650" spans="1:1" ht="12.75">
      <c r="A650" s="7"/>
    </row>
    <row r="651" spans="1:1" ht="12.75">
      <c r="A651" s="7"/>
    </row>
    <row r="652" spans="1:1" ht="12.75">
      <c r="A652" s="7"/>
    </row>
    <row r="653" spans="1:1" ht="12.75">
      <c r="A653" s="7"/>
    </row>
    <row r="654" spans="1:1" ht="12.75">
      <c r="A654" s="7"/>
    </row>
    <row r="655" spans="1:1" ht="12.75">
      <c r="A655" s="7"/>
    </row>
    <row r="656" spans="1:1" ht="12.75">
      <c r="A656" s="7"/>
    </row>
    <row r="657" spans="1:1" ht="12.75">
      <c r="A657" s="7"/>
    </row>
    <row r="658" spans="1:1" ht="12.75">
      <c r="A658" s="7"/>
    </row>
    <row r="659" spans="1:1" ht="12.75">
      <c r="A659" s="7"/>
    </row>
    <row r="660" spans="1:1" ht="12.75">
      <c r="A660" s="7"/>
    </row>
    <row r="661" spans="1:1" ht="12.75">
      <c r="A661" s="7"/>
    </row>
    <row r="662" spans="1:1" ht="12.75">
      <c r="A662" s="7"/>
    </row>
    <row r="663" spans="1:1" ht="12.75">
      <c r="A663" s="7"/>
    </row>
    <row r="664" spans="1:1" ht="12.75">
      <c r="A664" s="7"/>
    </row>
    <row r="665" spans="1:1" ht="12.75">
      <c r="A665" s="7"/>
    </row>
    <row r="666" spans="1:1" ht="12.75">
      <c r="A666" s="7"/>
    </row>
    <row r="667" spans="1:1" ht="12.75">
      <c r="A667" s="7"/>
    </row>
    <row r="668" spans="1:1" ht="12.75">
      <c r="A668" s="7"/>
    </row>
    <row r="669" spans="1:1" ht="12.75">
      <c r="A669" s="7"/>
    </row>
    <row r="670" spans="1:1" ht="12.75">
      <c r="A670" s="7"/>
    </row>
    <row r="671" spans="1:1" ht="12.75">
      <c r="A671" s="7"/>
    </row>
    <row r="672" spans="1:1" ht="12.75">
      <c r="A672" s="7"/>
    </row>
    <row r="673" spans="1:1" ht="12.75">
      <c r="A673" s="7"/>
    </row>
    <row r="674" spans="1:1" ht="12.75">
      <c r="A674" s="7"/>
    </row>
    <row r="675" spans="1:1" ht="12.75">
      <c r="A675" s="7"/>
    </row>
    <row r="676" spans="1:1" ht="12.75">
      <c r="A676" s="7"/>
    </row>
    <row r="677" spans="1:1" ht="12.75">
      <c r="A677" s="7"/>
    </row>
    <row r="678" spans="1:1" ht="12.75">
      <c r="A678" s="7"/>
    </row>
    <row r="679" spans="1:1" ht="12.75">
      <c r="A679" s="7"/>
    </row>
    <row r="680" spans="1:1" ht="12.75">
      <c r="A680" s="7"/>
    </row>
    <row r="681" spans="1:1" ht="12.75">
      <c r="A681" s="7"/>
    </row>
    <row r="682" spans="1:1" ht="12.75">
      <c r="A682" s="7"/>
    </row>
    <row r="683" spans="1:1" ht="12.75">
      <c r="A683" s="7"/>
    </row>
    <row r="684" spans="1:1" ht="12.75">
      <c r="A684" s="7"/>
    </row>
    <row r="685" spans="1:1" ht="12.75">
      <c r="A685" s="7"/>
    </row>
    <row r="686" spans="1:1" ht="12.75">
      <c r="A686" s="7"/>
    </row>
    <row r="687" spans="1:1" ht="12.75">
      <c r="A687" s="7"/>
    </row>
    <row r="688" spans="1:1" ht="12.75">
      <c r="A688" s="7"/>
    </row>
    <row r="689" spans="1:1" ht="12.75">
      <c r="A689" s="7"/>
    </row>
    <row r="690" spans="1:1" ht="12.75">
      <c r="A690" s="7"/>
    </row>
    <row r="691" spans="1:1" ht="12.75">
      <c r="A691" s="7"/>
    </row>
    <row r="692" spans="1:1" ht="12.75">
      <c r="A692" s="7"/>
    </row>
    <row r="693" spans="1:1" ht="12.75">
      <c r="A693" s="7"/>
    </row>
    <row r="694" spans="1:1" ht="12.75">
      <c r="A694" s="7"/>
    </row>
    <row r="695" spans="1:1" ht="12.75">
      <c r="A695" s="7"/>
    </row>
    <row r="696" spans="1:1" ht="12.75">
      <c r="A696" s="7"/>
    </row>
    <row r="697" spans="1:1" ht="12.75">
      <c r="A697" s="7"/>
    </row>
    <row r="698" spans="1:1" ht="12.75">
      <c r="A698" s="7"/>
    </row>
    <row r="699" spans="1:1" ht="12.75">
      <c r="A699" s="7"/>
    </row>
    <row r="700" spans="1:1" ht="12.75">
      <c r="A700" s="7"/>
    </row>
    <row r="701" spans="1:1" ht="12.75">
      <c r="A701" s="7"/>
    </row>
    <row r="702" spans="1:1" ht="12.75">
      <c r="A702" s="7"/>
    </row>
    <row r="703" spans="1:1" ht="12.75">
      <c r="A703" s="7"/>
    </row>
    <row r="704" spans="1:1" ht="12.75">
      <c r="A704" s="7"/>
    </row>
    <row r="705" spans="1:1" ht="12.75">
      <c r="A705" s="7"/>
    </row>
    <row r="706" spans="1:1" ht="12.75">
      <c r="A706" s="7"/>
    </row>
    <row r="707" spans="1:1" ht="12.75">
      <c r="A707" s="7"/>
    </row>
    <row r="708" spans="1:1" ht="12.75">
      <c r="A708" s="7"/>
    </row>
    <row r="709" spans="1:1" ht="12.75">
      <c r="A709" s="7"/>
    </row>
    <row r="710" spans="1:1" ht="12.75">
      <c r="A710" s="7"/>
    </row>
    <row r="711" spans="1:1" ht="12.75">
      <c r="A711" s="7"/>
    </row>
    <row r="712" spans="1:1" ht="12.75">
      <c r="A712" s="7"/>
    </row>
    <row r="713" spans="1:1" ht="12.75">
      <c r="A713" s="7"/>
    </row>
    <row r="714" spans="1:1" ht="12.75">
      <c r="A714" s="7"/>
    </row>
    <row r="715" spans="1:1" ht="12.75">
      <c r="A715" s="7"/>
    </row>
    <row r="716" spans="1:1" ht="12.75">
      <c r="A716" s="7"/>
    </row>
    <row r="717" spans="1:1" ht="12.75">
      <c r="A717" s="7"/>
    </row>
    <row r="718" spans="1:1" ht="12.75">
      <c r="A718" s="7"/>
    </row>
    <row r="719" spans="1:1" ht="12.75">
      <c r="A719" s="7"/>
    </row>
    <row r="720" spans="1:1" ht="12.75">
      <c r="A720" s="7"/>
    </row>
    <row r="721" spans="1:1" ht="12.75">
      <c r="A721" s="7"/>
    </row>
    <row r="722" spans="1:1" ht="12.75">
      <c r="A722" s="7"/>
    </row>
    <row r="723" spans="1:1" ht="12.75">
      <c r="A723" s="7"/>
    </row>
    <row r="724" spans="1:1" ht="12.75">
      <c r="A724" s="7"/>
    </row>
    <row r="725" spans="1:1" ht="12.75">
      <c r="A725" s="7"/>
    </row>
    <row r="726" spans="1:1" ht="12.75">
      <c r="A726" s="7"/>
    </row>
    <row r="727" spans="1:1" ht="12.75">
      <c r="A727" s="7"/>
    </row>
    <row r="728" spans="1:1" ht="12.75">
      <c r="A728" s="7"/>
    </row>
    <row r="729" spans="1:1" ht="12.75">
      <c r="A729" s="7"/>
    </row>
    <row r="730" spans="1:1" ht="12.75">
      <c r="A730" s="7"/>
    </row>
    <row r="731" spans="1:1" ht="12.75">
      <c r="A731" s="7"/>
    </row>
    <row r="732" spans="1:1" ht="12.75">
      <c r="A732" s="7"/>
    </row>
    <row r="733" spans="1:1" ht="12.75">
      <c r="A733" s="7"/>
    </row>
    <row r="734" spans="1:1" ht="12.75">
      <c r="A734" s="7"/>
    </row>
    <row r="735" spans="1:1" ht="12.75">
      <c r="A735" s="7"/>
    </row>
    <row r="736" spans="1:1" ht="12.75">
      <c r="A736" s="7"/>
    </row>
    <row r="737" spans="1:1" ht="12.75">
      <c r="A737" s="7"/>
    </row>
    <row r="738" spans="1:1" ht="12.75">
      <c r="A738" s="7"/>
    </row>
    <row r="739" spans="1:1" ht="12.75">
      <c r="A739" s="7"/>
    </row>
    <row r="740" spans="1:1" ht="12.75">
      <c r="A740" s="7"/>
    </row>
    <row r="741" spans="1:1" ht="12.75">
      <c r="A741" s="7"/>
    </row>
    <row r="742" spans="1:1" ht="12.75">
      <c r="A742" s="7"/>
    </row>
    <row r="743" spans="1:1" ht="12.75">
      <c r="A743" s="7"/>
    </row>
    <row r="744" spans="1:1" ht="12.75">
      <c r="A744" s="7"/>
    </row>
    <row r="745" spans="1:1" ht="12.75">
      <c r="A745" s="7"/>
    </row>
    <row r="746" spans="1:1" ht="12.75">
      <c r="A746" s="7"/>
    </row>
    <row r="747" spans="1:1" ht="12.75">
      <c r="A747" s="7"/>
    </row>
    <row r="748" spans="1:1" ht="12.75">
      <c r="A748" s="7"/>
    </row>
    <row r="749" spans="1:1" ht="12.75">
      <c r="A749" s="7"/>
    </row>
    <row r="750" spans="1:1" ht="12.75">
      <c r="A750" s="7"/>
    </row>
    <row r="751" spans="1:1" ht="12.75">
      <c r="A751" s="7"/>
    </row>
    <row r="752" spans="1:1" ht="12.75">
      <c r="A752" s="7"/>
    </row>
    <row r="753" spans="1:1" ht="12.75">
      <c r="A753" s="7"/>
    </row>
    <row r="754" spans="1:1" ht="12.75">
      <c r="A754" s="7"/>
    </row>
    <row r="755" spans="1:1" ht="12.75">
      <c r="A755" s="7"/>
    </row>
    <row r="756" spans="1:1" ht="12.75">
      <c r="A756" s="7"/>
    </row>
    <row r="757" spans="1:1" ht="12.75">
      <c r="A757" s="7"/>
    </row>
    <row r="758" spans="1:1" ht="12.75">
      <c r="A758" s="7"/>
    </row>
    <row r="759" spans="1:1" ht="12.75">
      <c r="A759" s="7"/>
    </row>
    <row r="760" spans="1:1" ht="12.75">
      <c r="A760" s="7"/>
    </row>
    <row r="761" spans="1:1" ht="12.75">
      <c r="A761" s="7"/>
    </row>
    <row r="762" spans="1:1" ht="12.75">
      <c r="A762" s="7"/>
    </row>
    <row r="763" spans="1:1" ht="12.75">
      <c r="A763" s="7"/>
    </row>
    <row r="764" spans="1:1" ht="12.75">
      <c r="A764" s="7"/>
    </row>
    <row r="765" spans="1:1" ht="12.75">
      <c r="A765" s="7"/>
    </row>
    <row r="766" spans="1:1" ht="12.75">
      <c r="A766" s="7"/>
    </row>
    <row r="767" spans="1:1" ht="12.75">
      <c r="A767" s="7"/>
    </row>
    <row r="768" spans="1:1" ht="12.75">
      <c r="A768" s="7"/>
    </row>
    <row r="769" spans="1:1" ht="12.75">
      <c r="A769" s="7"/>
    </row>
    <row r="770" spans="1:1" ht="12.75">
      <c r="A770" s="7"/>
    </row>
    <row r="771" spans="1:1" ht="12.75">
      <c r="A771" s="7"/>
    </row>
    <row r="772" spans="1:1" ht="12.75">
      <c r="A772" s="7"/>
    </row>
    <row r="773" spans="1:1" ht="12.75">
      <c r="A773" s="7"/>
    </row>
    <row r="774" spans="1:1" ht="12.75">
      <c r="A774" s="7"/>
    </row>
    <row r="775" spans="1:1" ht="12.75">
      <c r="A775" s="7"/>
    </row>
    <row r="776" spans="1:1" ht="12.75">
      <c r="A776" s="7"/>
    </row>
    <row r="777" spans="1:1" ht="12.75">
      <c r="A777" s="7"/>
    </row>
    <row r="778" spans="1:1" ht="12.75">
      <c r="A778" s="7"/>
    </row>
    <row r="779" spans="1:1" ht="12.75">
      <c r="A779" s="7"/>
    </row>
    <row r="780" spans="1:1" ht="12.75">
      <c r="A780" s="7"/>
    </row>
    <row r="781" spans="1:1" ht="12.75">
      <c r="A781" s="7"/>
    </row>
    <row r="782" spans="1:1" ht="12.75">
      <c r="A782" s="7"/>
    </row>
    <row r="783" spans="1:1" ht="12.75">
      <c r="A783" s="7"/>
    </row>
    <row r="784" spans="1:1" ht="12.75">
      <c r="A784" s="7"/>
    </row>
    <row r="785" spans="1:1" ht="12.75">
      <c r="A785" s="7"/>
    </row>
    <row r="786" spans="1:1" ht="12.75">
      <c r="A786" s="7"/>
    </row>
    <row r="787" spans="1:1" ht="12.75">
      <c r="A787" s="7"/>
    </row>
    <row r="788" spans="1:1" ht="12.75">
      <c r="A788" s="7"/>
    </row>
    <row r="789" spans="1:1" ht="12.75">
      <c r="A789" s="7"/>
    </row>
    <row r="790" spans="1:1" ht="12.75">
      <c r="A790" s="7"/>
    </row>
    <row r="791" spans="1:1" ht="12.75">
      <c r="A791" s="7"/>
    </row>
    <row r="792" spans="1:1" ht="12.75">
      <c r="A792" s="7"/>
    </row>
    <row r="793" spans="1:1" ht="12.75">
      <c r="A793" s="7"/>
    </row>
    <row r="794" spans="1:1" ht="12.75">
      <c r="A794" s="7"/>
    </row>
    <row r="795" spans="1:1" ht="12.75">
      <c r="A795" s="7"/>
    </row>
    <row r="796" spans="1:1" ht="12.75">
      <c r="A796" s="7"/>
    </row>
    <row r="797" spans="1:1" ht="12.75">
      <c r="A797" s="7"/>
    </row>
    <row r="798" spans="1:1" ht="12.75">
      <c r="A798" s="7"/>
    </row>
    <row r="799" spans="1:1" ht="12.75">
      <c r="A799" s="7"/>
    </row>
    <row r="800" spans="1:1" ht="12.75">
      <c r="A800" s="7"/>
    </row>
    <row r="801" spans="1:1" ht="12.75">
      <c r="A801" s="7"/>
    </row>
    <row r="802" spans="1:1" ht="12.75">
      <c r="A802" s="7"/>
    </row>
    <row r="803" spans="1:1" ht="12.75">
      <c r="A803" s="7"/>
    </row>
    <row r="804" spans="1:1" ht="12.75">
      <c r="A804" s="7"/>
    </row>
    <row r="805" spans="1:1" ht="12.75">
      <c r="A805" s="7"/>
    </row>
    <row r="806" spans="1:1" ht="12.75">
      <c r="A806" s="7"/>
    </row>
    <row r="807" spans="1:1" ht="12.75">
      <c r="A807" s="7"/>
    </row>
    <row r="808" spans="1:1" ht="12.75">
      <c r="A808" s="7"/>
    </row>
    <row r="809" spans="1:1" ht="12.75">
      <c r="A809" s="7"/>
    </row>
    <row r="810" spans="1:1" ht="12.75">
      <c r="A810" s="7"/>
    </row>
    <row r="811" spans="1:1" ht="12.75">
      <c r="A811" s="7"/>
    </row>
    <row r="812" spans="1:1" ht="12.75">
      <c r="A812" s="7"/>
    </row>
    <row r="813" spans="1:1" ht="12.75">
      <c r="A813" s="7"/>
    </row>
    <row r="814" spans="1:1" ht="12.75">
      <c r="A814" s="7"/>
    </row>
    <row r="815" spans="1:1" ht="12.75">
      <c r="A815" s="7"/>
    </row>
    <row r="816" spans="1:1" ht="12.75">
      <c r="A816" s="7"/>
    </row>
    <row r="817" spans="1:1" ht="12.75">
      <c r="A817" s="7"/>
    </row>
    <row r="818" spans="1:1" ht="12.75">
      <c r="A818" s="7"/>
    </row>
    <row r="819" spans="1:1" ht="12.75">
      <c r="A819" s="7"/>
    </row>
    <row r="820" spans="1:1" ht="12.75">
      <c r="A820" s="7"/>
    </row>
    <row r="821" spans="1:1" ht="12.75">
      <c r="A821" s="7"/>
    </row>
    <row r="822" spans="1:1" ht="12.75">
      <c r="A822" s="7"/>
    </row>
    <row r="823" spans="1:1" ht="12.75">
      <c r="A823" s="7"/>
    </row>
    <row r="824" spans="1:1" ht="12.75">
      <c r="A824" s="7"/>
    </row>
    <row r="825" spans="1:1" ht="12.75">
      <c r="A825" s="7"/>
    </row>
    <row r="826" spans="1:1" ht="12.75">
      <c r="A826" s="7"/>
    </row>
    <row r="827" spans="1:1" ht="12.75">
      <c r="A827" s="7"/>
    </row>
    <row r="828" spans="1:1" ht="12.75">
      <c r="A828" s="7"/>
    </row>
    <row r="829" spans="1:1" ht="12.75">
      <c r="A829" s="7"/>
    </row>
    <row r="830" spans="1:1" ht="12.75">
      <c r="A830" s="7"/>
    </row>
    <row r="831" spans="1:1" ht="12.75">
      <c r="A831" s="7"/>
    </row>
    <row r="832" spans="1:1" ht="12.75">
      <c r="A832" s="7"/>
    </row>
    <row r="833" spans="1:1" ht="12.75">
      <c r="A833" s="7"/>
    </row>
    <row r="834" spans="1:1" ht="12.75">
      <c r="A834" s="7"/>
    </row>
    <row r="835" spans="1:1" ht="12.75">
      <c r="A835" s="7"/>
    </row>
    <row r="836" spans="1:1" ht="12.75">
      <c r="A836" s="7"/>
    </row>
    <row r="837" spans="1:1" ht="12.75">
      <c r="A837" s="7"/>
    </row>
    <row r="838" spans="1:1" ht="12.75">
      <c r="A838" s="7"/>
    </row>
    <row r="839" spans="1:1" ht="12.75">
      <c r="A839" s="7"/>
    </row>
    <row r="840" spans="1:1" ht="12.75">
      <c r="A840" s="7"/>
    </row>
    <row r="841" spans="1:1" ht="12.75">
      <c r="A841" s="7"/>
    </row>
    <row r="842" spans="1:1" ht="12.75">
      <c r="A842" s="7"/>
    </row>
    <row r="843" spans="1:1" ht="12.75">
      <c r="A843" s="7"/>
    </row>
    <row r="844" spans="1:1" ht="12.75">
      <c r="A844" s="7"/>
    </row>
    <row r="845" spans="1:1" ht="12.75">
      <c r="A845" s="7"/>
    </row>
    <row r="846" spans="1:1" ht="12.75">
      <c r="A846" s="7"/>
    </row>
    <row r="847" spans="1:1" ht="12.75">
      <c r="A847" s="7"/>
    </row>
    <row r="848" spans="1:1" ht="12.75">
      <c r="A848" s="7"/>
    </row>
    <row r="849" spans="1:1" ht="12.75">
      <c r="A849" s="7"/>
    </row>
    <row r="850" spans="1:1" ht="12.75">
      <c r="A850" s="7"/>
    </row>
    <row r="851" spans="1:1" ht="12.75">
      <c r="A851" s="7"/>
    </row>
    <row r="852" spans="1:1" ht="12.75">
      <c r="A852" s="7"/>
    </row>
    <row r="853" spans="1:1" ht="12.75">
      <c r="A853" s="7"/>
    </row>
    <row r="854" spans="1:1" ht="12.75">
      <c r="A854" s="7"/>
    </row>
    <row r="855" spans="1:1" ht="12.75">
      <c r="A855" s="7"/>
    </row>
    <row r="856" spans="1:1" ht="12.75">
      <c r="A856" s="7"/>
    </row>
    <row r="857" spans="1:1" ht="12.75">
      <c r="A857" s="7"/>
    </row>
    <row r="858" spans="1:1" ht="12.75">
      <c r="A858" s="7"/>
    </row>
    <row r="859" spans="1:1" ht="12.75">
      <c r="A859" s="7"/>
    </row>
    <row r="860" spans="1:1" ht="12.75">
      <c r="A860" s="7"/>
    </row>
    <row r="861" spans="1:1" ht="12.75">
      <c r="A861" s="7"/>
    </row>
    <row r="862" spans="1:1" ht="12.75">
      <c r="A862" s="7"/>
    </row>
    <row r="863" spans="1:1" ht="12.75">
      <c r="A863" s="7"/>
    </row>
    <row r="864" spans="1:1" ht="12.75">
      <c r="A864" s="7"/>
    </row>
    <row r="865" spans="1:1" ht="12.75">
      <c r="A865" s="7"/>
    </row>
    <row r="866" spans="1:1" ht="12.75">
      <c r="A866" s="7"/>
    </row>
    <row r="867" spans="1:1" ht="12.75">
      <c r="A867" s="7"/>
    </row>
    <row r="868" spans="1:1" ht="12.75">
      <c r="A868" s="7"/>
    </row>
    <row r="869" spans="1:1" ht="12.75">
      <c r="A869" s="7"/>
    </row>
    <row r="870" spans="1:1" ht="12.75">
      <c r="A870" s="7"/>
    </row>
    <row r="871" spans="1:1" ht="12.75">
      <c r="A871" s="7"/>
    </row>
    <row r="872" spans="1:1" ht="12.75">
      <c r="A872" s="7"/>
    </row>
    <row r="873" spans="1:1" ht="12.75">
      <c r="A873" s="7"/>
    </row>
    <row r="874" spans="1:1" ht="12.75">
      <c r="A874" s="7"/>
    </row>
    <row r="875" spans="1:1" ht="12.75">
      <c r="A875" s="7"/>
    </row>
    <row r="876" spans="1:1" ht="12.75">
      <c r="A876" s="7"/>
    </row>
    <row r="877" spans="1:1" ht="12.75">
      <c r="A877" s="7"/>
    </row>
    <row r="878" spans="1:1" ht="12.75">
      <c r="A878" s="7"/>
    </row>
    <row r="879" spans="1:1" ht="12.75">
      <c r="A879" s="7"/>
    </row>
    <row r="880" spans="1:1" ht="12.75">
      <c r="A880" s="7"/>
    </row>
    <row r="881" spans="1:1" ht="12.75">
      <c r="A881" s="7"/>
    </row>
    <row r="882" spans="1:1" ht="12.75">
      <c r="A882" s="7"/>
    </row>
    <row r="883" spans="1:1" ht="12.75">
      <c r="A883" s="7"/>
    </row>
    <row r="884" spans="1:1" ht="12.75">
      <c r="A884" s="7"/>
    </row>
    <row r="885" spans="1:1" ht="12.75">
      <c r="A885" s="7"/>
    </row>
    <row r="886" spans="1:1" ht="12.75">
      <c r="A886" s="7"/>
    </row>
    <row r="887" spans="1:1" ht="12.75">
      <c r="A887" s="7"/>
    </row>
    <row r="888" spans="1:1" ht="12.75">
      <c r="A888" s="7"/>
    </row>
    <row r="889" spans="1:1" ht="12.75">
      <c r="A889" s="7"/>
    </row>
    <row r="890" spans="1:1" ht="12.75">
      <c r="A890" s="7"/>
    </row>
    <row r="891" spans="1:1" ht="12.75">
      <c r="A891" s="7"/>
    </row>
    <row r="892" spans="1:1" ht="12.75">
      <c r="A892" s="7"/>
    </row>
    <row r="893" spans="1:1" ht="12.75">
      <c r="A893" s="7"/>
    </row>
    <row r="894" spans="1:1" ht="12.75">
      <c r="A894" s="7"/>
    </row>
    <row r="895" spans="1:1" ht="12.75">
      <c r="A895" s="7"/>
    </row>
    <row r="896" spans="1:1" ht="12.75">
      <c r="A896" s="7"/>
    </row>
    <row r="897" spans="1:1" ht="12.75">
      <c r="A897" s="7"/>
    </row>
    <row r="898" spans="1:1" ht="12.75">
      <c r="A898" s="7"/>
    </row>
    <row r="899" spans="1:1" ht="12.75">
      <c r="A899" s="7"/>
    </row>
    <row r="900" spans="1:1" ht="12.75">
      <c r="A900" s="7"/>
    </row>
    <row r="901" spans="1:1" ht="12.75">
      <c r="A901" s="7"/>
    </row>
    <row r="902" spans="1:1" ht="12.75">
      <c r="A902" s="7"/>
    </row>
    <row r="903" spans="1:1" ht="12.75">
      <c r="A903" s="7"/>
    </row>
    <row r="904" spans="1:1" ht="12.75">
      <c r="A904" s="7"/>
    </row>
    <row r="905" spans="1:1" ht="12.75">
      <c r="A905" s="7"/>
    </row>
    <row r="906" spans="1:1" ht="12.75">
      <c r="A906" s="7"/>
    </row>
    <row r="907" spans="1:1" ht="12.75">
      <c r="A907" s="7"/>
    </row>
    <row r="908" spans="1:1" ht="12.75">
      <c r="A908" s="7"/>
    </row>
    <row r="909" spans="1:1" ht="12.75">
      <c r="A909" s="7"/>
    </row>
    <row r="910" spans="1:1" ht="12.75">
      <c r="A910" s="7"/>
    </row>
    <row r="911" spans="1:1" ht="12.75">
      <c r="A911" s="7"/>
    </row>
    <row r="912" spans="1:1" ht="12.75">
      <c r="A912" s="7"/>
    </row>
    <row r="913" spans="1:1" ht="12.75">
      <c r="A913" s="7"/>
    </row>
    <row r="914" spans="1:1" ht="12.75">
      <c r="A914" s="7"/>
    </row>
    <row r="915" spans="1:1" ht="12.75">
      <c r="A915" s="7"/>
    </row>
    <row r="916" spans="1:1" ht="12.75">
      <c r="A916" s="7"/>
    </row>
    <row r="917" spans="1:1" ht="12.75">
      <c r="A917" s="7"/>
    </row>
    <row r="918" spans="1:1" ht="12.75">
      <c r="A918" s="7"/>
    </row>
    <row r="919" spans="1:1" ht="12.75">
      <c r="A919" s="7"/>
    </row>
    <row r="920" spans="1:1" ht="12.75">
      <c r="A920" s="7"/>
    </row>
    <row r="921" spans="1:1" ht="12.75">
      <c r="A921" s="7"/>
    </row>
    <row r="922" spans="1:1" ht="12.75">
      <c r="A922" s="7"/>
    </row>
    <row r="923" spans="1:1" ht="12.75">
      <c r="A923" s="7"/>
    </row>
    <row r="924" spans="1:1" ht="12.75">
      <c r="A924" s="7"/>
    </row>
    <row r="925" spans="1:1" ht="12.75">
      <c r="A925" s="7"/>
    </row>
    <row r="926" spans="1:1" ht="12.75">
      <c r="A926" s="7"/>
    </row>
    <row r="927" spans="1:1" ht="12.75">
      <c r="A927" s="7"/>
    </row>
    <row r="928" spans="1:1" ht="12.75">
      <c r="A928" s="7"/>
    </row>
    <row r="929" spans="1:1" ht="12.75">
      <c r="A929" s="7"/>
    </row>
    <row r="930" spans="1:1" ht="12.75">
      <c r="A930" s="7"/>
    </row>
    <row r="931" spans="1:1" ht="12.75">
      <c r="A931" s="7"/>
    </row>
    <row r="932" spans="1:1" ht="12.75">
      <c r="A932" s="7"/>
    </row>
    <row r="933" spans="1:1" ht="12.75">
      <c r="A933" s="7"/>
    </row>
    <row r="934" spans="1:1" ht="12.75">
      <c r="A934" s="7"/>
    </row>
    <row r="935" spans="1:1" ht="12.75">
      <c r="A935" s="7"/>
    </row>
    <row r="936" spans="1:1" ht="12.75">
      <c r="A936" s="7"/>
    </row>
    <row r="937" spans="1:1" ht="12.75">
      <c r="A937" s="7"/>
    </row>
    <row r="938" spans="1:1" ht="12.75">
      <c r="A938" s="7"/>
    </row>
    <row r="939" spans="1:1" ht="12.75">
      <c r="A939" s="7"/>
    </row>
    <row r="940" spans="1:1" ht="12.75">
      <c r="A940" s="7"/>
    </row>
    <row r="941" spans="1:1" ht="12.75">
      <c r="A941" s="7"/>
    </row>
    <row r="942" spans="1:1" ht="12.75">
      <c r="A942" s="7"/>
    </row>
    <row r="943" spans="1:1" ht="12.75">
      <c r="A943" s="7"/>
    </row>
    <row r="944" spans="1:1" ht="12.75">
      <c r="A944" s="7"/>
    </row>
    <row r="945" spans="1:1" ht="12.75">
      <c r="A945" s="7"/>
    </row>
    <row r="946" spans="1:1" ht="12.75">
      <c r="A946" s="7"/>
    </row>
    <row r="947" spans="1:1" ht="12.75">
      <c r="A947" s="7"/>
    </row>
    <row r="948" spans="1:1" ht="12.75">
      <c r="A948" s="7"/>
    </row>
    <row r="949" spans="1:1" ht="12.75">
      <c r="A949" s="7"/>
    </row>
    <row r="950" spans="1:1" ht="12.75">
      <c r="A950" s="7"/>
    </row>
    <row r="951" spans="1:1" ht="12.75">
      <c r="A951" s="7"/>
    </row>
    <row r="952" spans="1:1" ht="12.75">
      <c r="A952" s="7"/>
    </row>
    <row r="953" spans="1:1" ht="12.75">
      <c r="A953" s="7"/>
    </row>
    <row r="954" spans="1:1" ht="12.75">
      <c r="A954" s="7"/>
    </row>
    <row r="955" spans="1:1" ht="12.75">
      <c r="A955" s="7"/>
    </row>
    <row r="956" spans="1:1" ht="12.75">
      <c r="A956" s="7"/>
    </row>
    <row r="957" spans="1:1" ht="12.75">
      <c r="A957" s="7"/>
    </row>
    <row r="958" spans="1:1" ht="12.75">
      <c r="A958" s="7"/>
    </row>
    <row r="959" spans="1:1" ht="12.75">
      <c r="A959" s="7"/>
    </row>
    <row r="960" spans="1:1" ht="12.75">
      <c r="A960" s="7"/>
    </row>
    <row r="961" spans="1:1" ht="12.75">
      <c r="A961" s="7"/>
    </row>
    <row r="962" spans="1:1" ht="12.75">
      <c r="A962" s="7"/>
    </row>
    <row r="963" spans="1:1" ht="12.75">
      <c r="A963" s="7"/>
    </row>
    <row r="964" spans="1:1" ht="12.75">
      <c r="A964" s="7"/>
    </row>
    <row r="965" spans="1:1" ht="12.75">
      <c r="A965" s="7"/>
    </row>
    <row r="966" spans="1:1" ht="12.75">
      <c r="A966" s="7"/>
    </row>
    <row r="967" spans="1:1" ht="12.75">
      <c r="A967" s="7"/>
    </row>
    <row r="968" spans="1:1" ht="12.75">
      <c r="A968" s="7"/>
    </row>
    <row r="969" spans="1:1" ht="12.75">
      <c r="A969" s="7"/>
    </row>
    <row r="970" spans="1:1" ht="12.75">
      <c r="A970" s="7"/>
    </row>
    <row r="971" spans="1:1" ht="12.75">
      <c r="A971" s="7"/>
    </row>
    <row r="972" spans="1:1" ht="12.75">
      <c r="A972" s="7"/>
    </row>
    <row r="973" spans="1:1" ht="12.75">
      <c r="A973" s="7"/>
    </row>
    <row r="974" spans="1:1" ht="12.75">
      <c r="A974" s="7"/>
    </row>
    <row r="975" spans="1:1" ht="12.75">
      <c r="A975" s="7"/>
    </row>
    <row r="976" spans="1:1" ht="12.75">
      <c r="A976" s="7"/>
    </row>
    <row r="977" spans="1:1" ht="12.75">
      <c r="A977" s="7"/>
    </row>
    <row r="978" spans="1:1" ht="12.75">
      <c r="A978" s="7"/>
    </row>
    <row r="979" spans="1:1" ht="12.75">
      <c r="A979" s="7"/>
    </row>
    <row r="980" spans="1:1" ht="12.75">
      <c r="A980" s="7"/>
    </row>
    <row r="981" spans="1:1" ht="12.75">
      <c r="A981" s="7"/>
    </row>
    <row r="982" spans="1:1" ht="12.75">
      <c r="A982" s="7"/>
    </row>
    <row r="983" spans="1:1" ht="12.75">
      <c r="A983" s="7"/>
    </row>
    <row r="984" spans="1:1" ht="12.75">
      <c r="A984" s="7"/>
    </row>
    <row r="985" spans="1:1" ht="12.75">
      <c r="A985" s="7"/>
    </row>
    <row r="986" spans="1:1" ht="12.75">
      <c r="A986" s="7"/>
    </row>
    <row r="987" spans="1:1" ht="12.75">
      <c r="A987" s="7"/>
    </row>
    <row r="988" spans="1:1" ht="12.75">
      <c r="A988" s="7"/>
    </row>
    <row r="989" spans="1:1" ht="12.75">
      <c r="A989" s="7"/>
    </row>
    <row r="990" spans="1:1" ht="12.75">
      <c r="A990" s="7"/>
    </row>
    <row r="991" spans="1:1" ht="12.75">
      <c r="A991" s="7"/>
    </row>
    <row r="992" spans="1:1" ht="12.75">
      <c r="A992" s="7"/>
    </row>
    <row r="993" spans="1:1" ht="12.75">
      <c r="A993" s="7"/>
    </row>
    <row r="994" spans="1:1" ht="12.75">
      <c r="A994" s="7"/>
    </row>
    <row r="995" spans="1:1" ht="12.75">
      <c r="A995" s="7"/>
    </row>
    <row r="996" spans="1:1" ht="12.75">
      <c r="A996" s="7"/>
    </row>
    <row r="997" spans="1:1" ht="12.75">
      <c r="A997" s="7"/>
    </row>
    <row r="998" spans="1:1" ht="12.75">
      <c r="A998" s="7"/>
    </row>
    <row r="999" spans="1:1" ht="12.75">
      <c r="A999" s="7"/>
    </row>
    <row r="1000" spans="1:1" ht="12.75">
      <c r="A1000" s="7"/>
    </row>
    <row r="1001" spans="1:1" ht="12.75">
      <c r="A1001" s="7"/>
    </row>
    <row r="1002" spans="1:1" ht="12.75">
      <c r="A1002" s="7"/>
    </row>
    <row r="1003" spans="1:1" ht="12.75">
      <c r="A1003" s="7"/>
    </row>
    <row r="1004" spans="1:1" ht="12.75">
      <c r="A1004" s="7"/>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AB1000"/>
  <sheetViews>
    <sheetView topLeftCell="B1" workbookViewId="0">
      <pane ySplit="3" topLeftCell="A4" activePane="bottomLeft" state="frozen"/>
      <selection pane="bottomLeft" activeCell="B5" sqref="B5"/>
    </sheetView>
  </sheetViews>
  <sheetFormatPr defaultColWidth="14.42578125" defaultRowHeight="15.75" customHeight="1"/>
  <cols>
    <col min="1" max="1" width="14.42578125" hidden="1"/>
    <col min="3" max="3" width="22.140625" customWidth="1"/>
    <col min="4" max="4" width="62" customWidth="1"/>
    <col min="5" max="5" width="4.85546875" customWidth="1"/>
    <col min="6" max="7" width="4.7109375" customWidth="1"/>
    <col min="8" max="8" width="14.42578125" hidden="1"/>
    <col min="9" max="9" width="5.42578125" customWidth="1"/>
    <col min="10" max="10" width="4.85546875" customWidth="1"/>
    <col min="11" max="12" width="14.42578125" hidden="1"/>
    <col min="13" max="13" width="6.85546875" customWidth="1"/>
    <col min="14" max="14" width="43.42578125" customWidth="1"/>
    <col min="15" max="19" width="14.42578125" hidden="1"/>
    <col min="21" max="28" width="14.42578125" hidden="1"/>
  </cols>
  <sheetData>
    <row r="1" spans="1:28" ht="51" hidden="1">
      <c r="A1" s="1"/>
      <c r="B1" s="107"/>
      <c r="C1" s="4" t="s">
        <v>9</v>
      </c>
      <c r="D1" s="5"/>
      <c r="E1" s="119"/>
      <c r="F1" s="120"/>
      <c r="G1" s="120"/>
      <c r="H1" s="108" t="s">
        <v>10</v>
      </c>
      <c r="I1" s="108"/>
      <c r="J1" s="108"/>
      <c r="K1" s="109" t="s">
        <v>11</v>
      </c>
      <c r="L1" s="108" t="s">
        <v>12</v>
      </c>
      <c r="M1" s="110"/>
      <c r="N1" s="8"/>
      <c r="O1" s="9"/>
      <c r="P1" s="111"/>
      <c r="Q1" s="10"/>
      <c r="R1" s="112"/>
      <c r="S1" s="11"/>
      <c r="T1" s="12"/>
      <c r="U1" s="13" t="s">
        <v>13</v>
      </c>
      <c r="V1" s="12"/>
      <c r="W1" s="12"/>
      <c r="X1" s="12"/>
      <c r="Y1" s="12"/>
      <c r="Z1" s="12"/>
      <c r="AA1" s="14">
        <v>1</v>
      </c>
      <c r="AB1" s="12"/>
    </row>
    <row r="2" spans="1:28" ht="12.75">
      <c r="A2" s="15" t="s">
        <v>14</v>
      </c>
      <c r="B2" s="16" t="s">
        <v>15</v>
      </c>
      <c r="C2" s="17"/>
      <c r="D2" s="18"/>
      <c r="E2" s="19"/>
      <c r="F2" s="20"/>
      <c r="G2" s="21"/>
      <c r="H2" s="22" t="s">
        <v>16</v>
      </c>
      <c r="I2" s="121" t="s">
        <v>17</v>
      </c>
      <c r="J2" s="122"/>
      <c r="K2" s="33" t="s">
        <v>18</v>
      </c>
      <c r="L2" s="23" t="s">
        <v>19</v>
      </c>
      <c r="M2" s="24" t="s">
        <v>20</v>
      </c>
      <c r="N2" s="25" t="s">
        <v>21</v>
      </c>
      <c r="O2" s="25" t="s">
        <v>22</v>
      </c>
      <c r="P2" s="26" t="s">
        <v>23</v>
      </c>
      <c r="Q2" s="27"/>
      <c r="R2" s="113"/>
      <c r="S2" s="113"/>
      <c r="T2" s="12"/>
      <c r="U2" s="14">
        <v>1</v>
      </c>
      <c r="V2" s="12"/>
      <c r="W2" s="12"/>
      <c r="X2" s="12"/>
      <c r="Y2" s="12"/>
      <c r="Z2" s="12"/>
      <c r="AA2" s="14">
        <v>2</v>
      </c>
      <c r="AB2" s="12"/>
    </row>
    <row r="3" spans="1:28" ht="25.5">
      <c r="A3" s="28" t="s">
        <v>24</v>
      </c>
      <c r="B3" s="16" t="s">
        <v>25</v>
      </c>
      <c r="C3" s="16" t="s">
        <v>26</v>
      </c>
      <c r="D3" s="16" t="s">
        <v>27</v>
      </c>
      <c r="E3" s="29" t="s">
        <v>28</v>
      </c>
      <c r="F3" s="30" t="s">
        <v>28</v>
      </c>
      <c r="G3" s="31" t="s">
        <v>28</v>
      </c>
      <c r="H3" s="32" t="s">
        <v>29</v>
      </c>
      <c r="I3" s="32" t="s">
        <v>30</v>
      </c>
      <c r="J3" s="32" t="s">
        <v>31</v>
      </c>
      <c r="K3" s="33" t="s">
        <v>32</v>
      </c>
      <c r="L3" s="32" t="s">
        <v>33</v>
      </c>
      <c r="M3" s="34"/>
      <c r="N3" s="35"/>
      <c r="O3" s="67"/>
      <c r="P3" s="36" t="str">
        <f>IF(U2=1,"Complex","")</f>
        <v>Complex</v>
      </c>
      <c r="Q3" s="37" t="s">
        <v>34</v>
      </c>
      <c r="R3" s="38" t="s">
        <v>35</v>
      </c>
      <c r="S3" s="38" t="s">
        <v>36</v>
      </c>
      <c r="T3" s="12"/>
      <c r="U3" s="12"/>
      <c r="V3" s="12"/>
      <c r="W3" s="12"/>
      <c r="X3" s="39" t="s">
        <v>37</v>
      </c>
      <c r="Y3" s="12"/>
      <c r="Z3" s="39" t="s">
        <v>38</v>
      </c>
      <c r="AA3" s="40">
        <v>3</v>
      </c>
      <c r="AB3" s="12"/>
    </row>
    <row r="4" spans="1:28" ht="409.5">
      <c r="A4" s="41">
        <v>1</v>
      </c>
      <c r="B4" s="66" t="s">
        <v>39</v>
      </c>
      <c r="C4" s="66" t="s">
        <v>40</v>
      </c>
      <c r="D4" s="42" t="s">
        <v>41</v>
      </c>
      <c r="E4" s="43" t="s">
        <v>42</v>
      </c>
      <c r="F4" s="44" t="s">
        <v>42</v>
      </c>
      <c r="G4" s="45" t="s">
        <v>42</v>
      </c>
      <c r="H4" s="46"/>
      <c r="I4" s="47"/>
      <c r="J4" s="48"/>
      <c r="K4" s="49"/>
      <c r="L4" s="46"/>
      <c r="M4" s="56" t="s">
        <v>43</v>
      </c>
      <c r="N4" s="54" t="e">
        <f>SUBSTITUTE(SUBSTITUTE('VARIABLE Accelerator SCTM'!I4,#REF!,#REF!),#REF!,#REF!)</f>
        <v>#REF!</v>
      </c>
      <c r="O4" s="56">
        <v>2</v>
      </c>
      <c r="P4" s="50" t="e">
        <v>#REF!</v>
      </c>
      <c r="Q4" s="62" t="s">
        <v>44</v>
      </c>
      <c r="R4" s="51" t="s">
        <v>43</v>
      </c>
      <c r="S4" s="51" t="s">
        <v>45</v>
      </c>
      <c r="T4" s="12"/>
      <c r="U4" s="12"/>
      <c r="V4" s="12"/>
      <c r="W4" s="12"/>
      <c r="X4" s="14" t="e">
        <f t="array" ref="X4">IF(OR(AND(#REF!=""),AND(#REF!="-"),OR(NOT(ISERROR(SEARCH("-*",H4:L4))))),0,1)</f>
        <v>#REF!</v>
      </c>
      <c r="Y4" s="12"/>
      <c r="Z4" s="14">
        <f t="array" ref="Z4">IF(AND(E4:G4="-"),0,IF(OR(NOT(ISERROR(SEARCH("+*",H4:L4)))),2,IF(OR(NOT(ISERROR(SEARCH("--*",E4:L4)))),-1,IF(OR(NOT(E4:G4="")),1,0))))</f>
        <v>1</v>
      </c>
      <c r="AA4" s="14">
        <v>4</v>
      </c>
      <c r="AB4" s="52" t="s">
        <v>46</v>
      </c>
    </row>
    <row r="5" spans="1:28" ht="409.5">
      <c r="A5" s="41">
        <v>2</v>
      </c>
      <c r="B5" s="66" t="s">
        <v>47</v>
      </c>
      <c r="C5" s="66" t="s">
        <v>48</v>
      </c>
      <c r="D5" s="66" t="s">
        <v>49</v>
      </c>
      <c r="E5" s="43" t="s">
        <v>42</v>
      </c>
      <c r="F5" s="44" t="s">
        <v>42</v>
      </c>
      <c r="G5" s="53"/>
      <c r="H5" s="46"/>
      <c r="I5" s="47"/>
      <c r="J5" s="48"/>
      <c r="K5" s="49"/>
      <c r="L5" s="46"/>
      <c r="M5" s="56" t="s">
        <v>43</v>
      </c>
      <c r="N5" s="54" t="s">
        <v>50</v>
      </c>
      <c r="O5" s="56">
        <v>2</v>
      </c>
      <c r="P5" s="50" t="e">
        <v>#REF!</v>
      </c>
      <c r="Q5" s="62" t="s">
        <v>44</v>
      </c>
      <c r="R5" s="51" t="s">
        <v>51</v>
      </c>
      <c r="S5" s="51" t="s">
        <v>52</v>
      </c>
      <c r="T5" s="12"/>
      <c r="U5" s="12"/>
      <c r="V5" s="12"/>
      <c r="W5" s="12"/>
      <c r="X5" s="14" t="e">
        <f t="array" ref="X5">IF(OR(AND(#REF!=""),AND(#REF!="-"),OR(NOT(ISERROR(SEARCH("-*",H5:L5))))),0,1)</f>
        <v>#REF!</v>
      </c>
      <c r="Y5" s="12"/>
      <c r="Z5" s="14">
        <f t="array" ref="Z5">IF(AND(E5:G5="-"),0,IF(OR(NOT(ISERROR(SEARCH("+*",H5:L5)))),2,IF(OR(NOT(ISERROR(SEARCH("--*",E5:L5)))),-1,IF(OR(NOT(E5:G5="")),1,0))))</f>
        <v>1</v>
      </c>
      <c r="AA5" s="14">
        <v>5</v>
      </c>
      <c r="AB5" s="12"/>
    </row>
    <row r="6" spans="1:28" ht="38.25">
      <c r="A6" s="41">
        <v>3</v>
      </c>
      <c r="B6" s="66" t="s">
        <v>53</v>
      </c>
      <c r="C6" s="66" t="s">
        <v>54</v>
      </c>
      <c r="D6" s="66" t="s">
        <v>55</v>
      </c>
      <c r="E6" s="43" t="s">
        <v>42</v>
      </c>
      <c r="F6" s="44" t="s">
        <v>42</v>
      </c>
      <c r="G6" s="53"/>
      <c r="H6" s="46"/>
      <c r="I6" s="47"/>
      <c r="J6" s="48"/>
      <c r="K6" s="49"/>
      <c r="L6" s="46"/>
      <c r="M6" s="56" t="s">
        <v>56</v>
      </c>
      <c r="N6" s="54" t="s">
        <v>57</v>
      </c>
      <c r="O6" s="68">
        <v>2</v>
      </c>
      <c r="P6" s="50" t="e">
        <v>#REF!</v>
      </c>
      <c r="Q6" s="62"/>
      <c r="R6" s="51"/>
      <c r="S6" s="51"/>
      <c r="T6" s="12"/>
      <c r="U6" s="12"/>
      <c r="V6" s="12"/>
      <c r="W6" s="12"/>
      <c r="X6" s="14" t="e">
        <f t="array" ref="X6">IF(OR(AND(#REF!=""),AND(#REF!="-"),OR(NOT(ISERROR(SEARCH("-*",H6:L6))))),0,1)</f>
        <v>#REF!</v>
      </c>
      <c r="Y6" s="12"/>
      <c r="Z6" s="14">
        <f t="array" ref="Z6">IF(AND(E6:G6="-"),0,IF(OR(NOT(ISERROR(SEARCH("+*",H6:L6)))),2,IF(OR(NOT(ISERROR(SEARCH("--*",E6:L6)))),-1,IF(OR(NOT(E6:G6="")),1,0))))</f>
        <v>1</v>
      </c>
      <c r="AA6" s="14">
        <v>6</v>
      </c>
      <c r="AB6" s="12"/>
    </row>
    <row r="7" spans="1:28" ht="38.25">
      <c r="A7" s="41">
        <v>4</v>
      </c>
      <c r="B7" s="66" t="s">
        <v>58</v>
      </c>
      <c r="C7" s="66" t="s">
        <v>59</v>
      </c>
      <c r="D7" s="54" t="s">
        <v>60</v>
      </c>
      <c r="E7" s="43" t="s">
        <v>42</v>
      </c>
      <c r="F7" s="44" t="s">
        <v>42</v>
      </c>
      <c r="G7" s="53"/>
      <c r="H7" s="46"/>
      <c r="I7" s="47"/>
      <c r="J7" s="48"/>
      <c r="K7" s="49"/>
      <c r="L7" s="46"/>
      <c r="M7" s="56" t="s">
        <v>43</v>
      </c>
      <c r="N7" s="54" t="s">
        <v>61</v>
      </c>
      <c r="O7" s="56">
        <v>0</v>
      </c>
      <c r="P7" s="50" t="e">
        <v>#REF!</v>
      </c>
      <c r="Q7" s="62" t="s">
        <v>62</v>
      </c>
      <c r="R7" s="51"/>
      <c r="S7" s="51"/>
      <c r="T7" s="12"/>
      <c r="U7" s="12"/>
      <c r="V7" s="12"/>
      <c r="W7" s="12"/>
      <c r="X7" s="14" t="e">
        <f t="array" ref="X7">IF(OR(AND(#REF!=""),AND(#REF!="-"),OR(NOT(ISERROR(SEARCH("-*",H7:L7))))),0,1)</f>
        <v>#REF!</v>
      </c>
      <c r="Y7" s="12"/>
      <c r="Z7" s="14">
        <f t="array" ref="Z7">IF(AND(E7:G7="-"),0,IF(OR(NOT(ISERROR(SEARCH("+*",H7:L7)))),2,IF(OR(NOT(ISERROR(SEARCH("--*",E7:L7)))),-1,IF(OR(NOT(E7:G7="")),1,0))))</f>
        <v>1</v>
      </c>
      <c r="AA7" s="14">
        <v>7</v>
      </c>
      <c r="AB7" s="12"/>
    </row>
    <row r="8" spans="1:28" ht="25.5">
      <c r="A8" s="41">
        <v>5</v>
      </c>
      <c r="B8" s="66" t="s">
        <v>63</v>
      </c>
      <c r="C8" s="66" t="s">
        <v>64</v>
      </c>
      <c r="D8" s="54" t="s">
        <v>65</v>
      </c>
      <c r="E8" s="43" t="s">
        <v>42</v>
      </c>
      <c r="F8" s="44" t="s">
        <v>42</v>
      </c>
      <c r="G8" s="53"/>
      <c r="H8" s="46"/>
      <c r="I8" s="47"/>
      <c r="J8" s="48"/>
      <c r="K8" s="49"/>
      <c r="L8" s="46"/>
      <c r="M8" s="56" t="s">
        <v>43</v>
      </c>
      <c r="N8" s="54" t="s">
        <v>66</v>
      </c>
      <c r="O8" s="68">
        <v>1</v>
      </c>
      <c r="P8" s="50" t="e">
        <v>#REF!</v>
      </c>
      <c r="Q8" s="62" t="s">
        <v>62</v>
      </c>
      <c r="R8" s="51"/>
      <c r="S8" s="51"/>
      <c r="T8" s="12"/>
      <c r="U8" s="12"/>
      <c r="V8" s="12"/>
      <c r="W8" s="12"/>
      <c r="X8" s="14" t="e">
        <f t="array" ref="X8">IF(OR(AND(#REF!=""),AND(#REF!="-"),OR(NOT(ISERROR(SEARCH("-*",H8:L8))))),0,1)</f>
        <v>#REF!</v>
      </c>
      <c r="Y8" s="12"/>
      <c r="Z8" s="14">
        <f t="array" ref="Z8">IF(AND(E8:G8="-"),0,IF(OR(NOT(ISERROR(SEARCH("+*",H8:L8)))),2,IF(OR(NOT(ISERROR(SEARCH("--*",E8:L8)))),-1,IF(OR(NOT(E8:G8="")),1,0))))</f>
        <v>1</v>
      </c>
      <c r="AA8" s="14">
        <v>8</v>
      </c>
      <c r="AB8" s="12"/>
    </row>
    <row r="9" spans="1:28" ht="25.5">
      <c r="A9" s="41">
        <v>6</v>
      </c>
      <c r="B9" s="66" t="s">
        <v>67</v>
      </c>
      <c r="C9" s="66" t="s">
        <v>68</v>
      </c>
      <c r="D9" s="42" t="s">
        <v>69</v>
      </c>
      <c r="E9" s="43" t="s">
        <v>42</v>
      </c>
      <c r="F9" s="44" t="s">
        <v>42</v>
      </c>
      <c r="G9" s="53"/>
      <c r="H9" s="46"/>
      <c r="I9" s="47"/>
      <c r="J9" s="48"/>
      <c r="K9" s="49"/>
      <c r="L9" s="46"/>
      <c r="M9" s="56" t="s">
        <v>56</v>
      </c>
      <c r="N9" s="54" t="s">
        <v>70</v>
      </c>
      <c r="O9" s="68">
        <v>1</v>
      </c>
      <c r="P9" s="50" t="e">
        <v>#REF!</v>
      </c>
      <c r="Q9" s="62"/>
      <c r="R9" s="51"/>
      <c r="S9" s="51"/>
      <c r="T9" s="12"/>
      <c r="U9" s="12"/>
      <c r="V9" s="12"/>
      <c r="W9" s="12"/>
      <c r="X9" s="14" t="e">
        <f t="array" ref="X9">IF(OR(AND(#REF!=""),AND(#REF!="-"),OR(NOT(ISERROR(SEARCH("-*",H9:L9))))),0,1)</f>
        <v>#REF!</v>
      </c>
      <c r="Y9" s="12"/>
      <c r="Z9" s="14">
        <f t="array" ref="Z9">IF(AND(E9:G9="-"),0,IF(OR(NOT(ISERROR(SEARCH("+*",H9:L9)))),2,IF(OR(NOT(ISERROR(SEARCH("--*",E9:L9)))),-1,IF(OR(NOT(E9:G9="")),1,0))))</f>
        <v>1</v>
      </c>
      <c r="AA9" s="14">
        <v>9</v>
      </c>
      <c r="AB9" s="12"/>
    </row>
    <row r="10" spans="1:28" ht="102">
      <c r="A10" s="41">
        <v>7</v>
      </c>
      <c r="B10" s="66" t="s">
        <v>71</v>
      </c>
      <c r="C10" s="66" t="s">
        <v>72</v>
      </c>
      <c r="D10" s="54" t="s">
        <v>73</v>
      </c>
      <c r="E10" s="43" t="s">
        <v>74</v>
      </c>
      <c r="F10" s="44" t="s">
        <v>74</v>
      </c>
      <c r="G10" s="53" t="s">
        <v>74</v>
      </c>
      <c r="H10" s="46"/>
      <c r="I10" s="47"/>
      <c r="J10" s="48"/>
      <c r="K10" s="49"/>
      <c r="L10" s="46"/>
      <c r="M10" s="56" t="s">
        <v>43</v>
      </c>
      <c r="N10" s="54" t="s">
        <v>75</v>
      </c>
      <c r="O10" s="56">
        <v>1</v>
      </c>
      <c r="P10" s="50" t="e">
        <v>#REF!</v>
      </c>
      <c r="Q10" s="62" t="s">
        <v>62</v>
      </c>
      <c r="R10" s="51" t="s">
        <v>51</v>
      </c>
      <c r="S10" s="51" t="s">
        <v>76</v>
      </c>
      <c r="T10" s="12"/>
      <c r="U10" s="12"/>
      <c r="V10" s="12"/>
      <c r="W10" s="12"/>
      <c r="X10" s="14" t="e">
        <f t="array" ref="X10">IF(OR(AND(#REF!=""),AND(#REF!="-"),OR(NOT(ISERROR(SEARCH("-*",H10:L10))))),0,1)</f>
        <v>#REF!</v>
      </c>
      <c r="Y10" s="12"/>
      <c r="Z10" s="14">
        <f t="array" ref="Z10">IF(AND(E10:G10="-"),0,IF(OR(NOT(ISERROR(SEARCH("+*",H10:L10)))),2,IF(OR(NOT(ISERROR(SEARCH("--*",E10:L10)))),-1,IF(OR(NOT(E10:G10="")),1,0))))</f>
        <v>1</v>
      </c>
      <c r="AA10" s="14">
        <v>10</v>
      </c>
      <c r="AB10" s="12"/>
    </row>
    <row r="11" spans="1:28" ht="102">
      <c r="A11" s="41">
        <v>9</v>
      </c>
      <c r="B11" s="66" t="s">
        <v>77</v>
      </c>
      <c r="C11" s="66" t="s">
        <v>78</v>
      </c>
      <c r="D11" s="66" t="s">
        <v>79</v>
      </c>
      <c r="E11" s="43" t="s">
        <v>74</v>
      </c>
      <c r="F11" s="44" t="s">
        <v>74</v>
      </c>
      <c r="G11" s="53"/>
      <c r="H11" s="46"/>
      <c r="I11" s="47"/>
      <c r="J11" s="48"/>
      <c r="K11" s="49"/>
      <c r="L11" s="46"/>
      <c r="M11" s="56" t="s">
        <v>43</v>
      </c>
      <c r="N11" s="54" t="s">
        <v>80</v>
      </c>
      <c r="O11" s="56">
        <v>2</v>
      </c>
      <c r="P11" s="50" t="e">
        <v>#REF!</v>
      </c>
      <c r="Q11" s="62" t="s">
        <v>44</v>
      </c>
      <c r="R11" s="51"/>
      <c r="S11" s="51"/>
      <c r="T11" s="12"/>
      <c r="U11" s="12"/>
      <c r="V11" s="12"/>
      <c r="W11" s="12"/>
      <c r="X11" s="14" t="e">
        <f t="array" ref="X11">IF(OR(AND(#REF!=""),AND(#REF!="-"),OR(NOT(ISERROR(SEARCH("-*",H11:L11))))),0,1)</f>
        <v>#REF!</v>
      </c>
      <c r="Y11" s="12"/>
      <c r="Z11" s="14">
        <f t="array" ref="Z11">IF(AND(E11:G11="-"),0,IF(OR(NOT(ISERROR(SEARCH("+*",H11:L11)))),2,IF(OR(NOT(ISERROR(SEARCH("--*",E11:L11)))),-1,IF(OR(NOT(E11:G11="")),1,0))))</f>
        <v>1</v>
      </c>
      <c r="AA11" s="14">
        <v>12</v>
      </c>
      <c r="AB11" s="12"/>
    </row>
    <row r="12" spans="1:28" ht="38.25">
      <c r="A12" s="41">
        <v>11</v>
      </c>
      <c r="B12" s="66" t="s">
        <v>81</v>
      </c>
      <c r="C12" s="66" t="s">
        <v>82</v>
      </c>
      <c r="D12" s="42" t="s">
        <v>83</v>
      </c>
      <c r="E12" s="43" t="s">
        <v>74</v>
      </c>
      <c r="F12" s="44" t="s">
        <v>74</v>
      </c>
      <c r="G12" s="53"/>
      <c r="H12" s="46"/>
      <c r="I12" s="47"/>
      <c r="J12" s="48"/>
      <c r="K12" s="49"/>
      <c r="L12" s="46"/>
      <c r="M12" s="56" t="s">
        <v>84</v>
      </c>
      <c r="N12" s="54" t="s">
        <v>85</v>
      </c>
      <c r="O12" s="56">
        <v>0</v>
      </c>
      <c r="P12" s="50" t="e">
        <v>#REF!</v>
      </c>
      <c r="Q12" s="62" t="s">
        <v>86</v>
      </c>
      <c r="R12" s="51"/>
      <c r="S12" s="51"/>
      <c r="T12" s="12"/>
      <c r="U12" s="12"/>
      <c r="V12" s="12"/>
      <c r="W12" s="12"/>
      <c r="X12" s="14" t="e">
        <f t="array" ref="X12">IF(OR(AND(#REF!=""),AND(#REF!="-"),OR(NOT(ISERROR(SEARCH("-*",H12:L12))))),0,1)</f>
        <v>#REF!</v>
      </c>
      <c r="Y12" s="12"/>
      <c r="Z12" s="14">
        <f t="array" ref="Z12">IF(AND(E12:G12="-"),0,IF(OR(NOT(ISERROR(SEARCH("+*",H12:L12)))),2,IF(OR(NOT(ISERROR(SEARCH("--*",E12:L12)))),-1,IF(OR(NOT(E12:G12="")),1,0))))</f>
        <v>1</v>
      </c>
      <c r="AA12" s="14">
        <v>14</v>
      </c>
      <c r="AB12" s="12"/>
    </row>
    <row r="13" spans="1:28" ht="38.25">
      <c r="A13" s="41">
        <v>12</v>
      </c>
      <c r="B13" s="66" t="s">
        <v>87</v>
      </c>
      <c r="C13" s="66" t="s">
        <v>88</v>
      </c>
      <c r="D13" s="66" t="s">
        <v>89</v>
      </c>
      <c r="E13" s="43" t="s">
        <v>74</v>
      </c>
      <c r="F13" s="44" t="s">
        <v>74</v>
      </c>
      <c r="G13" s="53"/>
      <c r="H13" s="46"/>
      <c r="I13" s="47"/>
      <c r="J13" s="48"/>
      <c r="K13" s="49"/>
      <c r="L13" s="46"/>
      <c r="M13" s="56" t="s">
        <v>84</v>
      </c>
      <c r="N13" s="54" t="s">
        <v>85</v>
      </c>
      <c r="O13" s="56">
        <v>0</v>
      </c>
      <c r="P13" s="50" t="e">
        <v>#REF!</v>
      </c>
      <c r="Q13" s="62" t="s">
        <v>86</v>
      </c>
      <c r="R13" s="51"/>
      <c r="S13" s="51"/>
      <c r="T13" s="12"/>
      <c r="U13" s="12"/>
      <c r="V13" s="12"/>
      <c r="W13" s="12"/>
      <c r="X13" s="14" t="e">
        <f t="array" ref="X13">IF(OR(AND(#REF!=""),AND(#REF!="-"),OR(NOT(ISERROR(SEARCH("-*",H13:L13))))),0,1)</f>
        <v>#REF!</v>
      </c>
      <c r="Y13" s="12"/>
      <c r="Z13" s="14">
        <f t="array" ref="Z13">IF(AND(E13:G13="-"),0,IF(OR(NOT(ISERROR(SEARCH("+*",H13:L13)))),2,IF(OR(NOT(ISERROR(SEARCH("--*",E13:L13)))),-1,IF(OR(NOT(E13:G13="")),1,0))))</f>
        <v>1</v>
      </c>
      <c r="AA13" s="14">
        <v>15</v>
      </c>
      <c r="AB13" s="12"/>
    </row>
    <row r="14" spans="1:28" ht="114.75">
      <c r="A14" s="41">
        <v>14</v>
      </c>
      <c r="B14" s="66" t="s">
        <v>90</v>
      </c>
      <c r="C14" s="66" t="s">
        <v>91</v>
      </c>
      <c r="D14" s="42" t="s">
        <v>92</v>
      </c>
      <c r="E14" s="43" t="s">
        <v>74</v>
      </c>
      <c r="F14" s="44" t="s">
        <v>74</v>
      </c>
      <c r="G14" s="53"/>
      <c r="H14" s="46"/>
      <c r="I14" s="47"/>
      <c r="J14" s="48"/>
      <c r="K14" s="49"/>
      <c r="L14" s="46"/>
      <c r="M14" s="56" t="s">
        <v>43</v>
      </c>
      <c r="N14" s="54" t="s">
        <v>93</v>
      </c>
      <c r="O14" s="56">
        <v>2</v>
      </c>
      <c r="P14" s="50" t="e">
        <v>#REF!</v>
      </c>
      <c r="Q14" s="62"/>
      <c r="R14" s="51"/>
      <c r="S14" s="51"/>
      <c r="T14" s="12"/>
      <c r="U14" s="12"/>
      <c r="V14" s="12"/>
      <c r="W14" s="12"/>
      <c r="X14" s="14" t="e">
        <f t="array" ref="X14">IF(OR(AND(#REF!=""),AND(#REF!="-"),OR(NOT(ISERROR(SEARCH("-*",H14:L14))))),0,1)</f>
        <v>#REF!</v>
      </c>
      <c r="Y14" s="12"/>
      <c r="Z14" s="14">
        <f t="array" ref="Z14">IF(AND(E14:G14="-"),0,IF(OR(NOT(ISERROR(SEARCH("+*",H14:L14)))),2,IF(OR(NOT(ISERROR(SEARCH("--*",E14:L14)))),-1,IF(OR(NOT(E14:G14="")),1,0))))</f>
        <v>1</v>
      </c>
      <c r="AA14" s="14">
        <v>17</v>
      </c>
      <c r="AB14" s="12"/>
    </row>
    <row r="15" spans="1:28" ht="153">
      <c r="A15" s="41">
        <v>15</v>
      </c>
      <c r="B15" s="66" t="s">
        <v>94</v>
      </c>
      <c r="C15" s="66" t="s">
        <v>95</v>
      </c>
      <c r="D15" s="54" t="s">
        <v>96</v>
      </c>
      <c r="E15" s="43" t="s">
        <v>74</v>
      </c>
      <c r="F15" s="44" t="s">
        <v>74</v>
      </c>
      <c r="G15" s="53"/>
      <c r="H15" s="46"/>
      <c r="I15" s="47"/>
      <c r="J15" s="48"/>
      <c r="K15" s="49"/>
      <c r="L15" s="46"/>
      <c r="M15" s="56" t="s">
        <v>43</v>
      </c>
      <c r="N15" s="54" t="s">
        <v>97</v>
      </c>
      <c r="O15" s="56">
        <v>1</v>
      </c>
      <c r="P15" s="50" t="e">
        <v>#REF!</v>
      </c>
      <c r="Q15" s="62" t="s">
        <v>44</v>
      </c>
      <c r="R15" s="51" t="s">
        <v>43</v>
      </c>
      <c r="S15" s="51" t="s">
        <v>98</v>
      </c>
      <c r="T15" s="12"/>
      <c r="U15" s="12"/>
      <c r="V15" s="12"/>
      <c r="W15" s="12"/>
      <c r="X15" s="14" t="e">
        <f t="array" ref="X15">IF(OR(AND(#REF!=""),AND(#REF!="-"),OR(NOT(ISERROR(SEARCH("-*",H15:L15))))),0,1)</f>
        <v>#REF!</v>
      </c>
      <c r="Y15" s="12"/>
      <c r="Z15" s="14">
        <f t="array" ref="Z15">IF(AND(E15:G15="-"),0,IF(OR(NOT(ISERROR(SEARCH("+*",H15:L15)))),2,IF(OR(NOT(ISERROR(SEARCH("--*",E15:L15)))),-1,IF(OR(NOT(E15:G15="")),1,0))))</f>
        <v>1</v>
      </c>
      <c r="AA15" s="14">
        <v>18</v>
      </c>
      <c r="AB15" s="12"/>
    </row>
    <row r="16" spans="1:28" ht="38.25">
      <c r="A16" s="41">
        <v>16</v>
      </c>
      <c r="B16" s="66" t="s">
        <v>99</v>
      </c>
      <c r="C16" s="66" t="s">
        <v>100</v>
      </c>
      <c r="D16" s="66" t="s">
        <v>101</v>
      </c>
      <c r="E16" s="43" t="s">
        <v>42</v>
      </c>
      <c r="F16" s="44" t="s">
        <v>42</v>
      </c>
      <c r="G16" s="53"/>
      <c r="H16" s="46"/>
      <c r="I16" s="47"/>
      <c r="J16" s="48"/>
      <c r="K16" s="49"/>
      <c r="L16" s="46"/>
      <c r="M16" s="56" t="s">
        <v>43</v>
      </c>
      <c r="N16" s="54" t="s">
        <v>102</v>
      </c>
      <c r="O16" s="56">
        <v>1</v>
      </c>
      <c r="P16" s="50" t="e">
        <v>#REF!</v>
      </c>
      <c r="Q16" s="62" t="s">
        <v>86</v>
      </c>
      <c r="R16" s="51"/>
      <c r="S16" s="51"/>
      <c r="T16" s="12"/>
      <c r="U16" s="12"/>
      <c r="V16" s="12"/>
      <c r="W16" s="12"/>
      <c r="X16" s="14" t="e">
        <f t="array" ref="X16">IF(OR(AND(#REF!=""),AND(#REF!="-"),OR(NOT(ISERROR(SEARCH("-*",H16:L16))))),0,1)</f>
        <v>#REF!</v>
      </c>
      <c r="Y16" s="12"/>
      <c r="Z16" s="14">
        <f t="array" ref="Z16">IF(AND(E16:G16="-"),0,IF(OR(NOT(ISERROR(SEARCH("+*",H16:L16)))),2,IF(OR(NOT(ISERROR(SEARCH("--*",E16:L16)))),-1,IF(OR(NOT(E16:G16="")),1,0))))</f>
        <v>1</v>
      </c>
      <c r="AA16" s="14">
        <v>19</v>
      </c>
      <c r="AB16" s="12"/>
    </row>
    <row r="17" spans="1:28" ht="51">
      <c r="A17" s="41">
        <v>17</v>
      </c>
      <c r="B17" s="66" t="s">
        <v>103</v>
      </c>
      <c r="C17" s="66" t="s">
        <v>104</v>
      </c>
      <c r="D17" s="54" t="s">
        <v>105</v>
      </c>
      <c r="E17" s="43"/>
      <c r="F17" s="57"/>
      <c r="G17" s="53"/>
      <c r="H17" s="46"/>
      <c r="I17" s="58" t="s">
        <v>106</v>
      </c>
      <c r="J17" s="48"/>
      <c r="K17" s="59" t="s">
        <v>106</v>
      </c>
      <c r="L17" s="46"/>
      <c r="M17" s="56" t="s">
        <v>84</v>
      </c>
      <c r="N17" s="54" t="s">
        <v>107</v>
      </c>
      <c r="O17" s="56">
        <v>0</v>
      </c>
      <c r="P17" s="50" t="e">
        <v>#REF!</v>
      </c>
      <c r="Q17" s="62" t="s">
        <v>44</v>
      </c>
      <c r="R17" s="51"/>
      <c r="S17" s="51"/>
      <c r="T17" s="12"/>
      <c r="U17" s="12"/>
      <c r="V17" s="12"/>
      <c r="W17" s="12"/>
      <c r="X17" s="14" t="e">
        <f t="array" ref="X17">IF(OR(AND(#REF!=""),AND(#REF!="-"),OR(NOT(ISERROR(SEARCH("-*",H17:L17))))),0,1)</f>
        <v>#REF!</v>
      </c>
      <c r="Y17" s="12"/>
      <c r="Z17" s="14">
        <f t="array" ref="Z17">IF(AND(E17:G17="-"),0,IF(OR(NOT(ISERROR(SEARCH("+*",H17:L17)))),2,IF(OR(NOT(ISERROR(SEARCH("--*",E17:L17)))),-1,IF(OR(NOT(E17:G17="")),1,0))))</f>
        <v>2</v>
      </c>
      <c r="AA17" s="14">
        <v>21</v>
      </c>
      <c r="AB17" s="12"/>
    </row>
    <row r="18" spans="1:28" ht="140.25">
      <c r="A18" s="41">
        <v>19</v>
      </c>
      <c r="B18" s="66" t="s">
        <v>108</v>
      </c>
      <c r="C18" s="66" t="s">
        <v>109</v>
      </c>
      <c r="D18" s="42" t="s">
        <v>110</v>
      </c>
      <c r="E18" s="43" t="s">
        <v>74</v>
      </c>
      <c r="F18" s="44" t="s">
        <v>74</v>
      </c>
      <c r="G18" s="53"/>
      <c r="H18" s="46"/>
      <c r="I18" s="58" t="s">
        <v>111</v>
      </c>
      <c r="J18" s="48"/>
      <c r="K18" s="59" t="s">
        <v>111</v>
      </c>
      <c r="L18" s="46"/>
      <c r="M18" s="56" t="s">
        <v>43</v>
      </c>
      <c r="N18" s="54" t="s">
        <v>112</v>
      </c>
      <c r="O18" s="56">
        <v>2</v>
      </c>
      <c r="P18" s="50" t="e">
        <v>#REF!</v>
      </c>
      <c r="Q18" s="62" t="s">
        <v>86</v>
      </c>
      <c r="R18" s="51"/>
      <c r="S18" s="51"/>
      <c r="T18" s="12"/>
      <c r="U18" s="12"/>
      <c r="V18" s="12"/>
      <c r="W18" s="12"/>
      <c r="X18" s="14" t="e">
        <f t="array" ref="X18">IF(OR(AND(#REF!=""),AND(#REF!="-"),OR(NOT(ISERROR(SEARCH("-*",H18:L18))))),0,1)</f>
        <v>#REF!</v>
      </c>
      <c r="Y18" s="12"/>
      <c r="Z18" s="14">
        <f t="array" ref="Z18">IF(AND(E18:G18="-"),0,IF(OR(NOT(ISERROR(SEARCH("+*",H18:L18)))),2,IF(OR(NOT(ISERROR(SEARCH("--*",E18:L18)))),-1,IF(OR(NOT(E18:G18="")),1,0))))</f>
        <v>2</v>
      </c>
      <c r="AA18" s="14">
        <v>23</v>
      </c>
      <c r="AB18" s="12"/>
    </row>
    <row r="19" spans="1:28" ht="51">
      <c r="A19" s="41">
        <v>22</v>
      </c>
      <c r="B19" s="66" t="s">
        <v>113</v>
      </c>
      <c r="C19" s="66" t="s">
        <v>114</v>
      </c>
      <c r="D19" s="66" t="s">
        <v>115</v>
      </c>
      <c r="E19" s="43"/>
      <c r="F19" s="44"/>
      <c r="G19" s="53"/>
      <c r="H19" s="46"/>
      <c r="I19" s="47"/>
      <c r="J19" s="60" t="s">
        <v>74</v>
      </c>
      <c r="K19" s="61"/>
      <c r="L19" s="46"/>
      <c r="M19" s="56" t="s">
        <v>43</v>
      </c>
      <c r="N19" s="54" t="s">
        <v>116</v>
      </c>
      <c r="O19" s="56">
        <v>1</v>
      </c>
      <c r="P19" s="50" t="e">
        <v>#REF!</v>
      </c>
      <c r="Q19" s="62"/>
      <c r="R19" s="51"/>
      <c r="S19" s="51"/>
      <c r="T19" s="12"/>
      <c r="U19" s="12"/>
      <c r="V19" s="12"/>
      <c r="W19" s="12"/>
      <c r="X19" s="14" t="e">
        <f t="array" ref="X19">IF(OR(AND(#REF!=""),AND(#REF!="-"),OR(NOT(ISERROR(SEARCH("-*",H19:L19))))),0,1)</f>
        <v>#REF!</v>
      </c>
      <c r="Y19" s="12"/>
      <c r="Z19" s="14">
        <f t="array" ref="Z19">IF(AND(E19:G19="-"),0,IF(OR(NOT(ISERROR(SEARCH("+*",H19:L19)))),2,IF(OR(NOT(ISERROR(SEARCH("--*",E19:L19)))),-1,IF(OR(NOT(E19:G19="")),1,0))))</f>
        <v>2</v>
      </c>
      <c r="AA19" s="14">
        <v>27</v>
      </c>
      <c r="AB19" s="12"/>
    </row>
    <row r="20" spans="1:28" ht="344.25">
      <c r="A20" s="41">
        <v>25</v>
      </c>
      <c r="B20" s="66" t="s">
        <v>117</v>
      </c>
      <c r="C20" s="66" t="s">
        <v>118</v>
      </c>
      <c r="D20" s="42" t="s">
        <v>119</v>
      </c>
      <c r="E20" s="43" t="s">
        <v>42</v>
      </c>
      <c r="F20" s="44" t="s">
        <v>42</v>
      </c>
      <c r="G20" s="53"/>
      <c r="H20" s="46"/>
      <c r="I20" s="47"/>
      <c r="J20" s="48"/>
      <c r="K20" s="49"/>
      <c r="L20" s="46"/>
      <c r="M20" s="56" t="s">
        <v>43</v>
      </c>
      <c r="N20" s="54" t="s">
        <v>120</v>
      </c>
      <c r="O20" s="56">
        <v>2</v>
      </c>
      <c r="P20" s="50" t="e">
        <v>#REF!</v>
      </c>
      <c r="Q20" s="62" t="s">
        <v>86</v>
      </c>
      <c r="R20" s="51" t="s">
        <v>43</v>
      </c>
      <c r="S20" s="51" t="s">
        <v>121</v>
      </c>
      <c r="T20" s="12"/>
      <c r="U20" s="12"/>
      <c r="V20" s="12"/>
      <c r="W20" s="12"/>
      <c r="X20" s="14" t="e">
        <f t="array" ref="X20">IF(OR(AND(#REF!=""),AND(#REF!="-"),OR(NOT(ISERROR(SEARCH("-*",H20:L20))))),0,1)</f>
        <v>#REF!</v>
      </c>
      <c r="Y20" s="12"/>
      <c r="Z20" s="14">
        <f t="array" ref="Z20">IF(AND(E20:G20="-"),0,IF(OR(NOT(ISERROR(SEARCH("+*",H20:L20)))),2,IF(OR(NOT(ISERROR(SEARCH("--*",E20:L20)))),-1,IF(OR(NOT(E20:G20="")),1,0))))</f>
        <v>1</v>
      </c>
      <c r="AA20" s="14">
        <v>30</v>
      </c>
      <c r="AB20" s="12"/>
    </row>
    <row r="21" spans="1:28" ht="114.75">
      <c r="A21" s="41">
        <v>47</v>
      </c>
      <c r="B21" s="66" t="s">
        <v>122</v>
      </c>
      <c r="C21" s="66" t="s">
        <v>123</v>
      </c>
      <c r="D21" s="66" t="s">
        <v>124</v>
      </c>
      <c r="E21" s="43" t="s">
        <v>42</v>
      </c>
      <c r="F21" s="44" t="s">
        <v>42</v>
      </c>
      <c r="G21" s="53"/>
      <c r="H21" s="46"/>
      <c r="I21" s="47" t="s">
        <v>125</v>
      </c>
      <c r="J21" s="48"/>
      <c r="K21" s="59" t="s">
        <v>125</v>
      </c>
      <c r="L21" s="46"/>
      <c r="M21" s="56" t="s">
        <v>43</v>
      </c>
      <c r="N21" s="54" t="s">
        <v>126</v>
      </c>
      <c r="O21" s="56">
        <v>2</v>
      </c>
      <c r="P21" s="50" t="e">
        <v>#REF!</v>
      </c>
      <c r="Q21" s="62" t="s">
        <v>44</v>
      </c>
      <c r="R21" s="51"/>
      <c r="S21" s="51"/>
      <c r="T21" s="12"/>
      <c r="U21" s="12"/>
      <c r="V21" s="12"/>
      <c r="W21" s="12"/>
      <c r="X21" s="14" t="e">
        <f t="array" ref="X21">IF(OR(AND(#REF!=""),AND(#REF!="-"),OR(NOT(ISERROR(SEARCH("-*",H21:L21))))),0,1)</f>
        <v>#REF!</v>
      </c>
      <c r="Y21" s="12"/>
      <c r="Z21" s="14">
        <f t="array" ref="Z21">IF(AND(E21:G21="-"),0,IF(OR(NOT(ISERROR(SEARCH("+*",H21:L21)))),2,IF(OR(NOT(ISERROR(SEARCH("--*",E21:L21)))),-1,IF(OR(NOT(E21:G21="")),1,0))))</f>
        <v>2</v>
      </c>
      <c r="AA21" s="14">
        <v>53</v>
      </c>
      <c r="AB21" s="12"/>
    </row>
    <row r="22" spans="1:28" ht="51">
      <c r="A22" s="41">
        <v>48</v>
      </c>
      <c r="B22" s="66" t="s">
        <v>127</v>
      </c>
      <c r="C22" s="66" t="s">
        <v>128</v>
      </c>
      <c r="D22" s="66" t="s">
        <v>129</v>
      </c>
      <c r="E22" s="43" t="s">
        <v>42</v>
      </c>
      <c r="F22" s="44" t="s">
        <v>42</v>
      </c>
      <c r="G22" s="53"/>
      <c r="H22" s="46"/>
      <c r="I22" s="47" t="s">
        <v>111</v>
      </c>
      <c r="J22" s="48"/>
      <c r="K22" s="59" t="s">
        <v>111</v>
      </c>
      <c r="L22" s="46"/>
      <c r="M22" s="56" t="s">
        <v>43</v>
      </c>
      <c r="N22" s="54" t="s">
        <v>130</v>
      </c>
      <c r="O22" s="56">
        <v>1</v>
      </c>
      <c r="P22" s="50" t="e">
        <v>#REF!</v>
      </c>
      <c r="Q22" s="62" t="s">
        <v>86</v>
      </c>
      <c r="R22" s="51"/>
      <c r="S22" s="51"/>
      <c r="T22" s="12"/>
      <c r="U22" s="12"/>
      <c r="V22" s="12"/>
      <c r="W22" s="12"/>
      <c r="X22" s="14" t="e">
        <f t="array" ref="X22">IF(OR(AND(#REF!=""),AND(#REF!="-"),OR(NOT(ISERROR(SEARCH("-*",H22:L22))))),0,1)</f>
        <v>#REF!</v>
      </c>
      <c r="Y22" s="12"/>
      <c r="Z22" s="14">
        <f t="array" ref="Z22">IF(AND(E22:G22="-"),0,IF(OR(NOT(ISERROR(SEARCH("+*",H22:L22)))),2,IF(OR(NOT(ISERROR(SEARCH("--*",E22:L22)))),-1,IF(OR(NOT(E22:G22="")),1,0))))</f>
        <v>2</v>
      </c>
      <c r="AA22" s="14">
        <v>54</v>
      </c>
      <c r="AB22" s="12"/>
    </row>
    <row r="23" spans="1:28" ht="267.75">
      <c r="A23" s="41">
        <v>49</v>
      </c>
      <c r="B23" s="66" t="s">
        <v>131</v>
      </c>
      <c r="C23" s="66" t="s">
        <v>132</v>
      </c>
      <c r="D23" s="42" t="s">
        <v>133</v>
      </c>
      <c r="E23" s="43" t="s">
        <v>42</v>
      </c>
      <c r="F23" s="44" t="s">
        <v>42</v>
      </c>
      <c r="G23" s="53"/>
      <c r="H23" s="46"/>
      <c r="I23" s="47"/>
      <c r="J23" s="48"/>
      <c r="K23" s="49"/>
      <c r="L23" s="46"/>
      <c r="M23" s="56" t="s">
        <v>43</v>
      </c>
      <c r="N23" s="54" t="s">
        <v>134</v>
      </c>
      <c r="O23" s="56">
        <v>2</v>
      </c>
      <c r="P23" s="50" t="e">
        <v>#REF!</v>
      </c>
      <c r="Q23" s="62" t="s">
        <v>86</v>
      </c>
      <c r="R23" s="51" t="s">
        <v>43</v>
      </c>
      <c r="S23" s="51" t="s">
        <v>135</v>
      </c>
      <c r="T23" s="12"/>
      <c r="U23" s="12"/>
      <c r="V23" s="12"/>
      <c r="W23" s="12"/>
      <c r="X23" s="14" t="e">
        <f t="array" ref="X23">IF(OR(AND(#REF!=""),AND(#REF!="-"),OR(NOT(ISERROR(SEARCH("-*",H23:L23))))),0,1)</f>
        <v>#REF!</v>
      </c>
      <c r="Y23" s="12"/>
      <c r="Z23" s="14">
        <f t="array" ref="Z23">IF(AND(E23:G23="-"),0,IF(OR(NOT(ISERROR(SEARCH("+*",H23:L23)))),2,IF(OR(NOT(ISERROR(SEARCH("--*",E23:L23)))),-1,IF(OR(NOT(E23:G23="")),1,0))))</f>
        <v>1</v>
      </c>
      <c r="AA23" s="14">
        <v>55</v>
      </c>
      <c r="AB23" s="12"/>
    </row>
    <row r="24" spans="1:28" ht="51">
      <c r="A24" s="41">
        <v>50</v>
      </c>
      <c r="B24" s="66" t="s">
        <v>136</v>
      </c>
      <c r="C24" s="66" t="s">
        <v>137</v>
      </c>
      <c r="D24" s="54" t="s">
        <v>138</v>
      </c>
      <c r="E24" s="43" t="s">
        <v>42</v>
      </c>
      <c r="F24" s="44" t="s">
        <v>42</v>
      </c>
      <c r="G24" s="53"/>
      <c r="H24" s="46"/>
      <c r="I24" s="47"/>
      <c r="J24" s="48"/>
      <c r="K24" s="49"/>
      <c r="L24" s="46"/>
      <c r="M24" s="56" t="s">
        <v>43</v>
      </c>
      <c r="N24" s="54" t="s">
        <v>134</v>
      </c>
      <c r="O24" s="56">
        <v>1</v>
      </c>
      <c r="P24" s="50" t="e">
        <v>#REF!</v>
      </c>
      <c r="Q24" s="62" t="s">
        <v>62</v>
      </c>
      <c r="R24" s="51"/>
      <c r="S24" s="51"/>
      <c r="T24" s="12"/>
      <c r="U24" s="12"/>
      <c r="V24" s="12"/>
      <c r="W24" s="12"/>
      <c r="X24" s="14" t="e">
        <f t="array" ref="X24">IF(OR(AND(#REF!=""),AND(#REF!="-"),OR(NOT(ISERROR(SEARCH("-*",H24:L24))))),0,1)</f>
        <v>#REF!</v>
      </c>
      <c r="Y24" s="12"/>
      <c r="Z24" s="14">
        <f t="array" ref="Z24">IF(AND(E24:G24="-"),0,IF(OR(NOT(ISERROR(SEARCH("+*",H24:L24)))),2,IF(OR(NOT(ISERROR(SEARCH("--*",E24:L24)))),-1,IF(OR(NOT(E24:G24="")),1,0))))</f>
        <v>1</v>
      </c>
      <c r="AA24" s="14">
        <v>56</v>
      </c>
      <c r="AB24" s="12"/>
    </row>
    <row r="25" spans="1:28" ht="38.25">
      <c r="A25" s="41">
        <v>53</v>
      </c>
      <c r="B25" s="66" t="s">
        <v>139</v>
      </c>
      <c r="C25" s="66" t="s">
        <v>140</v>
      </c>
      <c r="D25" s="54" t="s">
        <v>141</v>
      </c>
      <c r="E25" s="43" t="s">
        <v>42</v>
      </c>
      <c r="F25" s="44" t="s">
        <v>42</v>
      </c>
      <c r="G25" s="53"/>
      <c r="H25" s="46"/>
      <c r="I25" s="47"/>
      <c r="J25" s="48"/>
      <c r="K25" s="49"/>
      <c r="L25" s="46"/>
      <c r="M25" s="56" t="s">
        <v>43</v>
      </c>
      <c r="N25" s="54" t="s">
        <v>142</v>
      </c>
      <c r="O25" s="56">
        <v>1</v>
      </c>
      <c r="P25" s="50" t="e">
        <v>#REF!</v>
      </c>
      <c r="Q25" s="62" t="s">
        <v>44</v>
      </c>
      <c r="R25" s="51"/>
      <c r="S25" s="51"/>
      <c r="T25" s="12"/>
      <c r="U25" s="12"/>
      <c r="V25" s="12"/>
      <c r="W25" s="12"/>
      <c r="X25" s="14" t="e">
        <f t="array" ref="X25">IF(OR(AND(#REF!=""),AND(#REF!="-"),OR(NOT(ISERROR(SEARCH("-*",H25:L25))))),0,1)</f>
        <v>#REF!</v>
      </c>
      <c r="Y25" s="12"/>
      <c r="Z25" s="14">
        <f t="array" ref="Z25">IF(AND(E25:G25="-"),0,IF(OR(NOT(ISERROR(SEARCH("+*",H25:L25)))),2,IF(OR(NOT(ISERROR(SEARCH("--*",E25:L25)))),-1,IF(OR(NOT(E25:G25="")),1,0))))</f>
        <v>1</v>
      </c>
      <c r="AA25" s="14">
        <v>59</v>
      </c>
      <c r="AB25" s="12"/>
    </row>
    <row r="26" spans="1:28" ht="76.5">
      <c r="A26" s="41">
        <v>55</v>
      </c>
      <c r="B26" s="66" t="s">
        <v>143</v>
      </c>
      <c r="C26" s="66" t="s">
        <v>144</v>
      </c>
      <c r="D26" s="42" t="s">
        <v>145</v>
      </c>
      <c r="E26" s="43" t="s">
        <v>74</v>
      </c>
      <c r="F26" s="44" t="s">
        <v>74</v>
      </c>
      <c r="G26" s="53"/>
      <c r="H26" s="46"/>
      <c r="I26" s="47" t="s">
        <v>111</v>
      </c>
      <c r="J26" s="48"/>
      <c r="K26" s="59" t="s">
        <v>111</v>
      </c>
      <c r="L26" s="46"/>
      <c r="M26" s="56" t="s">
        <v>43</v>
      </c>
      <c r="N26" s="54" t="s">
        <v>146</v>
      </c>
      <c r="O26" s="56">
        <v>1</v>
      </c>
      <c r="P26" s="50" t="e">
        <v>#REF!</v>
      </c>
      <c r="Q26" s="62" t="s">
        <v>44</v>
      </c>
      <c r="R26" s="51"/>
      <c r="S26" s="51"/>
      <c r="T26" s="12"/>
      <c r="U26" s="12"/>
      <c r="V26" s="12"/>
      <c r="W26" s="12"/>
      <c r="X26" s="14" t="e">
        <f t="array" ref="X26">IF(OR(AND(#REF!=""),AND(#REF!="-"),OR(NOT(ISERROR(SEARCH("-*",H26:L26))))),0,1)</f>
        <v>#REF!</v>
      </c>
      <c r="Y26" s="12"/>
      <c r="Z26" s="14">
        <f t="array" ref="Z26">IF(AND(E26:G26="-"),0,IF(OR(NOT(ISERROR(SEARCH("+*",H26:L26)))),2,IF(OR(NOT(ISERROR(SEARCH("--*",E26:L26)))),-1,IF(OR(NOT(E26:G26="")),1,0))))</f>
        <v>2</v>
      </c>
      <c r="AA26" s="14">
        <v>61</v>
      </c>
      <c r="AB26" s="12"/>
    </row>
    <row r="27" spans="1:28" ht="25.5">
      <c r="A27" s="41">
        <v>56</v>
      </c>
      <c r="B27" s="66" t="s">
        <v>147</v>
      </c>
      <c r="C27" s="66" t="s">
        <v>148</v>
      </c>
      <c r="D27" s="63" t="s">
        <v>149</v>
      </c>
      <c r="E27" s="43" t="s">
        <v>74</v>
      </c>
      <c r="F27" s="44" t="s">
        <v>74</v>
      </c>
      <c r="G27" s="53"/>
      <c r="H27" s="46"/>
      <c r="I27" s="47"/>
      <c r="J27" s="48"/>
      <c r="K27" s="49"/>
      <c r="L27" s="46"/>
      <c r="M27" s="56" t="s">
        <v>43</v>
      </c>
      <c r="N27" s="54" t="s">
        <v>150</v>
      </c>
      <c r="O27" s="56">
        <v>2</v>
      </c>
      <c r="P27" s="50" t="e">
        <v>#REF!</v>
      </c>
      <c r="Q27" s="62" t="s">
        <v>44</v>
      </c>
      <c r="R27" s="51"/>
      <c r="S27" s="51"/>
      <c r="T27" s="12"/>
      <c r="U27" s="12"/>
      <c r="V27" s="12"/>
      <c r="W27" s="12"/>
      <c r="X27" s="14" t="e">
        <f t="array" ref="X27">IF(OR(AND(#REF!=""),AND(#REF!="-"),OR(NOT(ISERROR(SEARCH("-*",H27:L27))))),0,1)</f>
        <v>#REF!</v>
      </c>
      <c r="Y27" s="12"/>
      <c r="Z27" s="14">
        <f t="array" ref="Z27">IF(AND(E27:G27="-"),0,IF(OR(NOT(ISERROR(SEARCH("+*",H27:L27)))),2,IF(OR(NOT(ISERROR(SEARCH("--*",E27:L27)))),-1,IF(OR(NOT(E27:G27="")),1,0))))</f>
        <v>1</v>
      </c>
      <c r="AA27" s="14">
        <v>62</v>
      </c>
      <c r="AB27" s="12"/>
    </row>
    <row r="28" spans="1:28" ht="25.5">
      <c r="A28" s="41">
        <v>57</v>
      </c>
      <c r="B28" s="66" t="s">
        <v>151</v>
      </c>
      <c r="C28" s="66" t="s">
        <v>152</v>
      </c>
      <c r="D28" s="66" t="s">
        <v>153</v>
      </c>
      <c r="E28" s="43" t="s">
        <v>42</v>
      </c>
      <c r="F28" s="44" t="s">
        <v>42</v>
      </c>
      <c r="G28" s="53"/>
      <c r="H28" s="46"/>
      <c r="I28" s="47"/>
      <c r="J28" s="48"/>
      <c r="K28" s="49"/>
      <c r="L28" s="46"/>
      <c r="M28" s="56" t="s">
        <v>43</v>
      </c>
      <c r="N28" s="54" t="s">
        <v>154</v>
      </c>
      <c r="O28" s="56">
        <v>1</v>
      </c>
      <c r="P28" s="50" t="e">
        <v>#REF!</v>
      </c>
      <c r="Q28" s="62"/>
      <c r="R28" s="51"/>
      <c r="S28" s="51"/>
      <c r="T28" s="12"/>
      <c r="U28" s="12"/>
      <c r="V28" s="12"/>
      <c r="W28" s="12"/>
      <c r="X28" s="14" t="e">
        <f t="array" ref="X28">IF(OR(AND(#REF!=""),AND(#REF!="-"),OR(NOT(ISERROR(SEARCH("-*",H28:L28))))),0,1)</f>
        <v>#REF!</v>
      </c>
      <c r="Y28" s="12"/>
      <c r="Z28" s="14">
        <f t="array" ref="Z28">IF(AND(E28:G28="-"),0,IF(OR(NOT(ISERROR(SEARCH("+*",H28:L28)))),2,IF(OR(NOT(ISERROR(SEARCH("--*",E28:L28)))),-1,IF(OR(NOT(E28:G28="")),1,0))))</f>
        <v>1</v>
      </c>
      <c r="AA28" s="14">
        <v>63</v>
      </c>
      <c r="AB28" s="12"/>
    </row>
    <row r="29" spans="1:28" ht="51">
      <c r="A29" s="41">
        <v>58</v>
      </c>
      <c r="B29" s="66" t="s">
        <v>155</v>
      </c>
      <c r="C29" s="66" t="s">
        <v>156</v>
      </c>
      <c r="D29" s="66" t="s">
        <v>157</v>
      </c>
      <c r="E29" s="43" t="s">
        <v>42</v>
      </c>
      <c r="F29" s="64" t="s">
        <v>42</v>
      </c>
      <c r="G29" s="53"/>
      <c r="H29" s="46"/>
      <c r="I29" s="47"/>
      <c r="J29" s="48"/>
      <c r="K29" s="49"/>
      <c r="L29" s="46"/>
      <c r="M29" s="56" t="s">
        <v>43</v>
      </c>
      <c r="N29" s="54" t="s">
        <v>158</v>
      </c>
      <c r="O29" s="56">
        <v>1</v>
      </c>
      <c r="P29" s="50" t="e">
        <v>#REF!</v>
      </c>
      <c r="Q29" s="62"/>
      <c r="R29" s="51"/>
      <c r="S29" s="51"/>
      <c r="T29" s="12"/>
      <c r="U29" s="12"/>
      <c r="V29" s="12"/>
      <c r="W29" s="12"/>
      <c r="X29" s="14" t="e">
        <f t="array" ref="X29">IF(OR(AND(#REF!=""),AND(#REF!="-"),OR(NOT(ISERROR(SEARCH("-*",H29:L29))))),0,1)</f>
        <v>#REF!</v>
      </c>
      <c r="Y29" s="12"/>
      <c r="Z29" s="14">
        <f t="array" ref="Z29">IF(AND(E29:G29="-"),0,IF(OR(NOT(ISERROR(SEARCH("+*",H29:L29)))),2,IF(OR(NOT(ISERROR(SEARCH("--*",E29:L29)))),-1,IF(OR(NOT(E29:G29="")),1,0))))</f>
        <v>1</v>
      </c>
      <c r="AA29" s="14">
        <v>64</v>
      </c>
      <c r="AB29" s="12"/>
    </row>
    <row r="30" spans="1:28" ht="76.5">
      <c r="A30" s="41">
        <v>59</v>
      </c>
      <c r="B30" s="66" t="s">
        <v>159</v>
      </c>
      <c r="C30" s="66" t="s">
        <v>160</v>
      </c>
      <c r="D30" s="66" t="s">
        <v>161</v>
      </c>
      <c r="E30" s="43" t="s">
        <v>42</v>
      </c>
      <c r="F30" s="64" t="s">
        <v>42</v>
      </c>
      <c r="G30" s="53" t="s">
        <v>42</v>
      </c>
      <c r="H30" s="46"/>
      <c r="I30" s="47"/>
      <c r="J30" s="48"/>
      <c r="K30" s="49"/>
      <c r="L30" s="46"/>
      <c r="M30" s="56" t="s">
        <v>43</v>
      </c>
      <c r="N30" s="54" t="s">
        <v>162</v>
      </c>
      <c r="O30" s="56">
        <v>1</v>
      </c>
      <c r="P30" s="50" t="e">
        <v>#REF!</v>
      </c>
      <c r="Q30" s="62" t="s">
        <v>44</v>
      </c>
      <c r="R30" s="51"/>
      <c r="S30" s="51"/>
      <c r="T30" s="12"/>
      <c r="U30" s="12"/>
      <c r="V30" s="12"/>
      <c r="W30" s="12"/>
      <c r="X30" s="14" t="e">
        <f t="array" ref="X30">IF(OR(AND(#REF!=""),AND(#REF!="-"),OR(NOT(ISERROR(SEARCH("-*",H30:L30))))),0,1)</f>
        <v>#REF!</v>
      </c>
      <c r="Y30" s="12"/>
      <c r="Z30" s="14">
        <f t="array" ref="Z30">IF(AND(E30:G30="-"),0,IF(OR(NOT(ISERROR(SEARCH("+*",H30:L30)))),2,IF(OR(NOT(ISERROR(SEARCH("--*",E30:L30)))),-1,IF(OR(NOT(E30:G30="")),1,0))))</f>
        <v>1</v>
      </c>
      <c r="AA30" s="14">
        <v>65</v>
      </c>
      <c r="AB30" s="12"/>
    </row>
    <row r="31" spans="1:28" ht="51">
      <c r="A31" s="41">
        <v>60</v>
      </c>
      <c r="B31" s="66" t="s">
        <v>163</v>
      </c>
      <c r="C31" s="66" t="s">
        <v>164</v>
      </c>
      <c r="D31" s="66" t="s">
        <v>165</v>
      </c>
      <c r="E31" s="43"/>
      <c r="F31" s="20"/>
      <c r="G31" s="53"/>
      <c r="H31" s="46"/>
      <c r="I31" s="47" t="s">
        <v>111</v>
      </c>
      <c r="J31" s="48"/>
      <c r="K31" s="61"/>
      <c r="L31" s="46"/>
      <c r="M31" s="56" t="s">
        <v>84</v>
      </c>
      <c r="N31" s="54" t="s">
        <v>166</v>
      </c>
      <c r="O31" s="56">
        <v>0</v>
      </c>
      <c r="P31" s="50" t="e">
        <v>#REF!</v>
      </c>
      <c r="Q31" s="62" t="s">
        <v>62</v>
      </c>
      <c r="R31" s="51"/>
      <c r="S31" s="51"/>
      <c r="T31" s="12"/>
      <c r="U31" s="12"/>
      <c r="V31" s="12"/>
      <c r="W31" s="12"/>
      <c r="X31" s="14" t="e">
        <f t="array" ref="X31">IF(OR(AND(#REF!=""),AND(#REF!="-"),OR(NOT(ISERROR(SEARCH("-*",H31:L31))))),0,1)</f>
        <v>#REF!</v>
      </c>
      <c r="Y31" s="12"/>
      <c r="Z31" s="14">
        <f t="array" ref="Z31">IF(AND(E31:G31="-"),0,IF(OR(NOT(ISERROR(SEARCH("+*",H31:L31)))),2,IF(OR(NOT(ISERROR(SEARCH("--*",E31:L31)))),-1,IF(OR(NOT(E31:G31="")),1,0))))</f>
        <v>2</v>
      </c>
      <c r="AA31" s="14">
        <v>67</v>
      </c>
      <c r="AB31" s="12"/>
    </row>
    <row r="32" spans="1:28" ht="267.75">
      <c r="A32" s="41">
        <v>61</v>
      </c>
      <c r="B32" s="66" t="s">
        <v>167</v>
      </c>
      <c r="C32" s="66" t="s">
        <v>168</v>
      </c>
      <c r="D32" s="66" t="s">
        <v>169</v>
      </c>
      <c r="E32" s="43" t="s">
        <v>42</v>
      </c>
      <c r="F32" s="64" t="s">
        <v>42</v>
      </c>
      <c r="G32" s="53"/>
      <c r="H32" s="46"/>
      <c r="I32" s="47"/>
      <c r="J32" s="48"/>
      <c r="K32" s="49"/>
      <c r="L32" s="46"/>
      <c r="M32" s="56" t="s">
        <v>43</v>
      </c>
      <c r="N32" s="66" t="s">
        <v>170</v>
      </c>
      <c r="O32" s="68">
        <v>2</v>
      </c>
      <c r="P32" s="50" t="e">
        <v>#REF!</v>
      </c>
      <c r="Q32" s="62" t="s">
        <v>44</v>
      </c>
      <c r="R32" s="51"/>
      <c r="S32" s="51"/>
      <c r="T32" s="12"/>
      <c r="U32" s="12"/>
      <c r="V32" s="12"/>
      <c r="W32" s="12"/>
      <c r="X32" s="14" t="e">
        <f t="array" ref="X32">IF(OR(AND(#REF!=""),AND(#REF!="-"),OR(NOT(ISERROR(SEARCH("-*",H32:L32))))),0,1)</f>
        <v>#REF!</v>
      </c>
      <c r="Y32" s="12"/>
      <c r="Z32" s="14">
        <f t="array" ref="Z32">IF(AND(E32:G32="-"),0,IF(OR(NOT(ISERROR(SEARCH("+*",H32:L32)))),2,IF(OR(NOT(ISERROR(SEARCH("--*",E32:L32)))),-1,IF(OR(NOT(E32:G32="")),1,0))))</f>
        <v>1</v>
      </c>
      <c r="AA32" s="14">
        <v>68</v>
      </c>
      <c r="AB32" s="12"/>
    </row>
    <row r="33" spans="1:28" ht="25.5">
      <c r="A33" s="41">
        <v>62</v>
      </c>
      <c r="B33" s="66" t="s">
        <v>171</v>
      </c>
      <c r="C33" s="66" t="s">
        <v>172</v>
      </c>
      <c r="D33" s="66" t="s">
        <v>173</v>
      </c>
      <c r="E33" s="43"/>
      <c r="F33" s="20"/>
      <c r="G33" s="53"/>
      <c r="H33" s="46"/>
      <c r="I33" s="58" t="s">
        <v>125</v>
      </c>
      <c r="J33" s="48"/>
      <c r="K33" s="61"/>
      <c r="L33" s="46"/>
      <c r="M33" s="56" t="s">
        <v>56</v>
      </c>
      <c r="N33" s="54" t="s">
        <v>174</v>
      </c>
      <c r="O33" s="56">
        <v>1</v>
      </c>
      <c r="P33" s="50" t="e">
        <v>#REF!</v>
      </c>
      <c r="Q33" s="62"/>
      <c r="R33" s="51"/>
      <c r="S33" s="51"/>
      <c r="T33" s="12"/>
      <c r="U33" s="12"/>
      <c r="V33" s="12"/>
      <c r="W33" s="12"/>
      <c r="X33" s="14" t="e">
        <f t="array" ref="X33">IF(OR(AND(#REF!=""),AND(#REF!="-"),OR(NOT(ISERROR(SEARCH("-*",H33:L33))))),0,1)</f>
        <v>#REF!</v>
      </c>
      <c r="Y33" s="12"/>
      <c r="Z33" s="14">
        <f t="array" ref="Z33">IF(AND(E33:G33="-"),0,IF(OR(NOT(ISERROR(SEARCH("+*",H33:L33)))),2,IF(OR(NOT(ISERROR(SEARCH("--*",E33:L33)))),-1,IF(OR(NOT(E33:G33="")),1,0))))</f>
        <v>2</v>
      </c>
      <c r="AA33" s="14">
        <v>69</v>
      </c>
      <c r="AB33" s="12"/>
    </row>
    <row r="34" spans="1:28" ht="38.25">
      <c r="A34" s="41">
        <v>63</v>
      </c>
      <c r="B34" s="66" t="s">
        <v>175</v>
      </c>
      <c r="C34" s="66" t="s">
        <v>176</v>
      </c>
      <c r="D34" s="66" t="s">
        <v>177</v>
      </c>
      <c r="E34" s="43"/>
      <c r="F34" s="20"/>
      <c r="G34" s="53"/>
      <c r="H34" s="46"/>
      <c r="I34" s="47" t="s">
        <v>111</v>
      </c>
      <c r="J34" s="48"/>
      <c r="K34" s="61"/>
      <c r="L34" s="46"/>
      <c r="M34" s="56" t="s">
        <v>56</v>
      </c>
      <c r="N34" s="54" t="s">
        <v>178</v>
      </c>
      <c r="O34" s="56">
        <v>1</v>
      </c>
      <c r="P34" s="50" t="e">
        <v>#REF!</v>
      </c>
      <c r="Q34" s="62"/>
      <c r="R34" s="51"/>
      <c r="S34" s="51"/>
      <c r="T34" s="12"/>
      <c r="U34" s="12"/>
      <c r="V34" s="12"/>
      <c r="W34" s="12"/>
      <c r="X34" s="14" t="e">
        <f t="array" ref="X34">IF(OR(AND(#REF!=""),AND(#REF!="-"),OR(NOT(ISERROR(SEARCH("-*",H34:L34))))),0,1)</f>
        <v>#REF!</v>
      </c>
      <c r="Y34" s="12"/>
      <c r="Z34" s="14">
        <f t="array" ref="Z34">IF(AND(E34:G34="-"),0,IF(OR(NOT(ISERROR(SEARCH("+*",H34:L34)))),2,IF(OR(NOT(ISERROR(SEARCH("--*",E34:L34)))),-1,IF(OR(NOT(E34:G34="")),1,0))))</f>
        <v>2</v>
      </c>
      <c r="AA34" s="14">
        <v>70</v>
      </c>
      <c r="AB34" s="12"/>
    </row>
    <row r="35" spans="1:28" ht="25.5">
      <c r="A35" s="41">
        <v>67</v>
      </c>
      <c r="B35" s="66" t="s">
        <v>179</v>
      </c>
      <c r="C35" s="66" t="s">
        <v>180</v>
      </c>
      <c r="D35" s="54" t="s">
        <v>181</v>
      </c>
      <c r="E35" s="43" t="s">
        <v>74</v>
      </c>
      <c r="F35" s="57" t="s">
        <v>74</v>
      </c>
      <c r="G35" s="53" t="s">
        <v>74</v>
      </c>
      <c r="H35" s="46"/>
      <c r="I35" s="47" t="s">
        <v>111</v>
      </c>
      <c r="J35" s="60"/>
      <c r="K35" s="49"/>
      <c r="L35" s="46"/>
      <c r="M35" s="56" t="s">
        <v>43</v>
      </c>
      <c r="N35" s="54" t="s">
        <v>182</v>
      </c>
      <c r="O35" s="56">
        <v>1</v>
      </c>
      <c r="P35" s="50" t="e">
        <v>#REF!</v>
      </c>
      <c r="Q35" s="62" t="s">
        <v>44</v>
      </c>
      <c r="R35" s="51"/>
      <c r="S35" s="51"/>
      <c r="T35" s="12"/>
      <c r="U35" s="12"/>
      <c r="V35" s="12"/>
      <c r="W35" s="12"/>
      <c r="X35" s="14" t="e">
        <f t="array" ref="X35">IF(OR(AND(#REF!=""),AND(#REF!="-"),OR(NOT(ISERROR(SEARCH("-*",H35:L35))))),0,1)</f>
        <v>#REF!</v>
      </c>
      <c r="Y35" s="12"/>
      <c r="Z35" s="14">
        <f t="array" ref="Z35">IF(AND(E35:G35="-"),0,IF(OR(NOT(ISERROR(SEARCH("+*",H35:L35)))),2,IF(OR(NOT(ISERROR(SEARCH("--*",E35:L35)))),-1,IF(OR(NOT(E35:G35="")),1,0))))</f>
        <v>2</v>
      </c>
      <c r="AA35" s="14">
        <v>74</v>
      </c>
      <c r="AB35" s="12"/>
    </row>
    <row r="36" spans="1:28" ht="76.5">
      <c r="A36" s="41">
        <v>68</v>
      </c>
      <c r="B36" s="66" t="s">
        <v>183</v>
      </c>
      <c r="C36" s="66" t="s">
        <v>184</v>
      </c>
      <c r="D36" s="66" t="s">
        <v>185</v>
      </c>
      <c r="E36" s="43" t="s">
        <v>42</v>
      </c>
      <c r="F36" s="57" t="s">
        <v>42</v>
      </c>
      <c r="G36" s="53"/>
      <c r="H36" s="46"/>
      <c r="I36" s="58" t="s">
        <v>186</v>
      </c>
      <c r="J36" s="48"/>
      <c r="K36" s="59" t="s">
        <v>186</v>
      </c>
      <c r="L36" s="46"/>
      <c r="M36" s="56" t="s">
        <v>43</v>
      </c>
      <c r="N36" s="54" t="s">
        <v>187</v>
      </c>
      <c r="O36" s="56">
        <v>1</v>
      </c>
      <c r="P36" s="50" t="e">
        <v>#REF!</v>
      </c>
      <c r="Q36" s="62" t="s">
        <v>44</v>
      </c>
      <c r="R36" s="51"/>
      <c r="S36" s="51"/>
      <c r="T36" s="12"/>
      <c r="U36" s="12"/>
      <c r="V36" s="12"/>
      <c r="W36" s="12"/>
      <c r="X36" s="14" t="e">
        <f t="array" ref="X36">IF(OR(AND(#REF!=""),AND(#REF!="-"),OR(NOT(ISERROR(SEARCH("-*",H36:L36))))),0,1)</f>
        <v>#REF!</v>
      </c>
      <c r="Y36" s="12"/>
      <c r="Z36" s="14">
        <f t="array" ref="Z36">IF(AND(E36:G36="-"),0,IF(OR(NOT(ISERROR(SEARCH("+*",H36:L36)))),2,IF(OR(NOT(ISERROR(SEARCH("--*",E36:L36)))),-1,IF(OR(NOT(E36:G36="")),1,0))))</f>
        <v>2</v>
      </c>
      <c r="AA36" s="14">
        <v>75</v>
      </c>
      <c r="AB36" s="12"/>
    </row>
    <row r="37" spans="1:28" ht="38.25">
      <c r="A37" s="41">
        <v>69</v>
      </c>
      <c r="B37" s="66" t="s">
        <v>188</v>
      </c>
      <c r="C37" s="66" t="s">
        <v>189</v>
      </c>
      <c r="D37" s="66" t="s">
        <v>190</v>
      </c>
      <c r="E37" s="43" t="s">
        <v>42</v>
      </c>
      <c r="F37" s="57"/>
      <c r="G37" s="53"/>
      <c r="H37" s="46"/>
      <c r="I37" s="47" t="s">
        <v>111</v>
      </c>
      <c r="J37" s="48"/>
      <c r="K37" s="59" t="s">
        <v>111</v>
      </c>
      <c r="L37" s="46"/>
      <c r="M37" s="56" t="s">
        <v>43</v>
      </c>
      <c r="N37" s="54" t="s">
        <v>191</v>
      </c>
      <c r="O37" s="68">
        <v>2</v>
      </c>
      <c r="P37" s="50" t="e">
        <v>#REF!</v>
      </c>
      <c r="Q37" s="62" t="s">
        <v>86</v>
      </c>
      <c r="R37" s="51"/>
      <c r="S37" s="51"/>
      <c r="T37" s="12"/>
      <c r="U37" s="12"/>
      <c r="V37" s="12"/>
      <c r="W37" s="12"/>
      <c r="X37" s="14" t="e">
        <f t="array" ref="X37">IF(OR(AND(#REF!=""),AND(#REF!="-"),OR(NOT(ISERROR(SEARCH("-*",H37:L37))))),0,1)</f>
        <v>#REF!</v>
      </c>
      <c r="Y37" s="12"/>
      <c r="Z37" s="14">
        <f t="array" ref="Z37">IF(AND(E37:G37="-"),0,IF(OR(NOT(ISERROR(SEARCH("+*",H37:L37)))),2,IF(OR(NOT(ISERROR(SEARCH("--*",E37:L37)))),-1,IF(OR(NOT(E37:G37="")),1,0))))</f>
        <v>2</v>
      </c>
      <c r="AA37" s="14">
        <v>76</v>
      </c>
      <c r="AB37" s="12"/>
    </row>
    <row r="38" spans="1:28" ht="25.5">
      <c r="A38" s="41">
        <v>70</v>
      </c>
      <c r="B38" s="66" t="s">
        <v>192</v>
      </c>
      <c r="C38" s="66" t="s">
        <v>193</v>
      </c>
      <c r="D38" s="42" t="s">
        <v>194</v>
      </c>
      <c r="E38" s="43" t="s">
        <v>42</v>
      </c>
      <c r="F38" s="57" t="s">
        <v>42</v>
      </c>
      <c r="G38" s="53"/>
      <c r="H38" s="46"/>
      <c r="I38" s="58" t="s">
        <v>125</v>
      </c>
      <c r="J38" s="48"/>
      <c r="K38" s="49"/>
      <c r="L38" s="46"/>
      <c r="M38" s="56" t="s">
        <v>43</v>
      </c>
      <c r="N38" s="54" t="s">
        <v>195</v>
      </c>
      <c r="O38" s="68">
        <v>1</v>
      </c>
      <c r="P38" s="50" t="e">
        <v>#REF!</v>
      </c>
      <c r="Q38" s="62"/>
      <c r="R38" s="51"/>
      <c r="S38" s="51"/>
      <c r="T38" s="12"/>
      <c r="U38" s="12"/>
      <c r="V38" s="12"/>
      <c r="W38" s="12"/>
      <c r="X38" s="14" t="e">
        <f t="array" ref="X38">IF(OR(AND(#REF!=""),AND(#REF!="-"),OR(NOT(ISERROR(SEARCH("-*",H38:L38))))),0,1)</f>
        <v>#REF!</v>
      </c>
      <c r="Y38" s="12"/>
      <c r="Z38" s="14">
        <f t="array" ref="Z38">IF(AND(E38:G38="-"),0,IF(OR(NOT(ISERROR(SEARCH("+*",H38:L38)))),2,IF(OR(NOT(ISERROR(SEARCH("--*",E38:L38)))),-1,IF(OR(NOT(E38:G38="")),1,0))))</f>
        <v>2</v>
      </c>
      <c r="AA38" s="14">
        <v>77</v>
      </c>
      <c r="AB38" s="12"/>
    </row>
    <row r="39" spans="1:28" ht="76.5">
      <c r="A39" s="41">
        <v>71</v>
      </c>
      <c r="B39" s="66" t="s">
        <v>196</v>
      </c>
      <c r="C39" s="66" t="s">
        <v>197</v>
      </c>
      <c r="D39" s="66" t="s">
        <v>198</v>
      </c>
      <c r="E39" s="43" t="s">
        <v>74</v>
      </c>
      <c r="F39" s="57" t="s">
        <v>74</v>
      </c>
      <c r="G39" s="53"/>
      <c r="H39" s="46"/>
      <c r="I39" s="47"/>
      <c r="J39" s="48"/>
      <c r="K39" s="49"/>
      <c r="L39" s="46"/>
      <c r="M39" s="56" t="s">
        <v>43</v>
      </c>
      <c r="N39" s="54" t="s">
        <v>199</v>
      </c>
      <c r="O39" s="68">
        <v>2</v>
      </c>
      <c r="P39" s="50" t="e">
        <v>#REF!</v>
      </c>
      <c r="Q39" s="62" t="s">
        <v>62</v>
      </c>
      <c r="R39" s="51"/>
      <c r="S39" s="51"/>
      <c r="T39" s="12"/>
      <c r="U39" s="12"/>
      <c r="V39" s="12"/>
      <c r="W39" s="12"/>
      <c r="X39" s="14" t="e">
        <f t="array" ref="X39">IF(OR(AND(#REF!=""),AND(#REF!="-"),OR(NOT(ISERROR(SEARCH("-*",H39:L39))))),0,1)</f>
        <v>#REF!</v>
      </c>
      <c r="Y39" s="12"/>
      <c r="Z39" s="14">
        <f t="array" ref="Z39">IF(AND(E39:G39="-"),0,IF(OR(NOT(ISERROR(SEARCH("+*",H39:L39)))),2,IF(OR(NOT(ISERROR(SEARCH("--*",E39:L39)))),-1,IF(OR(NOT(E39:G39="")),1,0))))</f>
        <v>1</v>
      </c>
      <c r="AA39" s="14">
        <v>78</v>
      </c>
      <c r="AB39" s="12"/>
    </row>
    <row r="40" spans="1:28" ht="76.5">
      <c r="A40" s="41">
        <v>72</v>
      </c>
      <c r="B40" s="66" t="s">
        <v>200</v>
      </c>
      <c r="C40" s="66" t="s">
        <v>201</v>
      </c>
      <c r="D40" s="66" t="s">
        <v>202</v>
      </c>
      <c r="E40" s="43" t="s">
        <v>42</v>
      </c>
      <c r="F40" s="44" t="s">
        <v>42</v>
      </c>
      <c r="G40" s="53"/>
      <c r="H40" s="46"/>
      <c r="I40" s="47"/>
      <c r="J40" s="48"/>
      <c r="K40" s="49"/>
      <c r="L40" s="46"/>
      <c r="M40" s="56" t="s">
        <v>43</v>
      </c>
      <c r="N40" s="54" t="s">
        <v>203</v>
      </c>
      <c r="O40" s="68">
        <v>3</v>
      </c>
      <c r="P40" s="50" t="e">
        <v>#REF!</v>
      </c>
      <c r="Q40" s="62" t="s">
        <v>44</v>
      </c>
      <c r="R40" s="51"/>
      <c r="S40" s="51"/>
      <c r="T40" s="12"/>
      <c r="U40" s="12"/>
      <c r="V40" s="12"/>
      <c r="W40" s="12"/>
      <c r="X40" s="14" t="e">
        <f t="array" ref="X40">IF(OR(AND(#REF!=""),AND(#REF!="-"),OR(NOT(ISERROR(SEARCH("-*",H40:L40))))),0,1)</f>
        <v>#REF!</v>
      </c>
      <c r="Y40" s="12"/>
      <c r="Z40" s="14">
        <f t="array" ref="Z40">IF(AND(E40:G40="-"),0,IF(OR(NOT(ISERROR(SEARCH("+*",H40:L40)))),2,IF(OR(NOT(ISERROR(SEARCH("--*",E40:L40)))),-1,IF(OR(NOT(E40:G40="")),1,0))))</f>
        <v>1</v>
      </c>
      <c r="AA40" s="14">
        <v>80</v>
      </c>
      <c r="AB40" s="12"/>
    </row>
    <row r="41" spans="1:28" ht="255">
      <c r="A41" s="41">
        <v>73</v>
      </c>
      <c r="B41" s="66" t="s">
        <v>204</v>
      </c>
      <c r="C41" s="66" t="s">
        <v>205</v>
      </c>
      <c r="D41" s="42" t="s">
        <v>206</v>
      </c>
      <c r="E41" s="43" t="s">
        <v>74</v>
      </c>
      <c r="F41" s="57" t="s">
        <v>74</v>
      </c>
      <c r="G41" s="53"/>
      <c r="H41" s="46"/>
      <c r="I41" s="58" t="s">
        <v>125</v>
      </c>
      <c r="J41" s="60"/>
      <c r="K41" s="59" t="s">
        <v>125</v>
      </c>
      <c r="L41" s="46"/>
      <c r="M41" s="56" t="s">
        <v>207</v>
      </c>
      <c r="N41" s="54" t="s">
        <v>208</v>
      </c>
      <c r="O41" s="68">
        <v>3</v>
      </c>
      <c r="P41" s="50" t="e">
        <v>#REF!</v>
      </c>
      <c r="Q41" s="62" t="s">
        <v>86</v>
      </c>
      <c r="R41" s="51" t="s">
        <v>43</v>
      </c>
      <c r="S41" s="51" t="s">
        <v>209</v>
      </c>
      <c r="T41" s="12"/>
      <c r="U41" s="12"/>
      <c r="V41" s="12"/>
      <c r="W41" s="12"/>
      <c r="X41" s="14" t="e">
        <f t="array" ref="X41">IF(OR(AND(#REF!=""),AND(#REF!="-"),OR(NOT(ISERROR(SEARCH("-*",H41:L41))))),0,1)</f>
        <v>#REF!</v>
      </c>
      <c r="Y41" s="12"/>
      <c r="Z41" s="14">
        <f t="array" ref="Z41">IF(AND(E41:G41="-"),0,IF(OR(NOT(ISERROR(SEARCH("+*",H41:L41)))),2,IF(OR(NOT(ISERROR(SEARCH("--*",E41:L41)))),-1,IF(OR(NOT(E41:G41="")),1,0))))</f>
        <v>2</v>
      </c>
      <c r="AA41" s="14">
        <v>83</v>
      </c>
      <c r="AB41" s="12"/>
    </row>
    <row r="42" spans="1:28" ht="51">
      <c r="A42" s="41">
        <v>76</v>
      </c>
      <c r="B42" s="66" t="s">
        <v>210</v>
      </c>
      <c r="C42" s="66" t="s">
        <v>211</v>
      </c>
      <c r="D42" s="66" t="s">
        <v>212</v>
      </c>
      <c r="E42" s="43"/>
      <c r="F42" s="57"/>
      <c r="G42" s="53"/>
      <c r="H42" s="46"/>
      <c r="I42" s="47"/>
      <c r="J42" s="60" t="s">
        <v>74</v>
      </c>
      <c r="K42" s="61"/>
      <c r="L42" s="46"/>
      <c r="M42" s="56" t="s">
        <v>43</v>
      </c>
      <c r="N42" s="54" t="s">
        <v>213</v>
      </c>
      <c r="O42" s="68">
        <v>3</v>
      </c>
      <c r="P42" s="50" t="e">
        <v>#REF!</v>
      </c>
      <c r="Q42" s="62"/>
      <c r="R42" s="51"/>
      <c r="S42" s="51"/>
      <c r="T42" s="12"/>
      <c r="U42" s="12"/>
      <c r="V42" s="12"/>
      <c r="W42" s="12"/>
      <c r="X42" s="14" t="e">
        <f t="array" ref="X42">IF(OR(AND(#REF!=""),AND(#REF!="-"),OR(NOT(ISERROR(SEARCH("-*",H42:L42))))),0,1)</f>
        <v>#REF!</v>
      </c>
      <c r="Y42" s="12"/>
      <c r="Z42" s="14">
        <f t="array" ref="Z42">IF(AND(E42:G42="-"),0,IF(OR(NOT(ISERROR(SEARCH("+*",H42:L42)))),2,IF(OR(NOT(ISERROR(SEARCH("--*",E42:L42)))),-1,IF(OR(NOT(E42:G42="")),1,0))))</f>
        <v>2</v>
      </c>
      <c r="AA42" s="14">
        <v>86</v>
      </c>
      <c r="AB42" s="12"/>
    </row>
    <row r="43" spans="1:28" ht="51">
      <c r="A43" s="41">
        <v>77</v>
      </c>
      <c r="B43" s="66" t="s">
        <v>214</v>
      </c>
      <c r="C43" s="66" t="s">
        <v>215</v>
      </c>
      <c r="D43" s="66" t="s">
        <v>216</v>
      </c>
      <c r="E43" s="43"/>
      <c r="F43" s="57"/>
      <c r="G43" s="53"/>
      <c r="H43" s="46"/>
      <c r="I43" s="47"/>
      <c r="J43" s="60" t="s">
        <v>74</v>
      </c>
      <c r="K43" s="61"/>
      <c r="L43" s="46"/>
      <c r="M43" s="56" t="s">
        <v>43</v>
      </c>
      <c r="N43" s="54" t="s">
        <v>217</v>
      </c>
      <c r="O43" s="68">
        <v>2</v>
      </c>
      <c r="P43" s="50" t="e">
        <v>#REF!</v>
      </c>
      <c r="Q43" s="62"/>
      <c r="R43" s="51"/>
      <c r="S43" s="51"/>
      <c r="T43" s="12"/>
      <c r="U43" s="12"/>
      <c r="V43" s="12"/>
      <c r="W43" s="12"/>
      <c r="X43" s="14" t="e">
        <f t="array" ref="X43">IF(OR(AND(#REF!=""),AND(#REF!="-"),OR(NOT(ISERROR(SEARCH("-*",H43:L43))))),0,1)</f>
        <v>#REF!</v>
      </c>
      <c r="Y43" s="12"/>
      <c r="Z43" s="14">
        <f t="array" ref="Z43">IF(AND(E43:G43="-"),0,IF(OR(NOT(ISERROR(SEARCH("+*",H43:L43)))),2,IF(OR(NOT(ISERROR(SEARCH("--*",E43:L43)))),-1,IF(OR(NOT(E43:G43="")),1,0))))</f>
        <v>2</v>
      </c>
      <c r="AA43" s="14">
        <v>87</v>
      </c>
      <c r="AB43" s="12"/>
    </row>
    <row r="44" spans="1:28" ht="267.75">
      <c r="A44" s="41">
        <v>78</v>
      </c>
      <c r="B44" s="66" t="s">
        <v>218</v>
      </c>
      <c r="C44" s="66" t="s">
        <v>219</v>
      </c>
      <c r="D44" s="42" t="s">
        <v>220</v>
      </c>
      <c r="E44" s="43"/>
      <c r="F44" s="57"/>
      <c r="G44" s="53"/>
      <c r="H44" s="46"/>
      <c r="I44" s="58" t="s">
        <v>125</v>
      </c>
      <c r="J44" s="48"/>
      <c r="K44" s="59" t="s">
        <v>125</v>
      </c>
      <c r="L44" s="46"/>
      <c r="M44" s="56" t="s">
        <v>43</v>
      </c>
      <c r="N44" s="54" t="s">
        <v>221</v>
      </c>
      <c r="O44" s="68">
        <v>3</v>
      </c>
      <c r="P44" s="50" t="e">
        <v>#REF!</v>
      </c>
      <c r="Q44" s="62"/>
      <c r="R44" s="51" t="s">
        <v>43</v>
      </c>
      <c r="S44" s="51" t="s">
        <v>222</v>
      </c>
      <c r="T44" s="12"/>
      <c r="U44" s="12"/>
      <c r="V44" s="12"/>
      <c r="W44" s="12"/>
      <c r="X44" s="14" t="e">
        <f t="array" ref="X44">IF(OR(AND(#REF!=""),AND(#REF!="-"),OR(NOT(ISERROR(SEARCH("-*",H44:L44))))),0,1)</f>
        <v>#REF!</v>
      </c>
      <c r="Y44" s="12"/>
      <c r="Z44" s="14">
        <f t="array" ref="Z44">IF(AND(E44:G44="-"),0,IF(OR(NOT(ISERROR(SEARCH("+*",H44:L44)))),2,IF(OR(NOT(ISERROR(SEARCH("--*",E44:L44)))),-1,IF(OR(NOT(E44:G44="")),1,0))))</f>
        <v>2</v>
      </c>
      <c r="AA44" s="14">
        <v>88</v>
      </c>
      <c r="AB44" s="12"/>
    </row>
    <row r="45" spans="1:28" ht="51">
      <c r="A45" s="41">
        <v>79</v>
      </c>
      <c r="B45" s="66" t="s">
        <v>223</v>
      </c>
      <c r="C45" s="66" t="s">
        <v>224</v>
      </c>
      <c r="D45" s="42" t="s">
        <v>225</v>
      </c>
      <c r="E45" s="43" t="s">
        <v>74</v>
      </c>
      <c r="F45" s="44" t="s">
        <v>74</v>
      </c>
      <c r="G45" s="53"/>
      <c r="H45" s="46"/>
      <c r="I45" s="58" t="s">
        <v>125</v>
      </c>
      <c r="J45" s="48"/>
      <c r="K45" s="59" t="s">
        <v>125</v>
      </c>
      <c r="L45" s="46"/>
      <c r="M45" s="56" t="s">
        <v>43</v>
      </c>
      <c r="N45" s="54" t="s">
        <v>226</v>
      </c>
      <c r="O45" s="68">
        <v>3</v>
      </c>
      <c r="P45" s="50" t="e">
        <v>#REF!</v>
      </c>
      <c r="Q45" s="62" t="s">
        <v>86</v>
      </c>
      <c r="R45" s="51"/>
      <c r="S45" s="51"/>
      <c r="T45" s="12"/>
      <c r="U45" s="12"/>
      <c r="V45" s="12"/>
      <c r="W45" s="12"/>
      <c r="X45" s="14" t="e">
        <f t="array" ref="X45">IF(OR(AND(#REF!=""),AND(#REF!="-"),OR(NOT(ISERROR(SEARCH("-*",H45:L45))))),0,1)</f>
        <v>#REF!</v>
      </c>
      <c r="Y45" s="12"/>
      <c r="Z45" s="14">
        <f t="array" ref="Z45">IF(AND(E45:G45="-"),0,IF(OR(NOT(ISERROR(SEARCH("+*",H45:L45)))),2,IF(OR(NOT(ISERROR(SEARCH("--*",E45:L45)))),-1,IF(OR(NOT(E45:G45="")),1,0))))</f>
        <v>2</v>
      </c>
      <c r="AA45" s="14">
        <v>89</v>
      </c>
      <c r="AB45" s="12"/>
    </row>
    <row r="46" spans="1:28" ht="38.25">
      <c r="A46" s="41">
        <v>80</v>
      </c>
      <c r="B46" s="66" t="s">
        <v>227</v>
      </c>
      <c r="C46" s="66" t="s">
        <v>228</v>
      </c>
      <c r="D46" s="66" t="s">
        <v>229</v>
      </c>
      <c r="E46" s="43"/>
      <c r="F46" s="44"/>
      <c r="G46" s="53"/>
      <c r="H46" s="46"/>
      <c r="I46" s="58" t="s">
        <v>125</v>
      </c>
      <c r="J46" s="48"/>
      <c r="K46" s="59" t="s">
        <v>125</v>
      </c>
      <c r="L46" s="46"/>
      <c r="M46" s="56" t="s">
        <v>43</v>
      </c>
      <c r="N46" s="54" t="s">
        <v>230</v>
      </c>
      <c r="O46" s="68">
        <v>3</v>
      </c>
      <c r="P46" s="50" t="e">
        <v>#REF!</v>
      </c>
      <c r="Q46" s="62"/>
      <c r="R46" s="51"/>
      <c r="S46" s="51"/>
      <c r="T46" s="12"/>
      <c r="U46" s="12"/>
      <c r="V46" s="12"/>
      <c r="W46" s="12"/>
      <c r="X46" s="14" t="e">
        <f t="array" ref="X46">IF(OR(AND(#REF!=""),AND(#REF!="-"),OR(NOT(ISERROR(SEARCH("-*",H46:L46))))),0,1)</f>
        <v>#REF!</v>
      </c>
      <c r="Y46" s="12"/>
      <c r="Z46" s="14">
        <f t="array" ref="Z46">IF(AND(E46:G46="-"),0,IF(OR(NOT(ISERROR(SEARCH("+*",H46:L46)))),2,IF(OR(NOT(ISERROR(SEARCH("--*",E46:L46)))),-1,IF(OR(NOT(E46:G46="")),1,0))))</f>
        <v>2</v>
      </c>
      <c r="AA46" s="14">
        <v>90</v>
      </c>
      <c r="AB46" s="12"/>
    </row>
    <row r="47" spans="1:28" ht="38.25">
      <c r="A47" s="41">
        <v>81</v>
      </c>
      <c r="B47" s="66" t="s">
        <v>231</v>
      </c>
      <c r="C47" s="66" t="s">
        <v>232</v>
      </c>
      <c r="D47" s="66" t="s">
        <v>233</v>
      </c>
      <c r="E47" s="43"/>
      <c r="F47" s="44"/>
      <c r="G47" s="53"/>
      <c r="H47" s="46"/>
      <c r="I47" s="47"/>
      <c r="J47" s="60" t="s">
        <v>74</v>
      </c>
      <c r="K47" s="61"/>
      <c r="L47" s="46"/>
      <c r="M47" s="56" t="s">
        <v>43</v>
      </c>
      <c r="N47" s="54" t="s">
        <v>234</v>
      </c>
      <c r="O47" s="68">
        <v>3</v>
      </c>
      <c r="P47" s="50" t="e">
        <v>#REF!</v>
      </c>
      <c r="Q47" s="62"/>
      <c r="R47" s="51"/>
      <c r="S47" s="51"/>
      <c r="T47" s="12"/>
      <c r="U47" s="12"/>
      <c r="V47" s="12"/>
      <c r="W47" s="12"/>
      <c r="X47" s="14" t="e">
        <f t="array" ref="X47">IF(OR(AND(#REF!=""),AND(#REF!="-"),OR(NOT(ISERROR(SEARCH("-*",H47:L47))))),0,1)</f>
        <v>#REF!</v>
      </c>
      <c r="Y47" s="12"/>
      <c r="Z47" s="14">
        <f t="array" ref="Z47">IF(AND(E47:G47="-"),0,IF(OR(NOT(ISERROR(SEARCH("+*",H47:L47)))),2,IF(OR(NOT(ISERROR(SEARCH("--*",E47:L47)))),-1,IF(OR(NOT(E47:G47="")),1,0))))</f>
        <v>2</v>
      </c>
      <c r="AA47" s="14">
        <v>91</v>
      </c>
      <c r="AB47" s="12"/>
    </row>
    <row r="48" spans="1:28" ht="306">
      <c r="A48" s="41">
        <v>84</v>
      </c>
      <c r="B48" s="66" t="s">
        <v>235</v>
      </c>
      <c r="C48" s="66" t="s">
        <v>236</v>
      </c>
      <c r="D48" s="66" t="s">
        <v>237</v>
      </c>
      <c r="E48" s="43" t="s">
        <v>42</v>
      </c>
      <c r="F48" s="64" t="s">
        <v>42</v>
      </c>
      <c r="G48" s="53"/>
      <c r="H48" s="46"/>
      <c r="I48" s="47"/>
      <c r="J48" s="48"/>
      <c r="K48" s="49"/>
      <c r="L48" s="46"/>
      <c r="M48" s="56" t="s">
        <v>43</v>
      </c>
      <c r="N48" s="54" t="s">
        <v>238</v>
      </c>
      <c r="O48" s="68">
        <v>1</v>
      </c>
      <c r="P48" s="50" t="e">
        <v>#REF!</v>
      </c>
      <c r="Q48" s="62" t="s">
        <v>86</v>
      </c>
      <c r="R48" s="51" t="s">
        <v>43</v>
      </c>
      <c r="S48" s="51" t="s">
        <v>239</v>
      </c>
      <c r="T48" s="12"/>
      <c r="U48" s="12"/>
      <c r="V48" s="12"/>
      <c r="W48" s="12"/>
      <c r="X48" s="14" t="e">
        <f t="array" ref="X48">IF(OR(AND(#REF!=""),AND(#REF!="-"),OR(NOT(ISERROR(SEARCH("-*",H48:L48))))),0,1)</f>
        <v>#REF!</v>
      </c>
      <c r="Y48" s="12"/>
      <c r="Z48" s="14">
        <f t="array" ref="Z48">IF(AND(E48:G48="-"),0,IF(OR(NOT(ISERROR(SEARCH("+*",H48:L48)))),2,IF(OR(NOT(ISERROR(SEARCH("--*",E48:L48)))),-1,IF(OR(NOT(E48:G48="")),1,0))))</f>
        <v>1</v>
      </c>
      <c r="AA48" s="14">
        <v>94</v>
      </c>
      <c r="AB48" s="12"/>
    </row>
    <row r="49" spans="1:28" ht="38.25">
      <c r="A49" s="41">
        <v>85</v>
      </c>
      <c r="B49" s="66" t="s">
        <v>240</v>
      </c>
      <c r="C49" s="66" t="s">
        <v>241</v>
      </c>
      <c r="D49" s="66" t="s">
        <v>242</v>
      </c>
      <c r="E49" s="43" t="s">
        <v>42</v>
      </c>
      <c r="F49" s="64" t="s">
        <v>42</v>
      </c>
      <c r="G49" s="53"/>
      <c r="H49" s="46"/>
      <c r="I49" s="47"/>
      <c r="J49" s="48"/>
      <c r="K49" s="49"/>
      <c r="L49" s="46"/>
      <c r="M49" s="56" t="s">
        <v>86</v>
      </c>
      <c r="N49" s="54" t="s">
        <v>243</v>
      </c>
      <c r="O49" s="68">
        <v>0</v>
      </c>
      <c r="P49" s="50" t="e">
        <v>#REF!</v>
      </c>
      <c r="Q49" s="62" t="s">
        <v>86</v>
      </c>
      <c r="R49" s="51"/>
      <c r="S49" s="51"/>
      <c r="T49" s="12"/>
      <c r="U49" s="12"/>
      <c r="V49" s="12"/>
      <c r="W49" s="12"/>
      <c r="X49" s="14" t="e">
        <f t="array" ref="X49">IF(OR(AND(#REF!=""),AND(#REF!="-"),OR(NOT(ISERROR(SEARCH("-*",H49:L49))))),0,1)</f>
        <v>#REF!</v>
      </c>
      <c r="Y49" s="12"/>
      <c r="Z49" s="14">
        <f t="array" ref="Z49">IF(AND(E49:G49="-"),0,IF(OR(NOT(ISERROR(SEARCH("+*",H49:L49)))),2,IF(OR(NOT(ISERROR(SEARCH("--*",E49:L49)))),-1,IF(OR(NOT(E49:G49="")),1,0))))</f>
        <v>1</v>
      </c>
      <c r="AA49" s="14">
        <v>95</v>
      </c>
      <c r="AB49" s="12"/>
    </row>
    <row r="50" spans="1:28" ht="51">
      <c r="A50" s="41">
        <v>86</v>
      </c>
      <c r="B50" s="66" t="s">
        <v>244</v>
      </c>
      <c r="C50" s="66" t="s">
        <v>245</v>
      </c>
      <c r="D50" s="66" t="s">
        <v>246</v>
      </c>
      <c r="E50" s="43" t="s">
        <v>42</v>
      </c>
      <c r="F50" s="64" t="s">
        <v>42</v>
      </c>
      <c r="G50" s="53"/>
      <c r="H50" s="46"/>
      <c r="I50" s="47"/>
      <c r="J50" s="48"/>
      <c r="K50" s="49"/>
      <c r="L50" s="46"/>
      <c r="M50" s="56" t="s">
        <v>86</v>
      </c>
      <c r="N50" s="54" t="s">
        <v>243</v>
      </c>
      <c r="O50" s="68">
        <v>0</v>
      </c>
      <c r="P50" s="50" t="e">
        <v>#REF!</v>
      </c>
      <c r="Q50" s="62"/>
      <c r="R50" s="51"/>
      <c r="S50" s="51"/>
      <c r="T50" s="12"/>
      <c r="U50" s="12"/>
      <c r="V50" s="12"/>
      <c r="W50" s="12"/>
      <c r="X50" s="14" t="e">
        <f t="array" ref="X50">IF(OR(AND(#REF!=""),AND(#REF!="-"),OR(NOT(ISERROR(SEARCH("-*",H50:L50))))),0,1)</f>
        <v>#REF!</v>
      </c>
      <c r="Y50" s="12"/>
      <c r="Z50" s="14">
        <f t="array" ref="Z50">IF(AND(E50:G50="-"),0,IF(OR(NOT(ISERROR(SEARCH("+*",H50:L50)))),2,IF(OR(NOT(ISERROR(SEARCH("--*",E50:L50)))),-1,IF(OR(NOT(E50:G50="")),1,0))))</f>
        <v>1</v>
      </c>
      <c r="AA50" s="14">
        <v>96</v>
      </c>
      <c r="AB50" s="12"/>
    </row>
    <row r="51" spans="1:28" ht="25.5">
      <c r="A51" s="41">
        <v>87</v>
      </c>
      <c r="B51" s="66" t="s">
        <v>247</v>
      </c>
      <c r="C51" s="66" t="s">
        <v>248</v>
      </c>
      <c r="D51" s="42" t="s">
        <v>249</v>
      </c>
      <c r="E51" s="43" t="s">
        <v>42</v>
      </c>
      <c r="F51" s="64" t="s">
        <v>42</v>
      </c>
      <c r="G51" s="53"/>
      <c r="H51" s="46"/>
      <c r="I51" s="47"/>
      <c r="J51" s="48"/>
      <c r="K51" s="49"/>
      <c r="L51" s="46"/>
      <c r="M51" s="56" t="s">
        <v>86</v>
      </c>
      <c r="N51" s="54" t="s">
        <v>243</v>
      </c>
      <c r="O51" s="68">
        <v>0</v>
      </c>
      <c r="P51" s="50" t="e">
        <v>#REF!</v>
      </c>
      <c r="Q51" s="62"/>
      <c r="R51" s="51"/>
      <c r="S51" s="51"/>
      <c r="T51" s="12"/>
      <c r="U51" s="12"/>
      <c r="V51" s="12"/>
      <c r="W51" s="12"/>
      <c r="X51" s="14" t="e">
        <f t="array" ref="X51">IF(OR(AND(#REF!=""),AND(#REF!="-"),OR(NOT(ISERROR(SEARCH("-*",H51:L51))))),0,1)</f>
        <v>#REF!</v>
      </c>
      <c r="Y51" s="12"/>
      <c r="Z51" s="14">
        <f t="array" ref="Z51">IF(AND(E51:G51="-"),0,IF(OR(NOT(ISERROR(SEARCH("+*",H51:L51)))),2,IF(OR(NOT(ISERROR(SEARCH("--*",E51:L51)))),-1,IF(OR(NOT(E51:G51="")),1,0))))</f>
        <v>1</v>
      </c>
      <c r="AA51" s="14">
        <v>97</v>
      </c>
      <c r="AB51" s="12"/>
    </row>
    <row r="52" spans="1:28" ht="76.5">
      <c r="A52" s="41">
        <v>88</v>
      </c>
      <c r="B52" s="66" t="s">
        <v>250</v>
      </c>
      <c r="C52" s="66" t="s">
        <v>251</v>
      </c>
      <c r="D52" s="42" t="s">
        <v>252</v>
      </c>
      <c r="E52" s="43" t="s">
        <v>42</v>
      </c>
      <c r="F52" s="44" t="s">
        <v>42</v>
      </c>
      <c r="G52" s="53"/>
      <c r="H52" s="46"/>
      <c r="I52" s="47"/>
      <c r="J52" s="48"/>
      <c r="K52" s="49"/>
      <c r="L52" s="46"/>
      <c r="M52" s="56" t="s">
        <v>86</v>
      </c>
      <c r="N52" s="54" t="s">
        <v>243</v>
      </c>
      <c r="O52" s="56">
        <v>0</v>
      </c>
      <c r="P52" s="50" t="e">
        <v>#REF!</v>
      </c>
      <c r="Q52" s="62"/>
      <c r="R52" s="51"/>
      <c r="S52" s="51"/>
      <c r="T52" s="12"/>
      <c r="U52" s="12"/>
      <c r="V52" s="12"/>
      <c r="W52" s="12"/>
      <c r="X52" s="14" t="e">
        <f t="array" ref="X52">IF(OR(AND(#REF!=""),AND(#REF!="-"),OR(NOT(ISERROR(SEARCH("-*",H52:L52))))),0,1)</f>
        <v>#REF!</v>
      </c>
      <c r="Y52" s="12"/>
      <c r="Z52" s="14">
        <f t="array" ref="Z52">IF(AND(E52:G52="-"),0,IF(OR(NOT(ISERROR(SEARCH("+*",H52:L52)))),2,IF(OR(NOT(ISERROR(SEARCH("--*",E52:L52)))),-1,IF(OR(NOT(E52:G52="")),1,0))))</f>
        <v>1</v>
      </c>
      <c r="AA52" s="14">
        <v>98</v>
      </c>
      <c r="AB52" s="12"/>
    </row>
    <row r="53" spans="1:28" ht="76.5">
      <c r="A53" s="41">
        <v>89</v>
      </c>
      <c r="B53" s="66" t="s">
        <v>253</v>
      </c>
      <c r="C53" s="66" t="s">
        <v>254</v>
      </c>
      <c r="D53" s="66" t="s">
        <v>255</v>
      </c>
      <c r="E53" s="43" t="s">
        <v>74</v>
      </c>
      <c r="F53" s="57"/>
      <c r="G53" s="53"/>
      <c r="H53" s="46"/>
      <c r="I53" s="47"/>
      <c r="J53" s="48"/>
      <c r="K53" s="49"/>
      <c r="L53" s="46"/>
      <c r="M53" s="56" t="s">
        <v>43</v>
      </c>
      <c r="N53" s="54" t="s">
        <v>256</v>
      </c>
      <c r="O53" s="56">
        <v>2</v>
      </c>
      <c r="P53" s="50" t="e">
        <v>#REF!</v>
      </c>
      <c r="Q53" s="62"/>
      <c r="R53" s="51"/>
      <c r="S53" s="51"/>
      <c r="T53" s="12"/>
      <c r="U53" s="12"/>
      <c r="V53" s="12"/>
      <c r="W53" s="12"/>
      <c r="X53" s="14" t="e">
        <f t="array" ref="X53">IF(OR(AND(#REF!=""),AND(#REF!="-"),OR(NOT(ISERROR(SEARCH("-*",H53:L53))))),0,1)</f>
        <v>#REF!</v>
      </c>
      <c r="Y53" s="12"/>
      <c r="Z53" s="14">
        <f t="array" ref="Z53">IF(AND(E53:G53="-"),0,IF(OR(NOT(ISERROR(SEARCH("+*",H53:L53)))),2,IF(OR(NOT(ISERROR(SEARCH("--*",E53:L53)))),-1,IF(OR(NOT(E53:G53="")),1,0))))</f>
        <v>1</v>
      </c>
      <c r="AA53" s="14">
        <v>100</v>
      </c>
      <c r="AB53" s="12"/>
    </row>
    <row r="54" spans="1:28" ht="63.75">
      <c r="A54" s="41">
        <v>90</v>
      </c>
      <c r="B54" s="66" t="s">
        <v>257</v>
      </c>
      <c r="C54" s="66" t="s">
        <v>258</v>
      </c>
      <c r="D54" s="66" t="s">
        <v>259</v>
      </c>
      <c r="E54" s="43" t="s">
        <v>74</v>
      </c>
      <c r="F54" s="44" t="s">
        <v>74</v>
      </c>
      <c r="G54" s="53"/>
      <c r="H54" s="46"/>
      <c r="I54" s="47"/>
      <c r="J54" s="48"/>
      <c r="K54" s="49"/>
      <c r="L54" s="46"/>
      <c r="M54" s="56" t="s">
        <v>86</v>
      </c>
      <c r="N54" s="54" t="s">
        <v>243</v>
      </c>
      <c r="O54" s="68">
        <v>0</v>
      </c>
      <c r="P54" s="50" t="e">
        <v>#REF!</v>
      </c>
      <c r="Q54" s="62" t="s">
        <v>44</v>
      </c>
      <c r="R54" s="51"/>
      <c r="S54" s="51"/>
      <c r="T54" s="12"/>
      <c r="U54" s="12"/>
      <c r="V54" s="12"/>
      <c r="W54" s="12"/>
      <c r="X54" s="14" t="e">
        <f t="array" ref="X54">IF(OR(AND(#REF!=""),AND(#REF!="-"),OR(NOT(ISERROR(SEARCH("-*",H54:L54))))),0,1)</f>
        <v>#REF!</v>
      </c>
      <c r="Y54" s="12"/>
      <c r="Z54" s="14">
        <f t="array" ref="Z54">IF(AND(E54:G54="-"),0,IF(OR(NOT(ISERROR(SEARCH("+*",H54:L54)))),2,IF(OR(NOT(ISERROR(SEARCH("--*",E54:L54)))),-1,IF(OR(NOT(E54:G54="")),1,0))))</f>
        <v>1</v>
      </c>
      <c r="AA54" s="14">
        <v>103</v>
      </c>
      <c r="AB54" s="12"/>
    </row>
    <row r="55" spans="1:28" ht="229.5">
      <c r="A55" s="41">
        <v>91</v>
      </c>
      <c r="B55" s="66" t="s">
        <v>260</v>
      </c>
      <c r="C55" s="66" t="s">
        <v>261</v>
      </c>
      <c r="D55" s="66" t="s">
        <v>262</v>
      </c>
      <c r="E55" s="43" t="s">
        <v>42</v>
      </c>
      <c r="F55" s="44" t="s">
        <v>42</v>
      </c>
      <c r="G55" s="53"/>
      <c r="H55" s="46"/>
      <c r="I55" s="47" t="s">
        <v>111</v>
      </c>
      <c r="J55" s="48"/>
      <c r="K55" s="59" t="s">
        <v>111</v>
      </c>
      <c r="L55" s="46"/>
      <c r="M55" s="56" t="s">
        <v>84</v>
      </c>
      <c r="N55" s="54" t="s">
        <v>263</v>
      </c>
      <c r="O55" s="56">
        <v>0</v>
      </c>
      <c r="P55" s="50" t="e">
        <v>#REF!</v>
      </c>
      <c r="Q55" s="62" t="s">
        <v>86</v>
      </c>
      <c r="R55" s="51" t="s">
        <v>43</v>
      </c>
      <c r="S55" s="51" t="s">
        <v>264</v>
      </c>
      <c r="T55" s="12"/>
      <c r="U55" s="12"/>
      <c r="V55" s="12"/>
      <c r="W55" s="12"/>
      <c r="X55" s="14" t="e">
        <f t="array" ref="X55">IF(OR(AND(#REF!=""),AND(#REF!="-"),OR(NOT(ISERROR(SEARCH("-*",H55:L55))))),0,1)</f>
        <v>#REF!</v>
      </c>
      <c r="Y55" s="12"/>
      <c r="Z55" s="14">
        <f t="array" ref="Z55">IF(AND(E55:G55="-"),0,IF(OR(NOT(ISERROR(SEARCH("+*",H55:L55)))),2,IF(OR(NOT(ISERROR(SEARCH("--*",E55:L55)))),-1,IF(OR(NOT(E55:G55="")),1,0))))</f>
        <v>2</v>
      </c>
      <c r="AA55" s="14">
        <v>104</v>
      </c>
      <c r="AB55" s="12"/>
    </row>
    <row r="56" spans="1:28" ht="38.25">
      <c r="A56" s="41">
        <v>92</v>
      </c>
      <c r="B56" s="66" t="s">
        <v>265</v>
      </c>
      <c r="C56" s="66" t="s">
        <v>266</v>
      </c>
      <c r="D56" s="66" t="s">
        <v>267</v>
      </c>
      <c r="E56" s="43" t="s">
        <v>42</v>
      </c>
      <c r="F56" s="44" t="s">
        <v>42</v>
      </c>
      <c r="G56" s="53"/>
      <c r="H56" s="46"/>
      <c r="I56" s="47"/>
      <c r="J56" s="48"/>
      <c r="K56" s="49"/>
      <c r="L56" s="46"/>
      <c r="M56" s="56" t="s">
        <v>84</v>
      </c>
      <c r="N56" s="54" t="s">
        <v>263</v>
      </c>
      <c r="O56" s="56">
        <v>0</v>
      </c>
      <c r="P56" s="50" t="e">
        <v>#REF!</v>
      </c>
      <c r="Q56" s="62" t="s">
        <v>62</v>
      </c>
      <c r="R56" s="51"/>
      <c r="S56" s="51"/>
      <c r="T56" s="12"/>
      <c r="U56" s="12"/>
      <c r="V56" s="12"/>
      <c r="W56" s="12"/>
      <c r="X56" s="14" t="e">
        <f t="array" ref="X56">IF(OR(AND(#REF!=""),AND(#REF!="-"),OR(NOT(ISERROR(SEARCH("-*",H56:L56))))),0,1)</f>
        <v>#REF!</v>
      </c>
      <c r="Y56" s="12"/>
      <c r="Z56" s="14">
        <f t="array" ref="Z56">IF(AND(E56:G56="-"),0,IF(OR(NOT(ISERROR(SEARCH("+*",H56:L56)))),2,IF(OR(NOT(ISERROR(SEARCH("--*",E56:L56)))),-1,IF(OR(NOT(E56:G56="")),1,0))))</f>
        <v>1</v>
      </c>
      <c r="AA56" s="14">
        <v>105</v>
      </c>
      <c r="AB56" s="12"/>
    </row>
    <row r="57" spans="1:28" ht="38.25">
      <c r="A57" s="41">
        <v>93</v>
      </c>
      <c r="B57" s="66" t="s">
        <v>268</v>
      </c>
      <c r="C57" s="66" t="s">
        <v>269</v>
      </c>
      <c r="D57" s="66" t="s">
        <v>270</v>
      </c>
      <c r="E57" s="43" t="s">
        <v>74</v>
      </c>
      <c r="F57" s="44" t="s">
        <v>74</v>
      </c>
      <c r="G57" s="53"/>
      <c r="H57" s="46"/>
      <c r="I57" s="47" t="s">
        <v>111</v>
      </c>
      <c r="J57" s="48"/>
      <c r="K57" s="59" t="s">
        <v>111</v>
      </c>
      <c r="L57" s="46"/>
      <c r="M57" s="56" t="s">
        <v>84</v>
      </c>
      <c r="N57" s="54" t="s">
        <v>263</v>
      </c>
      <c r="O57" s="56">
        <v>0</v>
      </c>
      <c r="P57" s="50" t="e">
        <v>#REF!</v>
      </c>
      <c r="Q57" s="62" t="s">
        <v>86</v>
      </c>
      <c r="R57" s="51"/>
      <c r="S57" s="51"/>
      <c r="T57" s="12"/>
      <c r="U57" s="12"/>
      <c r="V57" s="12"/>
      <c r="W57" s="12"/>
      <c r="X57" s="14" t="e">
        <f t="array" ref="X57">IF(OR(AND(#REF!=""),AND(#REF!="-"),OR(NOT(ISERROR(SEARCH("-*",H57:L57))))),0,1)</f>
        <v>#REF!</v>
      </c>
      <c r="Y57" s="12"/>
      <c r="Z57" s="14">
        <f t="array" ref="Z57">IF(AND(E57:G57="-"),0,IF(OR(NOT(ISERROR(SEARCH("+*",H57:L57)))),2,IF(OR(NOT(ISERROR(SEARCH("--*",E57:L57)))),-1,IF(OR(NOT(E57:G57="")),1,0))))</f>
        <v>2</v>
      </c>
      <c r="AA57" s="14">
        <v>107</v>
      </c>
      <c r="AB57" s="12"/>
    </row>
    <row r="58" spans="1:28" ht="38.25">
      <c r="A58" s="41">
        <v>94</v>
      </c>
      <c r="B58" s="66" t="s">
        <v>271</v>
      </c>
      <c r="C58" s="66" t="s">
        <v>272</v>
      </c>
      <c r="D58" s="66" t="s">
        <v>273</v>
      </c>
      <c r="E58" s="43" t="s">
        <v>74</v>
      </c>
      <c r="F58" s="44" t="s">
        <v>74</v>
      </c>
      <c r="G58" s="53"/>
      <c r="H58" s="46"/>
      <c r="I58" s="47" t="s">
        <v>111</v>
      </c>
      <c r="J58" s="48"/>
      <c r="K58" s="59" t="s">
        <v>111</v>
      </c>
      <c r="L58" s="46"/>
      <c r="M58" s="56" t="s">
        <v>84</v>
      </c>
      <c r="N58" s="54" t="s">
        <v>263</v>
      </c>
      <c r="O58" s="56">
        <v>0</v>
      </c>
      <c r="P58" s="50" t="e">
        <v>#REF!</v>
      </c>
      <c r="Q58" s="62"/>
      <c r="R58" s="51"/>
      <c r="S58" s="51"/>
      <c r="T58" s="12"/>
      <c r="U58" s="12"/>
      <c r="V58" s="12"/>
      <c r="W58" s="12"/>
      <c r="X58" s="14" t="e">
        <f t="array" ref="X58">IF(OR(AND(#REF!=""),AND(#REF!="-"),OR(NOT(ISERROR(SEARCH("-*",H58:L58))))),0,1)</f>
        <v>#REF!</v>
      </c>
      <c r="Y58" s="12"/>
      <c r="Z58" s="14">
        <f t="array" ref="Z58">IF(AND(E58:G58="-"),0,IF(OR(NOT(ISERROR(SEARCH("+*",H58:L58)))),2,IF(OR(NOT(ISERROR(SEARCH("--*",E58:L58)))),-1,IF(OR(NOT(E58:G58="")),1,0))))</f>
        <v>2</v>
      </c>
      <c r="AA58" s="14">
        <v>108</v>
      </c>
      <c r="AB58" s="12"/>
    </row>
    <row r="59" spans="1:28" ht="318.75">
      <c r="A59" s="41">
        <v>96</v>
      </c>
      <c r="B59" s="66" t="s">
        <v>274</v>
      </c>
      <c r="C59" s="66" t="s">
        <v>275</v>
      </c>
      <c r="D59" s="66" t="s">
        <v>276</v>
      </c>
      <c r="E59" s="43" t="s">
        <v>42</v>
      </c>
      <c r="F59" s="44" t="s">
        <v>42</v>
      </c>
      <c r="G59" s="53"/>
      <c r="H59" s="46"/>
      <c r="I59" s="58" t="s">
        <v>125</v>
      </c>
      <c r="J59" s="48"/>
      <c r="K59" s="59" t="s">
        <v>125</v>
      </c>
      <c r="L59" s="46"/>
      <c r="M59" s="56" t="s">
        <v>84</v>
      </c>
      <c r="N59" s="54" t="s">
        <v>277</v>
      </c>
      <c r="O59" s="56">
        <v>0</v>
      </c>
      <c r="P59" s="50" t="e">
        <v>#REF!</v>
      </c>
      <c r="Q59" s="62" t="s">
        <v>86</v>
      </c>
      <c r="R59" s="51" t="s">
        <v>43</v>
      </c>
      <c r="S59" s="51" t="s">
        <v>278</v>
      </c>
      <c r="T59" s="12"/>
      <c r="U59" s="12"/>
      <c r="V59" s="12"/>
      <c r="W59" s="12"/>
      <c r="X59" s="14" t="e">
        <f t="array" ref="X59">IF(OR(AND(#REF!=""),AND(#REF!="-"),OR(NOT(ISERROR(SEARCH("-*",H59:L59))))),0,1)</f>
        <v>#REF!</v>
      </c>
      <c r="Y59" s="12"/>
      <c r="Z59" s="14">
        <f t="array" ref="Z59">IF(AND(E59:G59="-"),0,IF(OR(NOT(ISERROR(SEARCH("+*",H59:L59)))),2,IF(OR(NOT(ISERROR(SEARCH("--*",E59:L59)))),-1,IF(OR(NOT(E59:G59="")),1,0))))</f>
        <v>2</v>
      </c>
      <c r="AA59" s="14">
        <v>110</v>
      </c>
      <c r="AB59" s="12"/>
    </row>
    <row r="60" spans="1:28" ht="38.25">
      <c r="A60" s="41">
        <v>98</v>
      </c>
      <c r="B60" s="66" t="s">
        <v>279</v>
      </c>
      <c r="C60" s="66" t="s">
        <v>280</v>
      </c>
      <c r="D60" s="42" t="s">
        <v>281</v>
      </c>
      <c r="E60" s="43" t="s">
        <v>42</v>
      </c>
      <c r="F60" s="44" t="s">
        <v>42</v>
      </c>
      <c r="G60" s="53"/>
      <c r="H60" s="46"/>
      <c r="I60" s="47"/>
      <c r="J60" s="48"/>
      <c r="K60" s="49"/>
      <c r="L60" s="46"/>
      <c r="M60" s="56" t="s">
        <v>84</v>
      </c>
      <c r="N60" s="54" t="s">
        <v>277</v>
      </c>
      <c r="O60" s="56">
        <v>0</v>
      </c>
      <c r="P60" s="50" t="e">
        <v>#REF!</v>
      </c>
      <c r="Q60" s="62" t="s">
        <v>44</v>
      </c>
      <c r="R60" s="51"/>
      <c r="S60" s="51"/>
      <c r="T60" s="12"/>
      <c r="U60" s="12"/>
      <c r="V60" s="12"/>
      <c r="W60" s="12"/>
      <c r="X60" s="14" t="e">
        <f t="array" ref="X60">IF(OR(AND(#REF!=""),AND(#REF!="-"),OR(NOT(ISERROR(SEARCH("-*",H60:L60))))),0,1)</f>
        <v>#REF!</v>
      </c>
      <c r="Y60" s="12"/>
      <c r="Z60" s="14">
        <f t="array" ref="Z60">IF(AND(E60:G60="-"),0,IF(OR(NOT(ISERROR(SEARCH("+*",H60:L60)))),2,IF(OR(NOT(ISERROR(SEARCH("--*",E60:L60)))),-1,IF(OR(NOT(E60:G60="")),1,0))))</f>
        <v>1</v>
      </c>
      <c r="AA60" s="14">
        <v>115</v>
      </c>
      <c r="AB60" s="12"/>
    </row>
    <row r="61" spans="1:28" ht="204">
      <c r="A61" s="41">
        <v>99</v>
      </c>
      <c r="B61" s="66" t="s">
        <v>282</v>
      </c>
      <c r="C61" s="66" t="s">
        <v>283</v>
      </c>
      <c r="D61" s="66" t="s">
        <v>284</v>
      </c>
      <c r="E61" s="43" t="s">
        <v>42</v>
      </c>
      <c r="F61" s="44" t="s">
        <v>42</v>
      </c>
      <c r="G61" s="53"/>
      <c r="H61" s="46"/>
      <c r="I61" s="47" t="s">
        <v>111</v>
      </c>
      <c r="J61" s="48"/>
      <c r="K61" s="59" t="s">
        <v>111</v>
      </c>
      <c r="L61" s="46"/>
      <c r="M61" s="56" t="s">
        <v>86</v>
      </c>
      <c r="N61" s="54" t="s">
        <v>285</v>
      </c>
      <c r="O61" s="68">
        <v>0</v>
      </c>
      <c r="P61" s="50" t="e">
        <v>#REF!</v>
      </c>
      <c r="Q61" s="62" t="s">
        <v>86</v>
      </c>
      <c r="R61" s="51" t="s">
        <v>43</v>
      </c>
      <c r="S61" s="51" t="s">
        <v>286</v>
      </c>
      <c r="T61" s="12"/>
      <c r="U61" s="12"/>
      <c r="V61" s="12"/>
      <c r="W61" s="12"/>
      <c r="X61" s="14" t="e">
        <f t="array" ref="X61">IF(OR(AND(#REF!=""),AND(#REF!="-"),OR(NOT(ISERROR(SEARCH("-*",H61:L61))))),0,1)</f>
        <v>#REF!</v>
      </c>
      <c r="Y61" s="12"/>
      <c r="Z61" s="14">
        <f t="array" ref="Z61">IF(AND(E61:G61="-"),0,IF(OR(NOT(ISERROR(SEARCH("+*",H61:L61)))),2,IF(OR(NOT(ISERROR(SEARCH("--*",E61:L61)))),-1,IF(OR(NOT(E61:G61="")),1,0))))</f>
        <v>2</v>
      </c>
      <c r="AA61" s="14">
        <v>116</v>
      </c>
      <c r="AB61" s="12"/>
    </row>
    <row r="62" spans="1:28" ht="102">
      <c r="A62" s="41">
        <v>100</v>
      </c>
      <c r="B62" s="66" t="s">
        <v>287</v>
      </c>
      <c r="C62" s="66" t="s">
        <v>288</v>
      </c>
      <c r="D62" s="66" t="s">
        <v>289</v>
      </c>
      <c r="E62" s="43" t="s">
        <v>42</v>
      </c>
      <c r="F62" s="44" t="s">
        <v>42</v>
      </c>
      <c r="G62" s="53"/>
      <c r="H62" s="46"/>
      <c r="I62" s="47" t="s">
        <v>111</v>
      </c>
      <c r="J62" s="48"/>
      <c r="K62" s="59" t="s">
        <v>111</v>
      </c>
      <c r="L62" s="46"/>
      <c r="M62" s="56" t="s">
        <v>86</v>
      </c>
      <c r="N62" s="54" t="s">
        <v>290</v>
      </c>
      <c r="O62" s="56">
        <v>0</v>
      </c>
      <c r="P62" s="50" t="e">
        <v>#REF!</v>
      </c>
      <c r="Q62" s="62"/>
      <c r="R62" s="51"/>
      <c r="S62" s="51"/>
      <c r="T62" s="12"/>
      <c r="U62" s="12"/>
      <c r="V62" s="12"/>
      <c r="W62" s="12"/>
      <c r="X62" s="14" t="e">
        <f t="array" ref="X62">IF(OR(AND(#REF!=""),AND(#REF!="-"),OR(NOT(ISERROR(SEARCH("-*",H62:L62))))),0,1)</f>
        <v>#REF!</v>
      </c>
      <c r="Y62" s="12"/>
      <c r="Z62" s="14">
        <f t="array" ref="Z62">IF(AND(E62:G62="-"),0,IF(OR(NOT(ISERROR(SEARCH("+*",H62:L62)))),2,IF(OR(NOT(ISERROR(SEARCH("--*",E62:L62)))),-1,IF(OR(NOT(E62:G62="")),1,0))))</f>
        <v>2</v>
      </c>
      <c r="AA62" s="14">
        <v>117</v>
      </c>
      <c r="AB62" s="12"/>
    </row>
    <row r="63" spans="1:28" ht="357">
      <c r="A63" s="41">
        <v>101</v>
      </c>
      <c r="B63" s="66" t="s">
        <v>291</v>
      </c>
      <c r="C63" s="66" t="s">
        <v>292</v>
      </c>
      <c r="D63" s="42" t="s">
        <v>293</v>
      </c>
      <c r="E63" s="43" t="s">
        <v>42</v>
      </c>
      <c r="F63" s="57"/>
      <c r="G63" s="53"/>
      <c r="H63" s="46"/>
      <c r="I63" s="47" t="s">
        <v>111</v>
      </c>
      <c r="J63" s="48"/>
      <c r="K63" s="59" t="s">
        <v>111</v>
      </c>
      <c r="L63" s="46"/>
      <c r="M63" s="56" t="s">
        <v>84</v>
      </c>
      <c r="N63" s="54" t="s">
        <v>294</v>
      </c>
      <c r="O63" s="56">
        <v>0</v>
      </c>
      <c r="P63" s="50" t="e">
        <v>#REF!</v>
      </c>
      <c r="Q63" s="62"/>
      <c r="R63" s="51" t="s">
        <v>295</v>
      </c>
      <c r="S63" s="51" t="s">
        <v>296</v>
      </c>
      <c r="T63" s="12"/>
      <c r="U63" s="12"/>
      <c r="V63" s="12"/>
      <c r="W63" s="12"/>
      <c r="X63" s="14" t="e">
        <f t="array" ref="X63">IF(OR(AND(#REF!=""),AND(#REF!="-"),OR(NOT(ISERROR(SEARCH("-*",H63:L63))))),0,1)</f>
        <v>#REF!</v>
      </c>
      <c r="Y63" s="12"/>
      <c r="Z63" s="14">
        <f t="array" ref="Z63">IF(AND(E63:G63="-"),0,IF(OR(NOT(ISERROR(SEARCH("+*",H63:L63)))),2,IF(OR(NOT(ISERROR(SEARCH("--*",E63:L63)))),-1,IF(OR(NOT(E63:G63="")),1,0))))</f>
        <v>2</v>
      </c>
      <c r="AA63" s="14">
        <v>118</v>
      </c>
      <c r="AB63" s="12"/>
    </row>
    <row r="64" spans="1:28" ht="76.5">
      <c r="A64" s="41">
        <v>102</v>
      </c>
      <c r="B64" s="66" t="s">
        <v>297</v>
      </c>
      <c r="C64" s="66" t="s">
        <v>298</v>
      </c>
      <c r="D64" s="42" t="s">
        <v>299</v>
      </c>
      <c r="E64" s="43" t="s">
        <v>74</v>
      </c>
      <c r="F64" s="57" t="s">
        <v>74</v>
      </c>
      <c r="G64" s="53"/>
      <c r="H64" s="46"/>
      <c r="I64" s="58" t="s">
        <v>300</v>
      </c>
      <c r="J64" s="48"/>
      <c r="K64" s="59" t="s">
        <v>300</v>
      </c>
      <c r="L64" s="46"/>
      <c r="M64" s="56" t="s">
        <v>86</v>
      </c>
      <c r="N64" s="54" t="s">
        <v>301</v>
      </c>
      <c r="O64" s="68">
        <v>0</v>
      </c>
      <c r="P64" s="50" t="e">
        <v>#REF!</v>
      </c>
      <c r="Q64" s="62"/>
      <c r="R64" s="51"/>
      <c r="S64" s="51"/>
      <c r="T64" s="12"/>
      <c r="U64" s="12"/>
      <c r="V64" s="12"/>
      <c r="W64" s="12"/>
      <c r="X64" s="14" t="e">
        <f t="array" ref="X64">IF(OR(AND(#REF!=""),AND(#REF!="-"),OR(NOT(ISERROR(SEARCH("-*",H64:L64))))),0,1)</f>
        <v>#REF!</v>
      </c>
      <c r="Y64" s="12"/>
      <c r="Z64" s="14">
        <f t="array" ref="Z64">IF(AND(E64:G64="-"),0,IF(OR(NOT(ISERROR(SEARCH("+*",H64:L64)))),2,IF(OR(NOT(ISERROR(SEARCH("--*",E64:L64)))),-1,IF(OR(NOT(E64:G64="")),1,0))))</f>
        <v>2</v>
      </c>
      <c r="AA64" s="14">
        <v>119</v>
      </c>
      <c r="AB64" s="12"/>
    </row>
    <row r="65" spans="1:28" ht="63.75">
      <c r="A65" s="41">
        <v>103</v>
      </c>
      <c r="B65" s="66" t="s">
        <v>302</v>
      </c>
      <c r="C65" s="66" t="s">
        <v>303</v>
      </c>
      <c r="D65" s="42" t="s">
        <v>304</v>
      </c>
      <c r="E65" s="43"/>
      <c r="F65" s="57"/>
      <c r="G65" s="53"/>
      <c r="H65" s="46"/>
      <c r="I65" s="47" t="s">
        <v>111</v>
      </c>
      <c r="J65" s="48"/>
      <c r="K65" s="59" t="s">
        <v>111</v>
      </c>
      <c r="L65" s="46"/>
      <c r="M65" s="56" t="s">
        <v>86</v>
      </c>
      <c r="N65" s="54" t="s">
        <v>305</v>
      </c>
      <c r="O65" s="68">
        <v>0</v>
      </c>
      <c r="P65" s="50" t="e">
        <v>#REF!</v>
      </c>
      <c r="Q65" s="62"/>
      <c r="R65" s="51"/>
      <c r="S65" s="51"/>
      <c r="T65" s="12"/>
      <c r="U65" s="12"/>
      <c r="V65" s="12"/>
      <c r="W65" s="12"/>
      <c r="X65" s="14" t="e">
        <f t="array" ref="X65">IF(OR(AND(#REF!=""),AND(#REF!="-"),OR(NOT(ISERROR(SEARCH("-*",H65:L65))))),0,1)</f>
        <v>#REF!</v>
      </c>
      <c r="Y65" s="12"/>
      <c r="Z65" s="14">
        <f t="array" ref="Z65">IF(AND(E65:G65="-"),0,IF(OR(NOT(ISERROR(SEARCH("+*",H65:L65)))),2,IF(OR(NOT(ISERROR(SEARCH("--*",E65:L65)))),-1,IF(OR(NOT(E65:G65="")),1,0))))</f>
        <v>2</v>
      </c>
      <c r="AA65" s="14">
        <v>120</v>
      </c>
      <c r="AB65" s="12"/>
    </row>
    <row r="66" spans="1:28" ht="114.75">
      <c r="A66" s="41">
        <v>104</v>
      </c>
      <c r="B66" s="66" t="s">
        <v>306</v>
      </c>
      <c r="C66" s="66" t="s">
        <v>307</v>
      </c>
      <c r="D66" s="42" t="s">
        <v>308</v>
      </c>
      <c r="E66" s="43" t="s">
        <v>42</v>
      </c>
      <c r="F66" s="57"/>
      <c r="G66" s="53"/>
      <c r="H66" s="46"/>
      <c r="I66" s="47"/>
      <c r="J66" s="60"/>
      <c r="K66" s="49"/>
      <c r="L66" s="46"/>
      <c r="M66" s="56" t="s">
        <v>86</v>
      </c>
      <c r="N66" s="54" t="s">
        <v>309</v>
      </c>
      <c r="O66" s="68">
        <v>0</v>
      </c>
      <c r="P66" s="50" t="e">
        <v>#REF!</v>
      </c>
      <c r="Q66" s="62" t="s">
        <v>86</v>
      </c>
      <c r="R66" s="51"/>
      <c r="S66" s="51"/>
      <c r="T66" s="12"/>
      <c r="U66" s="12"/>
      <c r="V66" s="12"/>
      <c r="W66" s="12"/>
      <c r="X66" s="14" t="e">
        <f t="array" ref="X66">IF(OR(AND(#REF!=""),AND(#REF!="-"),OR(NOT(ISERROR(SEARCH("-*",H66:L66))))),0,1)</f>
        <v>#REF!</v>
      </c>
      <c r="Y66" s="12"/>
      <c r="Z66" s="14">
        <f t="array" ref="Z66">IF(AND(E66:G66="-"),0,IF(OR(NOT(ISERROR(SEARCH("+*",H66:L66)))),2,IF(OR(NOT(ISERROR(SEARCH("--*",E66:L66)))),-1,IF(OR(NOT(E66:G66="")),1,0))))</f>
        <v>1</v>
      </c>
      <c r="AA66" s="14">
        <v>121</v>
      </c>
      <c r="AB66" s="12"/>
    </row>
    <row r="67" spans="1:28" ht="51">
      <c r="A67" s="41">
        <v>105</v>
      </c>
      <c r="B67" s="66" t="s">
        <v>310</v>
      </c>
      <c r="C67" s="66" t="s">
        <v>311</v>
      </c>
      <c r="D67" s="66" t="s">
        <v>312</v>
      </c>
      <c r="E67" s="43"/>
      <c r="F67" s="57"/>
      <c r="G67" s="53"/>
      <c r="H67" s="46"/>
      <c r="I67" s="47"/>
      <c r="J67" s="60" t="s">
        <v>74</v>
      </c>
      <c r="K67" s="61"/>
      <c r="L67" s="46"/>
      <c r="M67" s="56" t="s">
        <v>84</v>
      </c>
      <c r="N67" s="54" t="s">
        <v>313</v>
      </c>
      <c r="O67" s="68">
        <v>0</v>
      </c>
      <c r="P67" s="50" t="e">
        <v>#REF!</v>
      </c>
      <c r="Q67" s="62"/>
      <c r="R67" s="51"/>
      <c r="S67" s="51"/>
      <c r="T67" s="12"/>
      <c r="U67" s="12"/>
      <c r="V67" s="12"/>
      <c r="W67" s="12"/>
      <c r="X67" s="14" t="e">
        <f t="array" ref="X67">IF(OR(AND(#REF!=""),AND(#REF!="-"),OR(NOT(ISERROR(SEARCH("-*",H67:L67))))),0,1)</f>
        <v>#REF!</v>
      </c>
      <c r="Y67" s="12"/>
      <c r="Z67" s="14">
        <f t="array" ref="Z67">IF(AND(E67:G67="-"),0,IF(OR(NOT(ISERROR(SEARCH("+*",H67:L67)))),2,IF(OR(NOT(ISERROR(SEARCH("--*",E67:L67)))),-1,IF(OR(NOT(E67:G67="")),1,0))))</f>
        <v>2</v>
      </c>
      <c r="AA67" s="14">
        <v>122</v>
      </c>
      <c r="AB67" s="12"/>
    </row>
    <row r="68" spans="1:28" ht="216.75">
      <c r="A68" s="41">
        <v>107</v>
      </c>
      <c r="B68" s="66" t="s">
        <v>314</v>
      </c>
      <c r="C68" s="66" t="s">
        <v>315</v>
      </c>
      <c r="D68" s="66" t="s">
        <v>316</v>
      </c>
      <c r="E68" s="43" t="s">
        <v>42</v>
      </c>
      <c r="F68" s="57"/>
      <c r="G68" s="53"/>
      <c r="H68" s="46"/>
      <c r="I68" s="47"/>
      <c r="J68" s="48"/>
      <c r="K68" s="49"/>
      <c r="L68" s="46"/>
      <c r="M68" s="56" t="s">
        <v>43</v>
      </c>
      <c r="N68" s="54" t="s">
        <v>317</v>
      </c>
      <c r="O68" s="68">
        <v>1</v>
      </c>
      <c r="P68" s="50" t="e">
        <v>#REF!</v>
      </c>
      <c r="Q68" s="62" t="s">
        <v>44</v>
      </c>
      <c r="R68" s="51" t="s">
        <v>295</v>
      </c>
      <c r="S68" s="51" t="s">
        <v>318</v>
      </c>
      <c r="T68" s="12"/>
      <c r="U68" s="12"/>
      <c r="V68" s="12"/>
      <c r="W68" s="12"/>
      <c r="X68" s="14" t="e">
        <f t="array" ref="X68">IF(OR(AND(#REF!=""),AND(#REF!="-"),OR(NOT(ISERROR(SEARCH("-*",H68:L68))))),0,1)</f>
        <v>#REF!</v>
      </c>
      <c r="Y68" s="12"/>
      <c r="Z68" s="14">
        <f t="array" ref="Z68">IF(AND(E68:G68="-"),0,IF(OR(NOT(ISERROR(SEARCH("+*",H68:L68)))),2,IF(OR(NOT(ISERROR(SEARCH("--*",E68:L68)))),-1,IF(OR(NOT(E68:G68="")),1,0))))</f>
        <v>1</v>
      </c>
      <c r="AA68" s="14">
        <v>124</v>
      </c>
      <c r="AB68" s="12"/>
    </row>
    <row r="69" spans="1:28" ht="76.5">
      <c r="A69" s="41">
        <v>108</v>
      </c>
      <c r="B69" s="66" t="s">
        <v>319</v>
      </c>
      <c r="C69" s="66" t="s">
        <v>320</v>
      </c>
      <c r="D69" s="42" t="s">
        <v>321</v>
      </c>
      <c r="E69" s="43" t="s">
        <v>74</v>
      </c>
      <c r="F69" s="57"/>
      <c r="G69" s="53"/>
      <c r="H69" s="46"/>
      <c r="I69" s="47"/>
      <c r="J69" s="48"/>
      <c r="K69" s="59" t="s">
        <v>111</v>
      </c>
      <c r="L69" s="46"/>
      <c r="M69" s="56" t="s">
        <v>43</v>
      </c>
      <c r="N69" s="54" t="s">
        <v>322</v>
      </c>
      <c r="O69" s="68">
        <v>2</v>
      </c>
      <c r="P69" s="50" t="e">
        <v>#REF!</v>
      </c>
      <c r="Q69" s="65"/>
      <c r="R69" s="51" t="s">
        <v>51</v>
      </c>
      <c r="S69" s="51" t="s">
        <v>323</v>
      </c>
      <c r="T69" s="12"/>
      <c r="U69" s="12"/>
      <c r="V69" s="12"/>
      <c r="W69" s="12"/>
      <c r="X69" s="14" t="e">
        <f t="array" ref="X69">IF(OR(AND(#REF!=""),AND(#REF!="-"),OR(NOT(ISERROR(SEARCH("-*",H69:L69))))),0,1)</f>
        <v>#REF!</v>
      </c>
      <c r="Y69" s="12"/>
      <c r="Z69" s="14">
        <f t="array" ref="Z69">IF(AND(E69:G69="-"),0,IF(OR(NOT(ISERROR(SEARCH("+*",H69:L69)))),2,IF(OR(NOT(ISERROR(SEARCH("--*",E69:L69)))),-1,IF(OR(NOT(E69:G69="")),1,0))))</f>
        <v>2</v>
      </c>
      <c r="AA69" s="14">
        <v>125</v>
      </c>
      <c r="AB69" s="12"/>
    </row>
    <row r="70" spans="1:28" ht="357">
      <c r="A70" s="41">
        <v>113</v>
      </c>
      <c r="B70" s="66" t="s">
        <v>324</v>
      </c>
      <c r="C70" s="66" t="s">
        <v>325</v>
      </c>
      <c r="D70" s="42" t="s">
        <v>326</v>
      </c>
      <c r="E70" s="43" t="s">
        <v>42</v>
      </c>
      <c r="F70" s="44" t="s">
        <v>42</v>
      </c>
      <c r="G70" s="53" t="s">
        <v>42</v>
      </c>
      <c r="H70" s="46"/>
      <c r="I70" s="47"/>
      <c r="J70" s="48"/>
      <c r="K70" s="49"/>
      <c r="L70" s="46"/>
      <c r="M70" s="56" t="s">
        <v>43</v>
      </c>
      <c r="N70" s="66" t="s">
        <v>327</v>
      </c>
      <c r="O70" s="67">
        <v>1</v>
      </c>
      <c r="P70" s="50" t="e">
        <v>#REF!</v>
      </c>
      <c r="Q70" s="62" t="s">
        <v>44</v>
      </c>
      <c r="R70" s="51" t="s">
        <v>295</v>
      </c>
      <c r="S70" s="51" t="s">
        <v>328</v>
      </c>
      <c r="T70" s="12"/>
      <c r="U70" s="12"/>
      <c r="V70" s="12"/>
      <c r="W70" s="12"/>
      <c r="X70" s="14" t="e">
        <f t="array" ref="X70">IF(OR(AND(#REF!=""),AND(#REF!="-"),OR(NOT(ISERROR(SEARCH("-*",H70:L70))))),0,1)</f>
        <v>#REF!</v>
      </c>
      <c r="Y70" s="12"/>
      <c r="Z70" s="14">
        <f t="array" ref="Z70">IF(AND(E70:G70="-"),0,IF(OR(NOT(ISERROR(SEARCH("+*",H70:L70)))),2,IF(OR(NOT(ISERROR(SEARCH("--*",E70:L70)))),-1,IF(OR(NOT(E70:G70="")),1,0))))</f>
        <v>1</v>
      </c>
      <c r="AA70" s="14">
        <v>130</v>
      </c>
      <c r="AB70" s="12"/>
    </row>
    <row r="71" spans="1:28" ht="127.5">
      <c r="A71" s="41">
        <v>114</v>
      </c>
      <c r="B71" s="66" t="s">
        <v>329</v>
      </c>
      <c r="C71" s="66" t="s">
        <v>330</v>
      </c>
      <c r="D71" s="66" t="s">
        <v>331</v>
      </c>
      <c r="E71" s="43" t="s">
        <v>42</v>
      </c>
      <c r="F71" s="44" t="s">
        <v>42</v>
      </c>
      <c r="G71" s="53" t="s">
        <v>42</v>
      </c>
      <c r="H71" s="46"/>
      <c r="I71" s="58" t="s">
        <v>186</v>
      </c>
      <c r="J71" s="48"/>
      <c r="K71" s="59" t="s">
        <v>186</v>
      </c>
      <c r="L71" s="46"/>
      <c r="M71" s="56" t="s">
        <v>43</v>
      </c>
      <c r="N71" s="54" t="s">
        <v>332</v>
      </c>
      <c r="O71" s="67">
        <v>1</v>
      </c>
      <c r="P71" s="50" t="e">
        <v>#REF!</v>
      </c>
      <c r="Q71" s="62" t="s">
        <v>44</v>
      </c>
      <c r="R71" s="51" t="s">
        <v>43</v>
      </c>
      <c r="S71" s="51" t="s">
        <v>333</v>
      </c>
      <c r="T71" s="12"/>
      <c r="U71" s="12"/>
      <c r="V71" s="12"/>
      <c r="W71" s="12"/>
      <c r="X71" s="14" t="e">
        <f t="array" ref="X71">IF(OR(AND(#REF!=""),AND(#REF!="-"),OR(NOT(ISERROR(SEARCH("-*",H71:L71))))),0,1)</f>
        <v>#REF!</v>
      </c>
      <c r="Y71" s="12"/>
      <c r="Z71" s="14">
        <f t="array" ref="Z71">IF(AND(E71:G71="-"),0,IF(OR(NOT(ISERROR(SEARCH("+*",H71:L71)))),2,IF(OR(NOT(ISERROR(SEARCH("--*",E71:L71)))),-1,IF(OR(NOT(E71:G71="")),1,0))))</f>
        <v>2</v>
      </c>
      <c r="AA71" s="14">
        <v>131</v>
      </c>
      <c r="AB71" s="12"/>
    </row>
    <row r="72" spans="1:28" ht="127.5">
      <c r="A72" s="41">
        <v>116</v>
      </c>
      <c r="B72" s="66" t="s">
        <v>334</v>
      </c>
      <c r="C72" s="66" t="s">
        <v>335</v>
      </c>
      <c r="D72" s="66" t="s">
        <v>336</v>
      </c>
      <c r="E72" s="43" t="s">
        <v>42</v>
      </c>
      <c r="F72" s="44" t="s">
        <v>42</v>
      </c>
      <c r="G72" s="53" t="s">
        <v>42</v>
      </c>
      <c r="H72" s="46"/>
      <c r="I72" s="47" t="s">
        <v>111</v>
      </c>
      <c r="J72" s="48"/>
      <c r="K72" s="59" t="s">
        <v>111</v>
      </c>
      <c r="L72" s="46"/>
      <c r="M72" s="56" t="s">
        <v>43</v>
      </c>
      <c r="N72" s="54" t="s">
        <v>337</v>
      </c>
      <c r="O72" s="67">
        <v>1</v>
      </c>
      <c r="P72" s="50" t="e">
        <v>#REF!</v>
      </c>
      <c r="Q72" s="62"/>
      <c r="R72" s="51" t="s">
        <v>295</v>
      </c>
      <c r="S72" s="51" t="s">
        <v>338</v>
      </c>
      <c r="T72" s="12"/>
      <c r="U72" s="12"/>
      <c r="V72" s="12"/>
      <c r="W72" s="12"/>
      <c r="X72" s="14" t="e">
        <f t="array" ref="X72">IF(OR(AND(#REF!=""),AND(#REF!="-"),OR(NOT(ISERROR(SEARCH("-*",H72:L72))))),0,1)</f>
        <v>#REF!</v>
      </c>
      <c r="Y72" s="12"/>
      <c r="Z72" s="14">
        <f t="array" ref="Z72">IF(AND(E72:G72="-"),0,IF(OR(NOT(ISERROR(SEARCH("+*",H72:L72)))),2,IF(OR(NOT(ISERROR(SEARCH("--*",E72:L72)))),-1,IF(OR(NOT(E72:G72="")),1,0))))</f>
        <v>2</v>
      </c>
      <c r="AA72" s="14">
        <v>133</v>
      </c>
      <c r="AB72" s="12"/>
    </row>
    <row r="73" spans="1:28" ht="153">
      <c r="A73" s="41">
        <v>117</v>
      </c>
      <c r="B73" s="66" t="s">
        <v>339</v>
      </c>
      <c r="C73" s="66" t="s">
        <v>340</v>
      </c>
      <c r="D73" s="66" t="s">
        <v>341</v>
      </c>
      <c r="E73" s="43" t="s">
        <v>42</v>
      </c>
      <c r="F73" s="44" t="s">
        <v>42</v>
      </c>
      <c r="G73" s="53" t="s">
        <v>42</v>
      </c>
      <c r="H73" s="46"/>
      <c r="I73" s="47"/>
      <c r="J73" s="48" t="s">
        <v>342</v>
      </c>
      <c r="K73" s="49"/>
      <c r="L73" s="46"/>
      <c r="M73" s="56" t="s">
        <v>43</v>
      </c>
      <c r="N73" s="66" t="s">
        <v>343</v>
      </c>
      <c r="O73" s="67">
        <v>1</v>
      </c>
      <c r="P73" s="50" t="e">
        <v>#REF!</v>
      </c>
      <c r="Q73" s="62" t="s">
        <v>44</v>
      </c>
      <c r="R73" s="51" t="s">
        <v>43</v>
      </c>
      <c r="S73" s="51" t="s">
        <v>344</v>
      </c>
      <c r="T73" s="12"/>
      <c r="U73" s="12"/>
      <c r="V73" s="12"/>
      <c r="W73" s="12"/>
      <c r="X73" s="14" t="e">
        <f t="array" ref="X73">IF(OR(AND(#REF!=""),AND(#REF!="-"),OR(NOT(ISERROR(SEARCH("-*",H73:L73))))),0,1)</f>
        <v>#REF!</v>
      </c>
      <c r="Y73" s="12"/>
      <c r="Z73" s="14">
        <f t="array" ref="Z73">IF(AND(E73:G73="-"),0,IF(OR(NOT(ISERROR(SEARCH("+*",H73:L73)))),2,IF(OR(NOT(ISERROR(SEARCH("--*",E73:L73)))),-1,IF(OR(NOT(E73:G73="")),1,0))))</f>
        <v>1</v>
      </c>
      <c r="AA73" s="14">
        <v>134</v>
      </c>
      <c r="AB73" s="12"/>
    </row>
    <row r="74" spans="1:28" ht="306">
      <c r="A74" s="41">
        <v>119</v>
      </c>
      <c r="B74" s="66" t="s">
        <v>345</v>
      </c>
      <c r="C74" s="66" t="s">
        <v>346</v>
      </c>
      <c r="D74" s="42" t="s">
        <v>347</v>
      </c>
      <c r="E74" s="43" t="s">
        <v>74</v>
      </c>
      <c r="F74" s="44" t="s">
        <v>74</v>
      </c>
      <c r="G74" s="53" t="s">
        <v>74</v>
      </c>
      <c r="H74" s="46"/>
      <c r="I74" s="47"/>
      <c r="J74" s="48"/>
      <c r="K74" s="49"/>
      <c r="L74" s="46"/>
      <c r="M74" s="56" t="s">
        <v>43</v>
      </c>
      <c r="N74" s="66" t="s">
        <v>348</v>
      </c>
      <c r="O74" s="67">
        <v>1</v>
      </c>
      <c r="P74" s="50" t="e">
        <v>#REF!</v>
      </c>
      <c r="Q74" s="62" t="s">
        <v>62</v>
      </c>
      <c r="R74" s="51" t="s">
        <v>295</v>
      </c>
      <c r="S74" s="51" t="s">
        <v>349</v>
      </c>
      <c r="T74" s="12"/>
      <c r="U74" s="12"/>
      <c r="V74" s="12"/>
      <c r="W74" s="12"/>
      <c r="X74" s="14" t="e">
        <f t="array" ref="X74">IF(OR(AND(#REF!=""),AND(#REF!="-"),OR(NOT(ISERROR(SEARCH("-*",H74:L74))))),0,1)</f>
        <v>#REF!</v>
      </c>
      <c r="Y74" s="12"/>
      <c r="Z74" s="14">
        <f t="array" ref="Z74">IF(AND(E74:G74="-"),0,IF(OR(NOT(ISERROR(SEARCH("+*",H74:L74)))),2,IF(OR(NOT(ISERROR(SEARCH("--*",E74:L74)))),-1,IF(OR(NOT(E74:G74="")),1,0))))</f>
        <v>1</v>
      </c>
      <c r="AA74" s="14">
        <v>136</v>
      </c>
      <c r="AB74" s="12"/>
    </row>
    <row r="75" spans="1:28" ht="191.25">
      <c r="A75" s="41">
        <v>121</v>
      </c>
      <c r="B75" s="66" t="s">
        <v>350</v>
      </c>
      <c r="C75" s="66" t="s">
        <v>351</v>
      </c>
      <c r="D75" s="42" t="s">
        <v>352</v>
      </c>
      <c r="E75" s="43" t="s">
        <v>74</v>
      </c>
      <c r="F75" s="44" t="s">
        <v>74</v>
      </c>
      <c r="G75" s="53" t="s">
        <v>74</v>
      </c>
      <c r="H75" s="46"/>
      <c r="I75" s="47"/>
      <c r="J75" s="48"/>
      <c r="K75" s="49"/>
      <c r="L75" s="46"/>
      <c r="M75" s="56" t="s">
        <v>43</v>
      </c>
      <c r="N75" s="66" t="s">
        <v>353</v>
      </c>
      <c r="O75" s="67">
        <v>1</v>
      </c>
      <c r="P75" s="50" t="e">
        <v>#REF!</v>
      </c>
      <c r="Q75" s="62"/>
      <c r="R75" s="51" t="s">
        <v>43</v>
      </c>
      <c r="S75" s="51" t="s">
        <v>354</v>
      </c>
      <c r="T75" s="12"/>
      <c r="U75" s="12"/>
      <c r="V75" s="12"/>
      <c r="W75" s="12"/>
      <c r="X75" s="14" t="e">
        <f t="array" ref="X75">IF(OR(AND(#REF!=""),AND(#REF!="-"),OR(NOT(ISERROR(SEARCH("-*",H75:L75))))),0,1)</f>
        <v>#REF!</v>
      </c>
      <c r="Y75" s="12"/>
      <c r="Z75" s="14">
        <f t="array" ref="Z75">IF(AND(E75:G75="-"),0,IF(OR(NOT(ISERROR(SEARCH("+*",H75:L75)))),2,IF(OR(NOT(ISERROR(SEARCH("--*",E75:L75)))),-1,IF(OR(NOT(E75:G75="")),1,0))))</f>
        <v>1</v>
      </c>
      <c r="AA75" s="14">
        <v>138</v>
      </c>
      <c r="AB75" s="12"/>
    </row>
    <row r="76" spans="1:28" ht="140.25">
      <c r="A76" s="41">
        <v>122</v>
      </c>
      <c r="B76" s="66" t="s">
        <v>355</v>
      </c>
      <c r="C76" s="66" t="s">
        <v>356</v>
      </c>
      <c r="D76" s="66" t="s">
        <v>357</v>
      </c>
      <c r="E76" s="43" t="s">
        <v>42</v>
      </c>
      <c r="F76" s="44" t="s">
        <v>42</v>
      </c>
      <c r="G76" s="53" t="s">
        <v>42</v>
      </c>
      <c r="H76" s="46"/>
      <c r="I76" s="47"/>
      <c r="J76" s="48"/>
      <c r="K76" s="49"/>
      <c r="L76" s="46"/>
      <c r="M76" s="56" t="s">
        <v>43</v>
      </c>
      <c r="N76" s="54" t="s">
        <v>358</v>
      </c>
      <c r="O76" s="67">
        <v>1</v>
      </c>
      <c r="P76" s="50" t="e">
        <v>#REF!</v>
      </c>
      <c r="Q76" s="65" t="s">
        <v>44</v>
      </c>
      <c r="R76" s="51" t="s">
        <v>43</v>
      </c>
      <c r="S76" s="51" t="s">
        <v>359</v>
      </c>
      <c r="T76" s="12"/>
      <c r="U76" s="12"/>
      <c r="V76" s="12"/>
      <c r="W76" s="12"/>
      <c r="X76" s="14" t="e">
        <f t="array" ref="X76">IF(OR(AND(#REF!=""),AND(#REF!="-"),OR(NOT(ISERROR(SEARCH("-*",H76:L76))))),0,1)</f>
        <v>#REF!</v>
      </c>
      <c r="Y76" s="12"/>
      <c r="Z76" s="14">
        <f t="array" ref="Z76">IF(AND(E76:G76="-"),0,IF(OR(NOT(ISERROR(SEARCH("+*",H76:L76)))),2,IF(OR(NOT(ISERROR(SEARCH("--*",E76:L76)))),-1,IF(OR(NOT(E76:G76="")),1,0))))</f>
        <v>1</v>
      </c>
      <c r="AA76" s="14">
        <v>139</v>
      </c>
      <c r="AB76" s="12"/>
    </row>
    <row r="77" spans="1:28" ht="140.25">
      <c r="A77" s="41">
        <v>123</v>
      </c>
      <c r="B77" s="66" t="s">
        <v>360</v>
      </c>
      <c r="C77" s="66" t="s">
        <v>361</v>
      </c>
      <c r="D77" s="42" t="s">
        <v>362</v>
      </c>
      <c r="E77" s="43" t="s">
        <v>42</v>
      </c>
      <c r="F77" s="44" t="s">
        <v>42</v>
      </c>
      <c r="G77" s="45" t="s">
        <v>42</v>
      </c>
      <c r="H77" s="46"/>
      <c r="I77" s="47"/>
      <c r="J77" s="48"/>
      <c r="K77" s="49"/>
      <c r="L77" s="46"/>
      <c r="M77" s="56" t="s">
        <v>43</v>
      </c>
      <c r="N77" s="54" t="s">
        <v>363</v>
      </c>
      <c r="O77" s="68">
        <v>1</v>
      </c>
      <c r="P77" s="50" t="e">
        <v>#REF!</v>
      </c>
      <c r="Q77" s="62" t="s">
        <v>44</v>
      </c>
      <c r="R77" s="51" t="s">
        <v>51</v>
      </c>
      <c r="S77" s="51" t="s">
        <v>364</v>
      </c>
      <c r="T77" s="12"/>
      <c r="U77" s="12"/>
      <c r="V77" s="12"/>
      <c r="W77" s="12"/>
      <c r="X77" s="14" t="e">
        <f t="array" ref="X77">IF(OR(AND(#REF!=""),AND(#REF!="-"),OR(NOT(ISERROR(SEARCH("-*",H77:L77))))),0,1)</f>
        <v>#REF!</v>
      </c>
      <c r="Y77" s="12"/>
      <c r="Z77" s="14">
        <f t="array" ref="Z77">IF(AND(E77:G77="-"),0,IF(OR(NOT(ISERROR(SEARCH("+*",H77:L77)))),2,IF(OR(NOT(ISERROR(SEARCH("--*",E77:L77)))),-1,IF(OR(NOT(E77:G77="")),1,0))))</f>
        <v>1</v>
      </c>
      <c r="AA77" s="14">
        <v>141</v>
      </c>
      <c r="AB77" s="12"/>
    </row>
    <row r="78" spans="1:28" ht="409.5">
      <c r="A78" s="41">
        <v>124</v>
      </c>
      <c r="B78" s="66" t="s">
        <v>365</v>
      </c>
      <c r="C78" s="66" t="s">
        <v>366</v>
      </c>
      <c r="D78" s="66" t="s">
        <v>367</v>
      </c>
      <c r="E78" s="43" t="s">
        <v>42</v>
      </c>
      <c r="F78" s="44" t="s">
        <v>42</v>
      </c>
      <c r="G78" s="53"/>
      <c r="H78" s="46"/>
      <c r="I78" s="47" t="s">
        <v>62</v>
      </c>
      <c r="J78" s="48" t="s">
        <v>62</v>
      </c>
      <c r="K78" s="49"/>
      <c r="L78" s="46"/>
      <c r="M78" s="56" t="s">
        <v>43</v>
      </c>
      <c r="N78" s="66"/>
      <c r="O78" s="68">
        <v>3</v>
      </c>
      <c r="P78" s="50" t="e">
        <v>#REF!</v>
      </c>
      <c r="Q78" s="62" t="s">
        <v>44</v>
      </c>
      <c r="R78" s="51"/>
      <c r="S78" s="51"/>
      <c r="T78" s="12"/>
      <c r="U78" s="12"/>
      <c r="V78" s="12"/>
      <c r="W78" s="12"/>
      <c r="X78" s="14" t="e">
        <f t="array" ref="X78">IF(OR(AND(#REF!=""),AND(#REF!="-"),OR(NOT(ISERROR(SEARCH("-*",H78:L78))))),0,1)</f>
        <v>#REF!</v>
      </c>
      <c r="Y78" s="12"/>
      <c r="Z78" s="14">
        <f t="array" ref="Z78">IF(AND(E78:G78="-"),0,IF(OR(NOT(ISERROR(SEARCH("+*",H78:L78)))),2,IF(OR(NOT(ISERROR(SEARCH("--*",E78:L78)))),-1,IF(OR(NOT(E78:G78="")),1,0))))</f>
        <v>1</v>
      </c>
      <c r="AA78" s="14">
        <v>142</v>
      </c>
      <c r="AB78" s="12"/>
    </row>
    <row r="79" spans="1:28" ht="38.25">
      <c r="A79" s="41">
        <v>125</v>
      </c>
      <c r="B79" s="66" t="s">
        <v>368</v>
      </c>
      <c r="C79" s="66" t="s">
        <v>369</v>
      </c>
      <c r="D79" s="66" t="s">
        <v>370</v>
      </c>
      <c r="E79" s="43" t="s">
        <v>42</v>
      </c>
      <c r="F79" s="44" t="s">
        <v>42</v>
      </c>
      <c r="G79" s="53"/>
      <c r="H79" s="46"/>
      <c r="I79" s="47"/>
      <c r="J79" s="48"/>
      <c r="K79" s="49"/>
      <c r="L79" s="46"/>
      <c r="M79" s="69" t="s">
        <v>43</v>
      </c>
      <c r="N79" s="66" t="s">
        <v>371</v>
      </c>
      <c r="O79" s="68">
        <v>1</v>
      </c>
      <c r="P79" s="50" t="e">
        <v>#REF!</v>
      </c>
      <c r="Q79" s="62" t="s">
        <v>44</v>
      </c>
      <c r="R79" s="51"/>
      <c r="S79" s="51"/>
      <c r="T79" s="12"/>
      <c r="U79" s="12"/>
      <c r="V79" s="12"/>
      <c r="W79" s="12"/>
      <c r="X79" s="14" t="e">
        <f t="array" ref="X79">IF(OR(AND(#REF!=""),AND(#REF!="-"),OR(NOT(ISERROR(SEARCH("-*",H79:L79))))),0,1)</f>
        <v>#REF!</v>
      </c>
      <c r="Y79" s="12"/>
      <c r="Z79" s="14">
        <f t="array" ref="Z79">IF(AND(E79:G79="-"),0,IF(OR(NOT(ISERROR(SEARCH("+*",H79:L79)))),2,IF(OR(NOT(ISERROR(SEARCH("--*",E79:L79)))),-1,IF(OR(NOT(E79:G79="")),1,0))))</f>
        <v>1</v>
      </c>
      <c r="AA79" s="14">
        <v>145</v>
      </c>
      <c r="AB79" s="12"/>
    </row>
    <row r="80" spans="1:28" ht="51">
      <c r="A80" s="41">
        <v>126</v>
      </c>
      <c r="B80" s="66" t="s">
        <v>372</v>
      </c>
      <c r="C80" s="66" t="s">
        <v>373</v>
      </c>
      <c r="D80" s="66" t="s">
        <v>374</v>
      </c>
      <c r="E80" s="43" t="s">
        <v>42</v>
      </c>
      <c r="F80" s="44" t="s">
        <v>42</v>
      </c>
      <c r="G80" s="53"/>
      <c r="H80" s="46"/>
      <c r="I80" s="47"/>
      <c r="J80" s="48"/>
      <c r="K80" s="49"/>
      <c r="L80" s="46"/>
      <c r="M80" s="69" t="s">
        <v>43</v>
      </c>
      <c r="N80" s="66" t="s">
        <v>375</v>
      </c>
      <c r="O80" s="68"/>
      <c r="P80" s="50" t="e">
        <v>#REF!</v>
      </c>
      <c r="Q80" s="62" t="s">
        <v>86</v>
      </c>
      <c r="R80" s="51"/>
      <c r="S80" s="51"/>
      <c r="T80" s="12"/>
      <c r="U80" s="12"/>
      <c r="V80" s="12"/>
      <c r="W80" s="12"/>
      <c r="X80" s="14" t="e">
        <f t="array" ref="X80">IF(OR(AND(#REF!=""),AND(#REF!="-"),OR(NOT(ISERROR(SEARCH("-*",H80:L80))))),0,1)</f>
        <v>#REF!</v>
      </c>
      <c r="Y80" s="12"/>
      <c r="Z80" s="14">
        <f t="array" ref="Z80">IF(AND(E80:G80="-"),0,IF(OR(NOT(ISERROR(SEARCH("+*",H80:L80)))),2,IF(OR(NOT(ISERROR(SEARCH("--*",E80:L80)))),-1,IF(OR(NOT(E80:G80="")),1,0))))</f>
        <v>1</v>
      </c>
      <c r="AA80" s="14">
        <v>147</v>
      </c>
      <c r="AB80" s="12"/>
    </row>
    <row r="81" spans="1:28" ht="38.25">
      <c r="A81" s="41">
        <v>127</v>
      </c>
      <c r="B81" s="66" t="s">
        <v>376</v>
      </c>
      <c r="C81" s="66" t="s">
        <v>377</v>
      </c>
      <c r="D81" s="42" t="s">
        <v>378</v>
      </c>
      <c r="E81" s="43" t="s">
        <v>42</v>
      </c>
      <c r="F81" s="44" t="s">
        <v>42</v>
      </c>
      <c r="G81" s="53"/>
      <c r="H81" s="46"/>
      <c r="I81" s="47" t="s">
        <v>342</v>
      </c>
      <c r="J81" s="48"/>
      <c r="K81" s="49"/>
      <c r="L81" s="46"/>
      <c r="M81" s="56" t="s">
        <v>56</v>
      </c>
      <c r="N81" s="66" t="s">
        <v>379</v>
      </c>
      <c r="O81" s="68">
        <v>3</v>
      </c>
      <c r="P81" s="50" t="e">
        <v>#REF!</v>
      </c>
      <c r="Q81" s="62"/>
      <c r="R81" s="51"/>
      <c r="S81" s="51"/>
      <c r="T81" s="12"/>
      <c r="U81" s="12"/>
      <c r="V81" s="12"/>
      <c r="W81" s="12"/>
      <c r="X81" s="14" t="e">
        <f t="array" ref="X81">IF(OR(AND(#REF!=""),AND(#REF!="-"),OR(NOT(ISERROR(SEARCH("-*",H81:L81))))),0,1)</f>
        <v>#REF!</v>
      </c>
      <c r="Y81" s="12"/>
      <c r="Z81" s="14">
        <f t="array" ref="Z81">IF(AND(E81:G81="-"),0,IF(OR(NOT(ISERROR(SEARCH("+*",H81:L81)))),2,IF(OR(NOT(ISERROR(SEARCH("--*",E81:L81)))),-1,IF(OR(NOT(E81:G81="")),1,0))))</f>
        <v>1</v>
      </c>
      <c r="AA81" s="14">
        <v>148</v>
      </c>
      <c r="AB81" s="12"/>
    </row>
    <row r="82" spans="1:28" ht="38.25">
      <c r="A82" s="41">
        <v>129</v>
      </c>
      <c r="B82" s="66" t="s">
        <v>380</v>
      </c>
      <c r="C82" s="66" t="s">
        <v>381</v>
      </c>
      <c r="D82" s="66" t="s">
        <v>382</v>
      </c>
      <c r="E82" s="43"/>
      <c r="F82" s="57"/>
      <c r="G82" s="53" t="s">
        <v>42</v>
      </c>
      <c r="H82" s="46"/>
      <c r="I82" s="47"/>
      <c r="J82" s="48"/>
      <c r="K82" s="49"/>
      <c r="L82" s="46"/>
      <c r="M82" s="56" t="s">
        <v>43</v>
      </c>
      <c r="N82" s="66" t="s">
        <v>383</v>
      </c>
      <c r="O82" s="68">
        <v>2</v>
      </c>
      <c r="P82" s="50" t="e">
        <v>#REF!</v>
      </c>
      <c r="Q82" s="62" t="s">
        <v>44</v>
      </c>
      <c r="R82" s="51"/>
      <c r="S82" s="51"/>
      <c r="T82" s="12"/>
      <c r="U82" s="12"/>
      <c r="V82" s="12"/>
      <c r="W82" s="12"/>
      <c r="X82" s="14" t="e">
        <f t="array" ref="X82">IF(OR(AND(#REF!=""),AND(#REF!="-"),OR(NOT(ISERROR(SEARCH("-*",H82:L82))))),0,1)</f>
        <v>#REF!</v>
      </c>
      <c r="Y82" s="12"/>
      <c r="Z82" s="14">
        <f t="array" ref="Z82">IF(AND(E82:G82="-"),0,IF(OR(NOT(ISERROR(SEARCH("+*",H82:L82)))),2,IF(OR(NOT(ISERROR(SEARCH("--*",E82:L82)))),-1,IF(OR(NOT(E82:G82="")),1,0))))</f>
        <v>1</v>
      </c>
      <c r="AA82" s="14">
        <v>150</v>
      </c>
      <c r="AB82" s="12"/>
    </row>
    <row r="83" spans="1:28" ht="25.5">
      <c r="A83" s="41">
        <v>130</v>
      </c>
      <c r="B83" s="66" t="s">
        <v>384</v>
      </c>
      <c r="C83" s="66" t="s">
        <v>385</v>
      </c>
      <c r="D83" s="42" t="s">
        <v>386</v>
      </c>
      <c r="E83" s="43" t="s">
        <v>74</v>
      </c>
      <c r="F83" s="57" t="s">
        <v>74</v>
      </c>
      <c r="G83" s="53" t="s">
        <v>74</v>
      </c>
      <c r="H83" s="46"/>
      <c r="I83" s="47"/>
      <c r="J83" s="48"/>
      <c r="K83" s="49"/>
      <c r="L83" s="46"/>
      <c r="M83" s="56" t="s">
        <v>43</v>
      </c>
      <c r="N83" s="66" t="s">
        <v>387</v>
      </c>
      <c r="O83" s="68">
        <v>2</v>
      </c>
      <c r="P83" s="50" t="e">
        <v>#REF!</v>
      </c>
      <c r="Q83" s="62" t="s">
        <v>86</v>
      </c>
      <c r="R83" s="51"/>
      <c r="S83" s="51"/>
      <c r="T83" s="12"/>
      <c r="U83" s="12"/>
      <c r="V83" s="12"/>
      <c r="W83" s="12"/>
      <c r="X83" s="14" t="e">
        <f t="array" ref="X83">IF(OR(AND(#REF!=""),AND(#REF!="-"),OR(NOT(ISERROR(SEARCH("-*",H83:L83))))),0,1)</f>
        <v>#REF!</v>
      </c>
      <c r="Y83" s="12"/>
      <c r="Z83" s="14">
        <f t="array" ref="Z83">IF(AND(E83:G83="-"),0,IF(OR(NOT(ISERROR(SEARCH("+*",H83:L83)))),2,IF(OR(NOT(ISERROR(SEARCH("--*",E83:L83)))),-1,IF(OR(NOT(E83:G83="")),1,0))))</f>
        <v>1</v>
      </c>
      <c r="AA83" s="14">
        <v>151</v>
      </c>
      <c r="AB83" s="12"/>
    </row>
    <row r="84" spans="1:28" ht="63.75">
      <c r="A84" s="41">
        <v>131</v>
      </c>
      <c r="B84" s="66" t="s">
        <v>388</v>
      </c>
      <c r="C84" s="66" t="s">
        <v>389</v>
      </c>
      <c r="D84" s="42" t="s">
        <v>390</v>
      </c>
      <c r="E84" s="43"/>
      <c r="F84" s="57"/>
      <c r="G84" s="53" t="s">
        <v>42</v>
      </c>
      <c r="H84" s="46"/>
      <c r="I84" s="47"/>
      <c r="J84" s="48"/>
      <c r="K84" s="49"/>
      <c r="L84" s="46"/>
      <c r="M84" s="56" t="s">
        <v>207</v>
      </c>
      <c r="N84" s="66" t="s">
        <v>391</v>
      </c>
      <c r="O84" s="68">
        <v>2</v>
      </c>
      <c r="P84" s="50" t="e">
        <v>#REF!</v>
      </c>
      <c r="Q84" s="62" t="s">
        <v>86</v>
      </c>
      <c r="R84" s="51"/>
      <c r="S84" s="51"/>
      <c r="T84" s="12"/>
      <c r="U84" s="12"/>
      <c r="V84" s="12"/>
      <c r="W84" s="12"/>
      <c r="X84" s="14" t="e">
        <f t="array" ref="X84">IF(OR(AND(#REF!=""),AND(#REF!="-"),OR(NOT(ISERROR(SEARCH("-*",H84:L84))))),0,1)</f>
        <v>#REF!</v>
      </c>
      <c r="Y84" s="12"/>
      <c r="Z84" s="14">
        <f t="array" ref="Z84">IF(AND(E84:G84="-"),0,IF(OR(NOT(ISERROR(SEARCH("+*",H84:L84)))),2,IF(OR(NOT(ISERROR(SEARCH("--*",E84:L84)))),-1,IF(OR(NOT(E84:G84="")),1,0))))</f>
        <v>1</v>
      </c>
      <c r="AA84" s="14">
        <v>152</v>
      </c>
      <c r="AB84" s="12"/>
    </row>
    <row r="85" spans="1:28" ht="51">
      <c r="A85" s="41">
        <v>132</v>
      </c>
      <c r="B85" s="66" t="s">
        <v>392</v>
      </c>
      <c r="C85" s="66" t="s">
        <v>393</v>
      </c>
      <c r="D85" s="42" t="s">
        <v>394</v>
      </c>
      <c r="E85" s="43"/>
      <c r="F85" s="57"/>
      <c r="G85" s="53" t="s">
        <v>74</v>
      </c>
      <c r="H85" s="46"/>
      <c r="I85" s="47"/>
      <c r="J85" s="48"/>
      <c r="K85" s="49"/>
      <c r="L85" s="46"/>
      <c r="M85" s="56" t="s">
        <v>207</v>
      </c>
      <c r="N85" s="66" t="s">
        <v>395</v>
      </c>
      <c r="O85" s="68">
        <v>2</v>
      </c>
      <c r="P85" s="50" t="e">
        <v>#REF!</v>
      </c>
      <c r="Q85" s="62" t="s">
        <v>62</v>
      </c>
      <c r="R85" s="51"/>
      <c r="S85" s="51"/>
      <c r="T85" s="12"/>
      <c r="U85" s="12"/>
      <c r="V85" s="12"/>
      <c r="W85" s="12"/>
      <c r="X85" s="14" t="e">
        <f t="array" ref="X85">IF(OR(AND(#REF!=""),AND(#REF!="-"),OR(NOT(ISERROR(SEARCH("-*",H85:L85))))),0,1)</f>
        <v>#REF!</v>
      </c>
      <c r="Y85" s="12"/>
      <c r="Z85" s="14">
        <f t="array" ref="Z85">IF(AND(E85:G85="-"),0,IF(OR(NOT(ISERROR(SEARCH("+*",H85:L85)))),2,IF(OR(NOT(ISERROR(SEARCH("--*",E85:L85)))),-1,IF(OR(NOT(E85:G85="")),1,0))))</f>
        <v>1</v>
      </c>
      <c r="AA85" s="14">
        <v>153</v>
      </c>
      <c r="AB85" s="12"/>
    </row>
    <row r="86" spans="1:28" ht="63.75">
      <c r="A86" s="41">
        <v>133</v>
      </c>
      <c r="B86" s="66" t="s">
        <v>396</v>
      </c>
      <c r="C86" s="66" t="s">
        <v>397</v>
      </c>
      <c r="D86" s="42" t="s">
        <v>398</v>
      </c>
      <c r="E86" s="43"/>
      <c r="F86" s="57"/>
      <c r="G86" s="53"/>
      <c r="H86" s="46"/>
      <c r="I86" s="58" t="s">
        <v>106</v>
      </c>
      <c r="J86" s="48"/>
      <c r="K86" s="49"/>
      <c r="L86" s="46"/>
      <c r="M86" s="56" t="s">
        <v>43</v>
      </c>
      <c r="N86" s="66" t="s">
        <v>399</v>
      </c>
      <c r="O86" s="68">
        <v>2</v>
      </c>
      <c r="P86" s="50" t="e">
        <v>#REF!</v>
      </c>
      <c r="Q86" s="62" t="s">
        <v>62</v>
      </c>
      <c r="R86" s="51"/>
      <c r="S86" s="51"/>
      <c r="T86" s="12"/>
      <c r="U86" s="12"/>
      <c r="V86" s="12"/>
      <c r="W86" s="12"/>
      <c r="X86" s="14" t="e">
        <f t="array" ref="X86">IF(OR(AND(#REF!=""),AND(#REF!="-"),OR(NOT(ISERROR(SEARCH("-*",H86:L86))))),0,1)</f>
        <v>#REF!</v>
      </c>
      <c r="Y86" s="12"/>
      <c r="Z86" s="14">
        <f t="array" ref="Z86">IF(AND(E86:G86="-"),0,IF(OR(NOT(ISERROR(SEARCH("+*",H86:L86)))),2,IF(OR(NOT(ISERROR(SEARCH("--*",E86:L86)))),-1,IF(OR(NOT(E86:G86="")),1,0))))</f>
        <v>2</v>
      </c>
      <c r="AA86" s="14">
        <v>154</v>
      </c>
      <c r="AB86" s="12"/>
    </row>
    <row r="87" spans="1:28" ht="153">
      <c r="A87" s="41">
        <v>136</v>
      </c>
      <c r="B87" s="66" t="s">
        <v>400</v>
      </c>
      <c r="C87" s="66" t="s">
        <v>401</v>
      </c>
      <c r="D87" s="42" t="s">
        <v>402</v>
      </c>
      <c r="E87" s="43" t="s">
        <v>42</v>
      </c>
      <c r="F87" s="44" t="s">
        <v>42</v>
      </c>
      <c r="G87" s="53"/>
      <c r="H87" s="46"/>
      <c r="I87" s="58" t="s">
        <v>111</v>
      </c>
      <c r="J87" s="48"/>
      <c r="K87" s="59" t="s">
        <v>111</v>
      </c>
      <c r="L87" s="46"/>
      <c r="M87" s="56" t="s">
        <v>43</v>
      </c>
      <c r="N87" s="66" t="s">
        <v>403</v>
      </c>
      <c r="O87" s="68">
        <v>1</v>
      </c>
      <c r="P87" s="50" t="e">
        <v>#REF!</v>
      </c>
      <c r="Q87" s="62" t="s">
        <v>44</v>
      </c>
      <c r="R87" s="51" t="s">
        <v>51</v>
      </c>
      <c r="S87" s="51" t="s">
        <v>404</v>
      </c>
      <c r="T87" s="12"/>
      <c r="U87" s="12"/>
      <c r="V87" s="12"/>
      <c r="W87" s="12"/>
      <c r="X87" s="14" t="e">
        <f t="array" ref="X87">IF(OR(AND(#REF!=""),AND(#REF!="-"),OR(NOT(ISERROR(SEARCH("-*",H87:L87))))),0,1)</f>
        <v>#REF!</v>
      </c>
      <c r="Y87" s="12"/>
      <c r="Z87" s="14">
        <f t="array" ref="Z87">IF(AND(E87:G87="-"),0,IF(OR(NOT(ISERROR(SEARCH("+*",H87:L87)))),2,IF(OR(NOT(ISERROR(SEARCH("--*",E87:L87)))),-1,IF(OR(NOT(E87:G87="")),1,0))))</f>
        <v>2</v>
      </c>
      <c r="AA87" s="14">
        <v>157</v>
      </c>
      <c r="AB87" s="12"/>
    </row>
    <row r="88" spans="1:28" ht="38.25">
      <c r="A88" s="41">
        <v>137</v>
      </c>
      <c r="B88" s="66" t="s">
        <v>405</v>
      </c>
      <c r="C88" s="66" t="s">
        <v>406</v>
      </c>
      <c r="D88" s="66" t="s">
        <v>407</v>
      </c>
      <c r="E88" s="43" t="s">
        <v>42</v>
      </c>
      <c r="F88" s="57" t="s">
        <v>42</v>
      </c>
      <c r="G88" s="53"/>
      <c r="H88" s="46"/>
      <c r="I88" s="47"/>
      <c r="J88" s="48"/>
      <c r="K88" s="49"/>
      <c r="L88" s="46"/>
      <c r="M88" s="69" t="s">
        <v>43</v>
      </c>
      <c r="N88" s="66" t="s">
        <v>408</v>
      </c>
      <c r="O88" s="68">
        <v>2</v>
      </c>
      <c r="P88" s="50" t="e">
        <v>#REF!</v>
      </c>
      <c r="Q88" s="62"/>
      <c r="R88" s="51"/>
      <c r="S88" s="51"/>
      <c r="T88" s="12"/>
      <c r="U88" s="12"/>
      <c r="V88" s="12"/>
      <c r="W88" s="12"/>
      <c r="X88" s="14" t="e">
        <f t="array" ref="X88">IF(OR(AND(#REF!=""),AND(#REF!="-"),OR(NOT(ISERROR(SEARCH("-*",H88:L88))))),0,1)</f>
        <v>#REF!</v>
      </c>
      <c r="Y88" s="12"/>
      <c r="Z88" s="14">
        <f t="array" ref="Z88">IF(AND(E88:G88="-"),0,IF(OR(NOT(ISERROR(SEARCH("+*",H88:L88)))),2,IF(OR(NOT(ISERROR(SEARCH("--*",E88:L88)))),-1,IF(OR(NOT(E88:G88="")),1,0))))</f>
        <v>1</v>
      </c>
      <c r="AA88" s="14">
        <v>158</v>
      </c>
      <c r="AB88" s="12"/>
    </row>
    <row r="89" spans="1:28" ht="25.5">
      <c r="A89" s="41">
        <v>138</v>
      </c>
      <c r="B89" s="66" t="s">
        <v>409</v>
      </c>
      <c r="C89" s="66" t="s">
        <v>410</v>
      </c>
      <c r="D89" s="66" t="s">
        <v>411</v>
      </c>
      <c r="E89" s="43" t="s">
        <v>42</v>
      </c>
      <c r="F89" s="44" t="s">
        <v>42</v>
      </c>
      <c r="G89" s="53"/>
      <c r="H89" s="46"/>
      <c r="I89" s="47"/>
      <c r="J89" s="48"/>
      <c r="K89" s="49"/>
      <c r="L89" s="46"/>
      <c r="M89" s="69" t="s">
        <v>43</v>
      </c>
      <c r="N89" s="66" t="s">
        <v>412</v>
      </c>
      <c r="O89" s="68">
        <v>2</v>
      </c>
      <c r="P89" s="50" t="e">
        <v>#REF!</v>
      </c>
      <c r="Q89" s="62"/>
      <c r="R89" s="51"/>
      <c r="S89" s="51"/>
      <c r="T89" s="12"/>
      <c r="U89" s="12"/>
      <c r="V89" s="12"/>
      <c r="W89" s="12"/>
      <c r="X89" s="14" t="e">
        <f t="array" ref="X89">IF(OR(AND(#REF!=""),AND(#REF!="-"),OR(NOT(ISERROR(SEARCH("-*",H89:L89))))),0,1)</f>
        <v>#REF!</v>
      </c>
      <c r="Y89" s="12"/>
      <c r="Z89" s="14">
        <f t="array" ref="Z89">IF(AND(E89:G89="-"),0,IF(OR(NOT(ISERROR(SEARCH("+*",H89:L89)))),2,IF(OR(NOT(ISERROR(SEARCH("--*",E89:L89)))),-1,IF(OR(NOT(E89:G89="")),1,0))))</f>
        <v>1</v>
      </c>
      <c r="AA89" s="14">
        <v>160</v>
      </c>
      <c r="AB89" s="12"/>
    </row>
    <row r="90" spans="1:28" ht="25.5">
      <c r="A90" s="41">
        <v>139</v>
      </c>
      <c r="B90" s="66" t="s">
        <v>413</v>
      </c>
      <c r="C90" s="66" t="s">
        <v>414</v>
      </c>
      <c r="D90" s="66" t="s">
        <v>415</v>
      </c>
      <c r="E90" s="43" t="s">
        <v>74</v>
      </c>
      <c r="F90" s="57" t="s">
        <v>74</v>
      </c>
      <c r="G90" s="53"/>
      <c r="H90" s="46"/>
      <c r="I90" s="58" t="s">
        <v>111</v>
      </c>
      <c r="J90" s="48"/>
      <c r="K90" s="59" t="s">
        <v>111</v>
      </c>
      <c r="L90" s="46"/>
      <c r="M90" s="69" t="s">
        <v>43</v>
      </c>
      <c r="N90" s="66" t="s">
        <v>416</v>
      </c>
      <c r="O90" s="68">
        <v>2</v>
      </c>
      <c r="P90" s="50" t="e">
        <v>#REF!</v>
      </c>
      <c r="Q90" s="62"/>
      <c r="R90" s="51"/>
      <c r="S90" s="51"/>
      <c r="T90" s="12"/>
      <c r="U90" s="12"/>
      <c r="V90" s="12"/>
      <c r="W90" s="12"/>
      <c r="X90" s="14" t="e">
        <f t="array" ref="X90">IF(OR(AND(#REF!=""),AND(#REF!="-"),OR(NOT(ISERROR(SEARCH("-*",H90:L90))))),0,1)</f>
        <v>#REF!</v>
      </c>
      <c r="Y90" s="12"/>
      <c r="Z90" s="14">
        <f t="array" ref="Z90">IF(AND(E90:G90="-"),0,IF(OR(NOT(ISERROR(SEARCH("+*",H90:L90)))),2,IF(OR(NOT(ISERROR(SEARCH("--*",E90:L90)))),-1,IF(OR(NOT(E90:G90="")),1,0))))</f>
        <v>2</v>
      </c>
      <c r="AA90" s="14">
        <v>161</v>
      </c>
      <c r="AB90" s="12"/>
    </row>
    <row r="91" spans="1:28" ht="51">
      <c r="A91" s="41">
        <v>140</v>
      </c>
      <c r="B91" s="66" t="s">
        <v>417</v>
      </c>
      <c r="C91" s="66" t="s">
        <v>418</v>
      </c>
      <c r="D91" s="42" t="s">
        <v>419</v>
      </c>
      <c r="E91" s="43"/>
      <c r="F91" s="57"/>
      <c r="G91" s="53"/>
      <c r="H91" s="46"/>
      <c r="I91" s="58" t="s">
        <v>111</v>
      </c>
      <c r="J91" s="48"/>
      <c r="K91" s="59" t="s">
        <v>106</v>
      </c>
      <c r="L91" s="46"/>
      <c r="M91" s="69" t="s">
        <v>43</v>
      </c>
      <c r="N91" s="66" t="s">
        <v>420</v>
      </c>
      <c r="O91" s="68">
        <v>2</v>
      </c>
      <c r="P91" s="50" t="e">
        <v>#REF!</v>
      </c>
      <c r="Q91" s="62"/>
      <c r="R91" s="51"/>
      <c r="S91" s="51"/>
      <c r="T91" s="12"/>
      <c r="U91" s="12"/>
      <c r="V91" s="12"/>
      <c r="W91" s="12"/>
      <c r="X91" s="14" t="e">
        <f t="array" ref="X91">IF(OR(AND(#REF!=""),AND(#REF!="-"),OR(NOT(ISERROR(SEARCH("-*",H91:L91))))),0,1)</f>
        <v>#REF!</v>
      </c>
      <c r="Y91" s="12"/>
      <c r="Z91" s="14">
        <f t="array" ref="Z91">IF(AND(E91:G91="-"),0,IF(OR(NOT(ISERROR(SEARCH("+*",H91:L91)))),2,IF(OR(NOT(ISERROR(SEARCH("--*",E91:L91)))),-1,IF(OR(NOT(E91:G91="")),1,0))))</f>
        <v>2</v>
      </c>
      <c r="AA91" s="14">
        <v>162</v>
      </c>
      <c r="AB91" s="12"/>
    </row>
    <row r="92" spans="1:28" ht="267.75">
      <c r="A92" s="41">
        <v>141</v>
      </c>
      <c r="B92" s="66" t="s">
        <v>421</v>
      </c>
      <c r="C92" s="66" t="s">
        <v>422</v>
      </c>
      <c r="D92" s="66" t="s">
        <v>423</v>
      </c>
      <c r="E92" s="43"/>
      <c r="F92" s="57"/>
      <c r="G92" s="53"/>
      <c r="H92" s="46"/>
      <c r="I92" s="58" t="s">
        <v>111</v>
      </c>
      <c r="J92" s="48"/>
      <c r="K92" s="49"/>
      <c r="L92" s="46"/>
      <c r="M92" s="56" t="s">
        <v>84</v>
      </c>
      <c r="N92" s="54" t="s">
        <v>424</v>
      </c>
      <c r="O92" s="68">
        <v>0</v>
      </c>
      <c r="P92" s="50" t="e">
        <v>#REF!</v>
      </c>
      <c r="Q92" s="62"/>
      <c r="R92" s="51" t="s">
        <v>43</v>
      </c>
      <c r="S92" s="51" t="s">
        <v>425</v>
      </c>
      <c r="T92" s="12"/>
      <c r="U92" s="12"/>
      <c r="V92" s="12"/>
      <c r="W92" s="12"/>
      <c r="X92" s="14" t="e">
        <f t="array" ref="X92">IF(OR(AND(#REF!=""),AND(#REF!="-"),OR(NOT(ISERROR(SEARCH("-*",H92:L92))))),0,1)</f>
        <v>#REF!</v>
      </c>
      <c r="Y92" s="12"/>
      <c r="Z92" s="14">
        <f t="array" ref="Z92">IF(AND(E92:G92="-"),0,IF(OR(NOT(ISERROR(SEARCH("+*",H92:L92)))),2,IF(OR(NOT(ISERROR(SEARCH("--*",E92:L92)))),-1,IF(OR(NOT(E92:G92="")),1,0))))</f>
        <v>2</v>
      </c>
      <c r="AA92" s="14">
        <v>163</v>
      </c>
      <c r="AB92" s="12"/>
    </row>
    <row r="93" spans="1:28" ht="25.5">
      <c r="A93" s="41">
        <v>142</v>
      </c>
      <c r="B93" s="66" t="s">
        <v>426</v>
      </c>
      <c r="C93" s="66" t="s">
        <v>427</v>
      </c>
      <c r="D93" s="42" t="s">
        <v>428</v>
      </c>
      <c r="E93" s="43"/>
      <c r="F93" s="57"/>
      <c r="G93" s="53"/>
      <c r="H93" s="46"/>
      <c r="I93" s="58" t="s">
        <v>111</v>
      </c>
      <c r="J93" s="48"/>
      <c r="K93" s="61"/>
      <c r="L93" s="46"/>
      <c r="M93" s="56" t="s">
        <v>43</v>
      </c>
      <c r="N93" s="66" t="s">
        <v>429</v>
      </c>
      <c r="O93" s="68">
        <v>1</v>
      </c>
      <c r="P93" s="50" t="e">
        <v>#REF!</v>
      </c>
      <c r="Q93" s="62"/>
      <c r="R93" s="51"/>
      <c r="S93" s="51"/>
      <c r="T93" s="12"/>
      <c r="U93" s="12"/>
      <c r="V93" s="12"/>
      <c r="W93" s="12"/>
      <c r="X93" s="14" t="e">
        <f t="array" ref="X93">IF(OR(AND(#REF!=""),AND(#REF!="-"),OR(NOT(ISERROR(SEARCH("-*",H93:L93))))),0,1)</f>
        <v>#REF!</v>
      </c>
      <c r="Y93" s="12"/>
      <c r="Z93" s="14">
        <f t="array" ref="Z93">IF(AND(E93:G93="-"),0,IF(OR(NOT(ISERROR(SEARCH("+*",H93:L93)))),2,IF(OR(NOT(ISERROR(SEARCH("--*",E93:L93)))),-1,IF(OR(NOT(E93:G93="")),1,0))))</f>
        <v>2</v>
      </c>
      <c r="AA93" s="14">
        <v>164</v>
      </c>
      <c r="AB93" s="12"/>
    </row>
    <row r="94" spans="1:28" ht="38.25">
      <c r="A94" s="41">
        <v>143</v>
      </c>
      <c r="B94" s="66" t="s">
        <v>430</v>
      </c>
      <c r="C94" s="66" t="s">
        <v>431</v>
      </c>
      <c r="D94" s="66" t="s">
        <v>432</v>
      </c>
      <c r="E94" s="43"/>
      <c r="F94" s="57"/>
      <c r="G94" s="53"/>
      <c r="H94" s="46"/>
      <c r="I94" s="58" t="s">
        <v>111</v>
      </c>
      <c r="J94" s="48"/>
      <c r="K94" s="59" t="s">
        <v>111</v>
      </c>
      <c r="L94" s="46"/>
      <c r="M94" s="69" t="s">
        <v>56</v>
      </c>
      <c r="N94" s="66" t="s">
        <v>433</v>
      </c>
      <c r="O94" s="68">
        <v>2</v>
      </c>
      <c r="P94" s="50" t="e">
        <v>#REF!</v>
      </c>
      <c r="Q94" s="62"/>
      <c r="R94" s="51"/>
      <c r="S94" s="51"/>
      <c r="T94" s="12"/>
      <c r="U94" s="12"/>
      <c r="V94" s="12"/>
      <c r="W94" s="12"/>
      <c r="X94" s="14" t="e">
        <f t="array" ref="X94">IF(OR(AND(#REF!=""),AND(#REF!="-"),OR(NOT(ISERROR(SEARCH("-*",H94:L94))))),0,1)</f>
        <v>#REF!</v>
      </c>
      <c r="Y94" s="12"/>
      <c r="Z94" s="14">
        <f t="array" ref="Z94">IF(AND(E94:G94="-"),0,IF(OR(NOT(ISERROR(SEARCH("+*",H94:L94)))),2,IF(OR(NOT(ISERROR(SEARCH("--*",E94:L94)))),-1,IF(OR(NOT(E94:G94="")),1,0))))</f>
        <v>2</v>
      </c>
      <c r="AA94" s="14">
        <v>165</v>
      </c>
      <c r="AB94" s="12"/>
    </row>
    <row r="95" spans="1:28" ht="51">
      <c r="A95" s="41">
        <v>144</v>
      </c>
      <c r="B95" s="66" t="s">
        <v>434</v>
      </c>
      <c r="C95" s="66" t="s">
        <v>435</v>
      </c>
      <c r="D95" s="66" t="s">
        <v>436</v>
      </c>
      <c r="E95" s="43"/>
      <c r="F95" s="57"/>
      <c r="G95" s="53"/>
      <c r="H95" s="46"/>
      <c r="I95" s="58" t="s">
        <v>111</v>
      </c>
      <c r="J95" s="48"/>
      <c r="K95" s="59" t="s">
        <v>111</v>
      </c>
      <c r="L95" s="46"/>
      <c r="M95" s="56" t="s">
        <v>437</v>
      </c>
      <c r="N95" s="66"/>
      <c r="O95" s="68">
        <v>0</v>
      </c>
      <c r="P95" s="50" t="e">
        <v>#REF!</v>
      </c>
      <c r="Q95" s="62"/>
      <c r="R95" s="51"/>
      <c r="S95" s="51"/>
      <c r="T95" s="12"/>
      <c r="U95" s="12"/>
      <c r="V95" s="12"/>
      <c r="W95" s="12"/>
      <c r="X95" s="14" t="e">
        <f t="array" ref="X95">IF(OR(AND(#REF!=""),AND(#REF!="-"),OR(NOT(ISERROR(SEARCH("-*",H95:L95))))),0,1)</f>
        <v>#REF!</v>
      </c>
      <c r="Y95" s="12"/>
      <c r="Z95" s="14">
        <f t="array" ref="Z95">IF(AND(E95:G95="-"),0,IF(OR(NOT(ISERROR(SEARCH("+*",H95:L95)))),2,IF(OR(NOT(ISERROR(SEARCH("--*",E95:L95)))),-1,IF(OR(NOT(E95:G95="")),1,0))))</f>
        <v>2</v>
      </c>
      <c r="AA95" s="14">
        <v>166</v>
      </c>
      <c r="AB95" s="12"/>
    </row>
    <row r="96" spans="1:28" ht="178.5">
      <c r="A96" s="41">
        <v>145</v>
      </c>
      <c r="B96" s="66" t="s">
        <v>438</v>
      </c>
      <c r="C96" s="66" t="s">
        <v>439</v>
      </c>
      <c r="D96" s="66" t="s">
        <v>440</v>
      </c>
      <c r="E96" s="43" t="s">
        <v>74</v>
      </c>
      <c r="F96" s="64" t="s">
        <v>74</v>
      </c>
      <c r="G96" s="53"/>
      <c r="H96" s="46"/>
      <c r="I96" s="47"/>
      <c r="J96" s="48"/>
      <c r="K96" s="49"/>
      <c r="L96" s="46"/>
      <c r="M96" s="69" t="s">
        <v>43</v>
      </c>
      <c r="N96" s="66" t="s">
        <v>441</v>
      </c>
      <c r="O96" s="68">
        <v>1</v>
      </c>
      <c r="P96" s="50" t="e">
        <v>#REF!</v>
      </c>
      <c r="Q96" s="62"/>
      <c r="R96" s="51" t="s">
        <v>43</v>
      </c>
      <c r="S96" s="51" t="s">
        <v>442</v>
      </c>
      <c r="T96" s="12"/>
      <c r="U96" s="12"/>
      <c r="V96" s="12"/>
      <c r="W96" s="12"/>
      <c r="X96" s="14" t="e">
        <f t="array" ref="X96">IF(OR(AND(#REF!=""),AND(#REF!="-"),OR(NOT(ISERROR(SEARCH("-*",H96:L96))))),0,1)</f>
        <v>#REF!</v>
      </c>
      <c r="Y96" s="12"/>
      <c r="Z96" s="14">
        <f t="array" ref="Z96">IF(AND(E96:G96="-"),0,IF(OR(NOT(ISERROR(SEARCH("+*",H96:L96)))),2,IF(OR(NOT(ISERROR(SEARCH("--*",E96:L96)))),-1,IF(OR(NOT(E96:G96="")),1,0))))</f>
        <v>1</v>
      </c>
      <c r="AA96" s="14">
        <v>167</v>
      </c>
      <c r="AB96" s="12"/>
    </row>
    <row r="97" spans="1:28" ht="63.75">
      <c r="A97" s="41">
        <v>146</v>
      </c>
      <c r="B97" s="66" t="s">
        <v>443</v>
      </c>
      <c r="C97" s="66" t="s">
        <v>444</v>
      </c>
      <c r="D97" s="66" t="s">
        <v>445</v>
      </c>
      <c r="E97" s="43" t="s">
        <v>42</v>
      </c>
      <c r="F97" s="57" t="s">
        <v>42</v>
      </c>
      <c r="G97" s="53"/>
      <c r="H97" s="46"/>
      <c r="I97" s="58" t="s">
        <v>111</v>
      </c>
      <c r="J97" s="48"/>
      <c r="K97" s="49"/>
      <c r="L97" s="46"/>
      <c r="M97" s="56" t="s">
        <v>43</v>
      </c>
      <c r="N97" s="54" t="s">
        <v>446</v>
      </c>
      <c r="O97" s="56">
        <v>2</v>
      </c>
      <c r="P97" s="50" t="e">
        <v>#REF!</v>
      </c>
      <c r="Q97" s="62"/>
      <c r="R97" s="51"/>
      <c r="S97" s="51"/>
      <c r="T97" s="12"/>
      <c r="U97" s="12"/>
      <c r="V97" s="12"/>
      <c r="W97" s="12"/>
      <c r="X97" s="14" t="e">
        <f t="array" ref="X97">IF(OR(AND(#REF!=""),AND(#REF!="-"),OR(NOT(ISERROR(SEARCH("-*",H97:L97))))),0,1)</f>
        <v>#REF!</v>
      </c>
      <c r="Y97" s="12"/>
      <c r="Z97" s="14">
        <f t="array" ref="Z97">IF(AND(E97:G97="-"),0,IF(OR(NOT(ISERROR(SEARCH("+*",H97:L97)))),2,IF(OR(NOT(ISERROR(SEARCH("--*",E97:L97)))),-1,IF(OR(NOT(E97:G97="")),1,0))))</f>
        <v>2</v>
      </c>
      <c r="AA97" s="14">
        <v>168</v>
      </c>
      <c r="AB97" s="12"/>
    </row>
    <row r="98" spans="1:28" ht="25.5">
      <c r="A98" s="41">
        <v>147</v>
      </c>
      <c r="B98" s="66" t="s">
        <v>447</v>
      </c>
      <c r="C98" s="66" t="s">
        <v>448</v>
      </c>
      <c r="D98" s="42" t="s">
        <v>449</v>
      </c>
      <c r="E98" s="43" t="s">
        <v>42</v>
      </c>
      <c r="F98" s="57" t="s">
        <v>42</v>
      </c>
      <c r="G98" s="53"/>
      <c r="H98" s="46"/>
      <c r="I98" s="58" t="s">
        <v>111</v>
      </c>
      <c r="J98" s="48"/>
      <c r="K98" s="49"/>
      <c r="L98" s="46"/>
      <c r="M98" s="56" t="s">
        <v>43</v>
      </c>
      <c r="N98" s="66" t="s">
        <v>446</v>
      </c>
      <c r="O98" s="68">
        <v>2</v>
      </c>
      <c r="P98" s="50" t="e">
        <v>#REF!</v>
      </c>
      <c r="Q98" s="62"/>
      <c r="R98" s="51"/>
      <c r="S98" s="51"/>
      <c r="T98" s="12"/>
      <c r="U98" s="12"/>
      <c r="V98" s="12"/>
      <c r="W98" s="12"/>
      <c r="X98" s="14" t="e">
        <f t="array" ref="X98">IF(OR(AND(#REF!=""),AND(#REF!="-"),OR(NOT(ISERROR(SEARCH("-*",H98:L98))))),0,1)</f>
        <v>#REF!</v>
      </c>
      <c r="Y98" s="12"/>
      <c r="Z98" s="14">
        <f t="array" ref="Z98">IF(AND(E98:G98="-"),0,IF(OR(NOT(ISERROR(SEARCH("+*",H98:L98)))),2,IF(OR(NOT(ISERROR(SEARCH("--*",E98:L98)))),-1,IF(OR(NOT(E98:G98="")),1,0))))</f>
        <v>2</v>
      </c>
      <c r="AA98" s="14">
        <v>169</v>
      </c>
      <c r="AB98" s="12"/>
    </row>
    <row r="99" spans="1:28" ht="25.5">
      <c r="A99" s="41">
        <v>148</v>
      </c>
      <c r="B99" s="66" t="s">
        <v>450</v>
      </c>
      <c r="C99" s="66" t="s">
        <v>451</v>
      </c>
      <c r="D99" s="42" t="s">
        <v>452</v>
      </c>
      <c r="E99" s="43"/>
      <c r="F99" s="57"/>
      <c r="G99" s="53"/>
      <c r="H99" s="46"/>
      <c r="I99" s="58" t="s">
        <v>111</v>
      </c>
      <c r="J99" s="48"/>
      <c r="K99" s="61"/>
      <c r="L99" s="46"/>
      <c r="M99" s="56" t="s">
        <v>43</v>
      </c>
      <c r="N99" s="66" t="s">
        <v>453</v>
      </c>
      <c r="O99" s="68">
        <v>2</v>
      </c>
      <c r="P99" s="50" t="e">
        <v>#REF!</v>
      </c>
      <c r="Q99" s="62"/>
      <c r="R99" s="51"/>
      <c r="S99" s="51"/>
      <c r="T99" s="12"/>
      <c r="U99" s="12"/>
      <c r="V99" s="12"/>
      <c r="W99" s="12"/>
      <c r="X99" s="14" t="e">
        <f t="array" ref="X99">IF(OR(AND(#REF!=""),AND(#REF!="-"),OR(NOT(ISERROR(SEARCH("-*",H99:L99))))),0,1)</f>
        <v>#REF!</v>
      </c>
      <c r="Y99" s="12"/>
      <c r="Z99" s="14">
        <f t="array" ref="Z99">IF(AND(E99:G99="-"),0,IF(OR(NOT(ISERROR(SEARCH("+*",H99:L99)))),2,IF(OR(NOT(ISERROR(SEARCH("--*",E99:L99)))),-1,IF(OR(NOT(E99:G99="")),1,0))))</f>
        <v>2</v>
      </c>
      <c r="AA99" s="14">
        <v>170</v>
      </c>
      <c r="AB99" s="12"/>
    </row>
    <row r="100" spans="1:28" ht="89.25">
      <c r="A100" s="41">
        <v>149</v>
      </c>
      <c r="B100" s="66" t="s">
        <v>454</v>
      </c>
      <c r="C100" s="66" t="s">
        <v>455</v>
      </c>
      <c r="D100" s="66" t="s">
        <v>456</v>
      </c>
      <c r="E100" s="43"/>
      <c r="F100" s="57" t="s">
        <v>42</v>
      </c>
      <c r="G100" s="53"/>
      <c r="H100" s="46"/>
      <c r="I100" s="47"/>
      <c r="J100" s="48"/>
      <c r="K100" s="49"/>
      <c r="L100" s="46"/>
      <c r="M100" s="56" t="s">
        <v>457</v>
      </c>
      <c r="N100" s="54" t="s">
        <v>458</v>
      </c>
      <c r="O100" s="68">
        <v>2</v>
      </c>
      <c r="P100" s="50" t="e">
        <v>#REF!</v>
      </c>
      <c r="Q100" s="62" t="s">
        <v>62</v>
      </c>
      <c r="R100" s="51"/>
      <c r="S100" s="51"/>
      <c r="T100" s="12"/>
      <c r="U100" s="12"/>
      <c r="V100" s="12"/>
      <c r="W100" s="12"/>
      <c r="X100" s="14" t="e">
        <f t="array" ref="X100">IF(OR(AND(#REF!=""),AND(#REF!="-"),OR(NOT(ISERROR(SEARCH("-*",H100:L100))))),0,1)</f>
        <v>#REF!</v>
      </c>
      <c r="Y100" s="12"/>
      <c r="Z100" s="14">
        <f t="array" ref="Z100">IF(AND(E100:G100="-"),0,IF(OR(NOT(ISERROR(SEARCH("+*",H100:L100)))),2,IF(OR(NOT(ISERROR(SEARCH("--*",E100:L100)))),-1,IF(OR(NOT(E100:G100="")),1,0))))</f>
        <v>1</v>
      </c>
      <c r="AA100" s="14">
        <v>171</v>
      </c>
      <c r="AB100" s="12"/>
    </row>
    <row r="101" spans="1:28" ht="89.25">
      <c r="A101" s="41">
        <v>150</v>
      </c>
      <c r="B101" s="66" t="s">
        <v>459</v>
      </c>
      <c r="C101" s="66" t="s">
        <v>460</v>
      </c>
      <c r="D101" s="66" t="s">
        <v>461</v>
      </c>
      <c r="E101" s="43"/>
      <c r="F101" s="57" t="s">
        <v>42</v>
      </c>
      <c r="G101" s="53"/>
      <c r="H101" s="46"/>
      <c r="I101" s="47"/>
      <c r="J101" s="48"/>
      <c r="K101" s="49"/>
      <c r="L101" s="46"/>
      <c r="M101" s="56" t="s">
        <v>457</v>
      </c>
      <c r="N101" s="66" t="s">
        <v>462</v>
      </c>
      <c r="O101" s="68">
        <v>2</v>
      </c>
      <c r="P101" s="50" t="e">
        <v>#REF!</v>
      </c>
      <c r="Q101" s="62" t="s">
        <v>62</v>
      </c>
      <c r="R101" s="51"/>
      <c r="S101" s="51"/>
      <c r="T101" s="12"/>
      <c r="U101" s="12"/>
      <c r="V101" s="12"/>
      <c r="W101" s="12"/>
      <c r="X101" s="14" t="e">
        <f t="array" ref="X101">IF(OR(AND(#REF!=""),AND(#REF!="-"),OR(NOT(ISERROR(SEARCH("-*",H101:L101))))),0,1)</f>
        <v>#REF!</v>
      </c>
      <c r="Y101" s="12"/>
      <c r="Z101" s="14">
        <f t="array" ref="Z101">IF(AND(E101:G101="-"),0,IF(OR(NOT(ISERROR(SEARCH("+*",H101:L101)))),2,IF(OR(NOT(ISERROR(SEARCH("--*",E101:L101)))),-1,IF(OR(NOT(E101:G101="")),1,0))))</f>
        <v>1</v>
      </c>
      <c r="AA101" s="14">
        <v>172</v>
      </c>
      <c r="AB101" s="12"/>
    </row>
    <row r="102" spans="1:28" ht="25.5">
      <c r="A102" s="41">
        <v>152</v>
      </c>
      <c r="B102" s="66" t="s">
        <v>463</v>
      </c>
      <c r="C102" s="66" t="s">
        <v>464</v>
      </c>
      <c r="D102" s="66" t="s">
        <v>465</v>
      </c>
      <c r="E102" s="43" t="s">
        <v>42</v>
      </c>
      <c r="F102" s="44" t="s">
        <v>42</v>
      </c>
      <c r="G102" s="53" t="s">
        <v>42</v>
      </c>
      <c r="H102" s="46"/>
      <c r="I102" s="47"/>
      <c r="J102" s="48"/>
      <c r="K102" s="49"/>
      <c r="L102" s="46"/>
      <c r="M102" s="69" t="s">
        <v>43</v>
      </c>
      <c r="N102" s="66" t="s">
        <v>466</v>
      </c>
      <c r="O102" s="68">
        <v>2</v>
      </c>
      <c r="P102" s="50" t="e">
        <v>#REF!</v>
      </c>
      <c r="Q102" s="62" t="s">
        <v>86</v>
      </c>
      <c r="R102" s="51"/>
      <c r="S102" s="51"/>
      <c r="T102" s="12"/>
      <c r="U102" s="12"/>
      <c r="V102" s="12"/>
      <c r="W102" s="12"/>
      <c r="X102" s="14" t="e">
        <f t="array" ref="X102">IF(OR(AND(#REF!=""),AND(#REF!="-"),OR(NOT(ISERROR(SEARCH("-*",H102:L102))))),0,1)</f>
        <v>#REF!</v>
      </c>
      <c r="Y102" s="12"/>
      <c r="Z102" s="14">
        <f t="array" ref="Z102">IF(AND(E102:G102="-"),0,IF(OR(NOT(ISERROR(SEARCH("+*",H102:L102)))),2,IF(OR(NOT(ISERROR(SEARCH("--*",E102:L102)))),-1,IF(OR(NOT(E102:G102="")),1,0))))</f>
        <v>1</v>
      </c>
      <c r="AA102" s="14">
        <v>174</v>
      </c>
      <c r="AB102" s="12"/>
    </row>
    <row r="103" spans="1:28" ht="51">
      <c r="A103" s="41">
        <v>154</v>
      </c>
      <c r="B103" s="66" t="s">
        <v>467</v>
      </c>
      <c r="C103" s="66" t="s">
        <v>468</v>
      </c>
      <c r="D103" s="66" t="s">
        <v>469</v>
      </c>
      <c r="E103" s="43"/>
      <c r="F103" s="57"/>
      <c r="G103" s="53"/>
      <c r="H103" s="46"/>
      <c r="I103" s="47"/>
      <c r="J103" s="60" t="s">
        <v>74</v>
      </c>
      <c r="K103" s="49"/>
      <c r="L103" s="46"/>
      <c r="M103" s="69" t="s">
        <v>43</v>
      </c>
      <c r="N103" s="66" t="s">
        <v>470</v>
      </c>
      <c r="O103" s="68">
        <v>2</v>
      </c>
      <c r="P103" s="50" t="e">
        <v>#REF!</v>
      </c>
      <c r="Q103" s="62" t="s">
        <v>62</v>
      </c>
      <c r="R103" s="51"/>
      <c r="S103" s="51"/>
      <c r="T103" s="12"/>
      <c r="U103" s="12"/>
      <c r="V103" s="12"/>
      <c r="W103" s="12"/>
      <c r="X103" s="14" t="e">
        <f t="array" ref="X103">IF(OR(AND(#REF!=""),AND(#REF!="-"),OR(NOT(ISERROR(SEARCH("-*",H103:L103))))),0,1)</f>
        <v>#REF!</v>
      </c>
      <c r="Y103" s="12"/>
      <c r="Z103" s="14">
        <f t="array" ref="Z103">IF(AND(E103:G103="-"),0,IF(OR(NOT(ISERROR(SEARCH("+*",H103:L103)))),2,IF(OR(NOT(ISERROR(SEARCH("--*",E103:L103)))),-1,IF(OR(NOT(E103:G103="")),1,0))))</f>
        <v>2</v>
      </c>
      <c r="AA103" s="14">
        <v>176</v>
      </c>
      <c r="AB103" s="12"/>
    </row>
    <row r="104" spans="1:28" ht="25.5">
      <c r="A104" s="41">
        <v>156</v>
      </c>
      <c r="B104" s="66" t="s">
        <v>471</v>
      </c>
      <c r="C104" s="66" t="s">
        <v>472</v>
      </c>
      <c r="D104" s="42" t="s">
        <v>473</v>
      </c>
      <c r="E104" s="43" t="s">
        <v>42</v>
      </c>
      <c r="F104" s="57" t="s">
        <v>42</v>
      </c>
      <c r="G104" s="53"/>
      <c r="H104" s="46"/>
      <c r="I104" s="47"/>
      <c r="J104" s="48"/>
      <c r="K104" s="49"/>
      <c r="L104" s="46"/>
      <c r="M104" s="56" t="s">
        <v>207</v>
      </c>
      <c r="N104" s="66" t="s">
        <v>474</v>
      </c>
      <c r="O104" s="68">
        <v>1</v>
      </c>
      <c r="P104" s="50" t="e">
        <v>#REF!</v>
      </c>
      <c r="Q104" s="62" t="s">
        <v>86</v>
      </c>
      <c r="R104" s="51"/>
      <c r="S104" s="51"/>
      <c r="T104" s="12"/>
      <c r="U104" s="12"/>
      <c r="V104" s="12"/>
      <c r="W104" s="12"/>
      <c r="X104" s="14" t="e">
        <f t="array" ref="X104">IF(OR(AND(#REF!=""),AND(#REF!="-"),OR(NOT(ISERROR(SEARCH("-*",H104:L104))))),0,1)</f>
        <v>#REF!</v>
      </c>
      <c r="Y104" s="12"/>
      <c r="Z104" s="14">
        <f t="array" ref="Z104">IF(AND(E104:G104="-"),0,IF(OR(NOT(ISERROR(SEARCH("+*",H104:L104)))),2,IF(OR(NOT(ISERROR(SEARCH("--*",E104:L104)))),-1,IF(OR(NOT(E104:G104="")),1,0))))</f>
        <v>1</v>
      </c>
      <c r="AA104" s="14">
        <v>178</v>
      </c>
      <c r="AB104" s="12"/>
    </row>
    <row r="105" spans="1:28" ht="25.5">
      <c r="A105" s="41">
        <v>158</v>
      </c>
      <c r="B105" s="66" t="s">
        <v>475</v>
      </c>
      <c r="C105" s="66" t="s">
        <v>476</v>
      </c>
      <c r="D105" s="42" t="s">
        <v>477</v>
      </c>
      <c r="E105" s="43"/>
      <c r="F105" s="57"/>
      <c r="G105" s="53"/>
      <c r="H105" s="46"/>
      <c r="I105" s="58" t="s">
        <v>111</v>
      </c>
      <c r="J105" s="48"/>
      <c r="K105" s="61"/>
      <c r="L105" s="46"/>
      <c r="M105" s="56" t="s">
        <v>437</v>
      </c>
      <c r="N105" s="66" t="s">
        <v>478</v>
      </c>
      <c r="O105" s="68">
        <v>2</v>
      </c>
      <c r="P105" s="50" t="e">
        <v>#REF!</v>
      </c>
      <c r="Q105" s="62"/>
      <c r="R105" s="51"/>
      <c r="S105" s="51"/>
      <c r="T105" s="12"/>
      <c r="U105" s="12"/>
      <c r="V105" s="12"/>
      <c r="W105" s="12"/>
      <c r="X105" s="14" t="e">
        <f t="array" ref="X105">IF(OR(AND(#REF!=""),AND(#REF!="-"),OR(NOT(ISERROR(SEARCH("-*",H105:L105))))),0,1)</f>
        <v>#REF!</v>
      </c>
      <c r="Y105" s="12"/>
      <c r="Z105" s="14">
        <f t="array" ref="Z105">IF(AND(E105:G105="-"),0,IF(OR(NOT(ISERROR(SEARCH("+*",H105:L105)))),2,IF(OR(NOT(ISERROR(SEARCH("--*",E105:L105)))),-1,IF(OR(NOT(E105:G105="")),1,0))))</f>
        <v>2</v>
      </c>
      <c r="AA105" s="14">
        <v>180</v>
      </c>
      <c r="AB105" s="12"/>
    </row>
    <row r="106" spans="1:28" ht="38.25">
      <c r="A106" s="41">
        <v>159</v>
      </c>
      <c r="B106" s="66" t="s">
        <v>479</v>
      </c>
      <c r="C106" s="66" t="s">
        <v>480</v>
      </c>
      <c r="D106" s="66" t="s">
        <v>481</v>
      </c>
      <c r="E106" s="43"/>
      <c r="F106" s="57" t="s">
        <v>74</v>
      </c>
      <c r="G106" s="53"/>
      <c r="H106" s="46"/>
      <c r="I106" s="58" t="s">
        <v>111</v>
      </c>
      <c r="J106" s="48"/>
      <c r="K106" s="49"/>
      <c r="L106" s="46"/>
      <c r="M106" s="69" t="s">
        <v>43</v>
      </c>
      <c r="N106" s="66"/>
      <c r="O106" s="68"/>
      <c r="P106" s="50" t="e">
        <v>#REF!</v>
      </c>
      <c r="Q106" s="62" t="s">
        <v>86</v>
      </c>
      <c r="R106" s="51"/>
      <c r="S106" s="51"/>
      <c r="T106" s="12"/>
      <c r="U106" s="12"/>
      <c r="V106" s="12"/>
      <c r="W106" s="12"/>
      <c r="X106" s="14" t="e">
        <f t="array" ref="X106">IF(OR(AND(#REF!=""),AND(#REF!="-"),OR(NOT(ISERROR(SEARCH("-*",H106:L106))))),0,1)</f>
        <v>#REF!</v>
      </c>
      <c r="Y106" s="12"/>
      <c r="Z106" s="14">
        <f t="array" ref="Z106">IF(AND(E106:G106="-"),0,IF(OR(NOT(ISERROR(SEARCH("+*",H106:L106)))),2,IF(OR(NOT(ISERROR(SEARCH("--*",E106:L106)))),-1,IF(OR(NOT(E106:G106="")),1,0))))</f>
        <v>2</v>
      </c>
      <c r="AA106" s="14">
        <v>181</v>
      </c>
      <c r="AB106" s="12"/>
    </row>
    <row r="107" spans="1:28" ht="76.5">
      <c r="A107" s="41">
        <v>164</v>
      </c>
      <c r="B107" s="66" t="s">
        <v>482</v>
      </c>
      <c r="C107" s="66" t="s">
        <v>483</v>
      </c>
      <c r="D107" s="66" t="s">
        <v>484</v>
      </c>
      <c r="E107" s="43"/>
      <c r="F107" s="57"/>
      <c r="G107" s="53" t="s">
        <v>42</v>
      </c>
      <c r="H107" s="46"/>
      <c r="I107" s="47"/>
      <c r="J107" s="48"/>
      <c r="K107" s="49"/>
      <c r="L107" s="46"/>
      <c r="M107" s="69" t="s">
        <v>43</v>
      </c>
      <c r="N107" s="66" t="s">
        <v>485</v>
      </c>
      <c r="O107" s="68">
        <v>2</v>
      </c>
      <c r="P107" s="50" t="e">
        <v>#REF!</v>
      </c>
      <c r="Q107" s="62" t="s">
        <v>44</v>
      </c>
      <c r="R107" s="51"/>
      <c r="S107" s="51"/>
      <c r="T107" s="12"/>
      <c r="U107" s="12"/>
      <c r="V107" s="12"/>
      <c r="W107" s="12"/>
      <c r="X107" s="14" t="e">
        <f t="array" ref="X107">IF(OR(AND(#REF!=""),AND(#REF!="-"),OR(NOT(ISERROR(SEARCH("-*",H107:L107))))),0,1)</f>
        <v>#REF!</v>
      </c>
      <c r="Y107" s="12"/>
      <c r="Z107" s="14">
        <f t="array" ref="Z107">IF(AND(E107:G107="-"),0,IF(OR(NOT(ISERROR(SEARCH("+*",H107:L107)))),2,IF(OR(NOT(ISERROR(SEARCH("--*",E107:L107)))),-1,IF(OR(NOT(E107:G107="")),1,0))))</f>
        <v>1</v>
      </c>
      <c r="AA107" s="14">
        <v>187</v>
      </c>
      <c r="AB107" s="12"/>
    </row>
    <row r="108" spans="1:28" ht="38.25">
      <c r="A108" s="41">
        <v>165</v>
      </c>
      <c r="B108" s="66" t="s">
        <v>486</v>
      </c>
      <c r="C108" s="66" t="s">
        <v>487</v>
      </c>
      <c r="D108" s="66" t="s">
        <v>488</v>
      </c>
      <c r="E108" s="43"/>
      <c r="F108" s="57"/>
      <c r="G108" s="53" t="s">
        <v>74</v>
      </c>
      <c r="H108" s="46"/>
      <c r="I108" s="47"/>
      <c r="J108" s="48"/>
      <c r="K108" s="49"/>
      <c r="L108" s="46"/>
      <c r="M108" s="69" t="s">
        <v>43</v>
      </c>
      <c r="N108" s="66" t="s">
        <v>489</v>
      </c>
      <c r="O108" s="68">
        <v>2</v>
      </c>
      <c r="P108" s="50" t="e">
        <v>#REF!</v>
      </c>
      <c r="Q108" s="62" t="s">
        <v>62</v>
      </c>
      <c r="R108" s="51"/>
      <c r="S108" s="51"/>
      <c r="T108" s="12"/>
      <c r="U108" s="12"/>
      <c r="V108" s="12"/>
      <c r="W108" s="12"/>
      <c r="X108" s="14" t="e">
        <f t="array" ref="X108">IF(OR(AND(#REF!=""),AND(#REF!="-"),OR(NOT(ISERROR(SEARCH("-*",H108:L108))))),0,1)</f>
        <v>#REF!</v>
      </c>
      <c r="Y108" s="12"/>
      <c r="Z108" s="14">
        <f t="array" ref="Z108">IF(AND(E108:G108="-"),0,IF(OR(NOT(ISERROR(SEARCH("+*",H108:L108)))),2,IF(OR(NOT(ISERROR(SEARCH("--*",E108:L108)))),-1,IF(OR(NOT(E108:G108="")),1,0))))</f>
        <v>1</v>
      </c>
      <c r="AA108" s="14">
        <v>188</v>
      </c>
      <c r="AB108" s="12"/>
    </row>
    <row r="109" spans="1:28" ht="89.25">
      <c r="A109" s="41">
        <v>166</v>
      </c>
      <c r="B109" s="66" t="s">
        <v>490</v>
      </c>
      <c r="C109" s="66" t="s">
        <v>491</v>
      </c>
      <c r="D109" s="42" t="s">
        <v>492</v>
      </c>
      <c r="E109" s="43" t="s">
        <v>42</v>
      </c>
      <c r="F109" s="57" t="s">
        <v>42</v>
      </c>
      <c r="G109" s="53"/>
      <c r="H109" s="46"/>
      <c r="I109" s="58" t="s">
        <v>125</v>
      </c>
      <c r="J109" s="48"/>
      <c r="K109" s="59" t="s">
        <v>111</v>
      </c>
      <c r="L109" s="46"/>
      <c r="M109" s="56" t="s">
        <v>207</v>
      </c>
      <c r="N109" s="66" t="s">
        <v>493</v>
      </c>
      <c r="O109" s="68">
        <v>2</v>
      </c>
      <c r="P109" s="50" t="e">
        <v>#REF!</v>
      </c>
      <c r="Q109" s="62" t="s">
        <v>62</v>
      </c>
      <c r="R109" s="51"/>
      <c r="S109" s="51"/>
      <c r="T109" s="12"/>
      <c r="U109" s="12"/>
      <c r="V109" s="12"/>
      <c r="W109" s="12"/>
      <c r="X109" s="14" t="e">
        <f t="array" ref="X109">IF(OR(AND(#REF!=""),AND(#REF!="-"),OR(NOT(ISERROR(SEARCH("-*",H109:L109))))),0,1)</f>
        <v>#REF!</v>
      </c>
      <c r="Y109" s="12"/>
      <c r="Z109" s="14">
        <f t="array" ref="Z109">IF(AND(E109:G109="-"),0,IF(OR(NOT(ISERROR(SEARCH("+*",H109:L109)))),2,IF(OR(NOT(ISERROR(SEARCH("--*",E109:L109)))),-1,IF(OR(NOT(E109:G109="")),1,0))))</f>
        <v>2</v>
      </c>
      <c r="AA109" s="14">
        <v>189</v>
      </c>
      <c r="AB109" s="12"/>
    </row>
    <row r="110" spans="1:28" ht="38.25">
      <c r="A110" s="41">
        <v>167</v>
      </c>
      <c r="B110" s="66" t="s">
        <v>494</v>
      </c>
      <c r="C110" s="66" t="s">
        <v>495</v>
      </c>
      <c r="D110" s="42" t="s">
        <v>496</v>
      </c>
      <c r="E110" s="43"/>
      <c r="F110" s="57" t="s">
        <v>74</v>
      </c>
      <c r="G110" s="53"/>
      <c r="H110" s="46"/>
      <c r="I110" s="47"/>
      <c r="J110" s="48"/>
      <c r="K110" s="49"/>
      <c r="L110" s="46"/>
      <c r="M110" s="56" t="s">
        <v>43</v>
      </c>
      <c r="N110" s="66" t="s">
        <v>497</v>
      </c>
      <c r="O110" s="68">
        <v>2</v>
      </c>
      <c r="P110" s="50" t="e">
        <v>#REF!</v>
      </c>
      <c r="Q110" s="62" t="s">
        <v>44</v>
      </c>
      <c r="R110" s="51"/>
      <c r="S110" s="51"/>
      <c r="T110" s="12"/>
      <c r="U110" s="12"/>
      <c r="V110" s="12"/>
      <c r="W110" s="12"/>
      <c r="X110" s="14" t="e">
        <f t="array" ref="X110">IF(OR(AND(#REF!=""),AND(#REF!="-"),OR(NOT(ISERROR(SEARCH("-*",H110:L110))))),0,1)</f>
        <v>#REF!</v>
      </c>
      <c r="Y110" s="12"/>
      <c r="Z110" s="14">
        <f t="array" ref="Z110">IF(AND(E110:G110="-"),0,IF(OR(NOT(ISERROR(SEARCH("+*",H110:L110)))),2,IF(OR(NOT(ISERROR(SEARCH("--*",E110:L110)))),-1,IF(OR(NOT(E110:G110="")),1,0))))</f>
        <v>1</v>
      </c>
      <c r="AA110" s="14">
        <v>190</v>
      </c>
      <c r="AB110" s="12"/>
    </row>
    <row r="111" spans="1:28" ht="38.25">
      <c r="A111" s="41">
        <v>169</v>
      </c>
      <c r="B111" s="66" t="s">
        <v>498</v>
      </c>
      <c r="C111" s="66" t="s">
        <v>499</v>
      </c>
      <c r="D111" s="42" t="s">
        <v>500</v>
      </c>
      <c r="E111" s="43" t="s">
        <v>74</v>
      </c>
      <c r="F111" s="57" t="s">
        <v>74</v>
      </c>
      <c r="G111" s="53"/>
      <c r="H111" s="46"/>
      <c r="I111" s="47"/>
      <c r="J111" s="48"/>
      <c r="K111" s="49"/>
      <c r="L111" s="46"/>
      <c r="M111" s="56" t="s">
        <v>43</v>
      </c>
      <c r="N111" s="66" t="s">
        <v>501</v>
      </c>
      <c r="O111" s="68">
        <v>2</v>
      </c>
      <c r="P111" s="50" t="e">
        <v>#REF!</v>
      </c>
      <c r="Q111" s="62"/>
      <c r="R111" s="51"/>
      <c r="S111" s="51"/>
      <c r="T111" s="12"/>
      <c r="U111" s="12"/>
      <c r="V111" s="12"/>
      <c r="W111" s="12"/>
      <c r="X111" s="14" t="e">
        <f t="array" ref="X111">IF(OR(AND(#REF!=""),AND(#REF!="-"),OR(NOT(ISERROR(SEARCH("-*",H111:L111))))),0,1)</f>
        <v>#REF!</v>
      </c>
      <c r="Y111" s="12"/>
      <c r="Z111" s="14">
        <f t="array" ref="Z111">IF(AND(E111:G111="-"),0,IF(OR(NOT(ISERROR(SEARCH("+*",H111:L111)))),2,IF(OR(NOT(ISERROR(SEARCH("--*",E111:L111)))),-1,IF(OR(NOT(E111:G111="")),1,0))))</f>
        <v>1</v>
      </c>
      <c r="AA111" s="14">
        <v>192</v>
      </c>
      <c r="AB111" s="12"/>
    </row>
    <row r="112" spans="1:28" ht="25.5">
      <c r="A112" s="41">
        <v>173</v>
      </c>
      <c r="B112" s="66" t="s">
        <v>502</v>
      </c>
      <c r="C112" s="66" t="s">
        <v>503</v>
      </c>
      <c r="D112" s="66" t="s">
        <v>504</v>
      </c>
      <c r="E112" s="43" t="s">
        <v>74</v>
      </c>
      <c r="F112" s="64" t="s">
        <v>74</v>
      </c>
      <c r="G112" s="53"/>
      <c r="H112" s="46"/>
      <c r="I112" s="58" t="s">
        <v>125</v>
      </c>
      <c r="J112" s="48"/>
      <c r="K112" s="70" t="s">
        <v>125</v>
      </c>
      <c r="L112" s="46"/>
      <c r="M112" s="56" t="s">
        <v>505</v>
      </c>
      <c r="N112" s="66" t="s">
        <v>506</v>
      </c>
      <c r="O112" s="68">
        <v>3</v>
      </c>
      <c r="P112" s="50" t="e">
        <v>#REF!</v>
      </c>
      <c r="Q112" s="62" t="s">
        <v>86</v>
      </c>
      <c r="R112" s="51"/>
      <c r="S112" s="51"/>
      <c r="T112" s="12"/>
      <c r="U112" s="12"/>
      <c r="V112" s="12"/>
      <c r="W112" s="12"/>
      <c r="X112" s="14" t="e">
        <f t="array" ref="X112">IF(OR(AND(#REF!=""),AND(#REF!="-"),OR(NOT(ISERROR(SEARCH("-*",H112:L112))))),0,1)</f>
        <v>#REF!</v>
      </c>
      <c r="Y112" s="12"/>
      <c r="Z112" s="14">
        <f t="array" ref="Z112">IF(AND(E112:G112="-"),0,IF(OR(NOT(ISERROR(SEARCH("+*",H112:L112)))),2,IF(OR(NOT(ISERROR(SEARCH("--*",E112:L112)))),-1,IF(OR(NOT(E112:G112="")),1,0))))</f>
        <v>2</v>
      </c>
      <c r="AA112" s="14">
        <v>196</v>
      </c>
      <c r="AB112" s="12"/>
    </row>
    <row r="113" spans="1:28" ht="12.75">
      <c r="A113" s="41">
        <v>174</v>
      </c>
      <c r="B113" s="66" t="s">
        <v>507</v>
      </c>
      <c r="C113" s="66" t="s">
        <v>508</v>
      </c>
      <c r="D113" s="66" t="s">
        <v>509</v>
      </c>
      <c r="E113" s="43" t="s">
        <v>74</v>
      </c>
      <c r="F113" s="64" t="s">
        <v>74</v>
      </c>
      <c r="G113" s="53"/>
      <c r="H113" s="46"/>
      <c r="I113" s="47"/>
      <c r="J113" s="48"/>
      <c r="K113" s="49"/>
      <c r="L113" s="46"/>
      <c r="M113" s="69" t="s">
        <v>43</v>
      </c>
      <c r="N113" s="66" t="s">
        <v>510</v>
      </c>
      <c r="O113" s="68">
        <v>1</v>
      </c>
      <c r="P113" s="50" t="e">
        <v>#REF!</v>
      </c>
      <c r="Q113" s="62"/>
      <c r="R113" s="51"/>
      <c r="S113" s="51"/>
      <c r="T113" s="12"/>
      <c r="U113" s="12"/>
      <c r="V113" s="12"/>
      <c r="W113" s="12"/>
      <c r="X113" s="14" t="e">
        <f t="array" ref="X113">IF(OR(AND(#REF!=""),AND(#REF!="-"),OR(NOT(ISERROR(SEARCH("-*",H113:L113))))),0,1)</f>
        <v>#REF!</v>
      </c>
      <c r="Y113" s="12"/>
      <c r="Z113" s="14">
        <f t="array" ref="Z113">IF(AND(E113:G113="-"),0,IF(OR(NOT(ISERROR(SEARCH("+*",H113:L113)))),2,IF(OR(NOT(ISERROR(SEARCH("--*",E113:L113)))),-1,IF(OR(NOT(E113:G113="")),1,0))))</f>
        <v>1</v>
      </c>
      <c r="AA113" s="14">
        <v>197</v>
      </c>
      <c r="AB113" s="12"/>
    </row>
    <row r="114" spans="1:28" ht="25.5">
      <c r="A114" s="41">
        <v>175</v>
      </c>
      <c r="B114" s="66" t="s">
        <v>511</v>
      </c>
      <c r="C114" s="66" t="s">
        <v>512</v>
      </c>
      <c r="D114" s="66" t="s">
        <v>513</v>
      </c>
      <c r="E114" s="43" t="s">
        <v>74</v>
      </c>
      <c r="F114" s="57" t="s">
        <v>74</v>
      </c>
      <c r="G114" s="53"/>
      <c r="H114" s="46"/>
      <c r="I114" s="47"/>
      <c r="J114" s="48"/>
      <c r="K114" s="49"/>
      <c r="L114" s="46"/>
      <c r="M114" s="69" t="s">
        <v>43</v>
      </c>
      <c r="N114" s="66" t="s">
        <v>514</v>
      </c>
      <c r="O114" s="68">
        <v>3</v>
      </c>
      <c r="P114" s="50" t="e">
        <v>#REF!</v>
      </c>
      <c r="Q114" s="62"/>
      <c r="R114" s="51"/>
      <c r="S114" s="51"/>
      <c r="T114" s="12"/>
      <c r="U114" s="12"/>
      <c r="V114" s="12"/>
      <c r="W114" s="12"/>
      <c r="X114" s="14" t="e">
        <f t="array" ref="X114">IF(OR(AND(#REF!=""),AND(#REF!="-"),OR(NOT(ISERROR(SEARCH("-*",H114:L114))))),0,1)</f>
        <v>#REF!</v>
      </c>
      <c r="Y114" s="12"/>
      <c r="Z114" s="14">
        <f t="array" ref="Z114">IF(AND(E114:G114="-"),0,IF(OR(NOT(ISERROR(SEARCH("+*",H114:L114)))),2,IF(OR(NOT(ISERROR(SEARCH("--*",E114:L114)))),-1,IF(OR(NOT(E114:G114="")),1,0))))</f>
        <v>1</v>
      </c>
      <c r="AA114" s="14">
        <v>198</v>
      </c>
      <c r="AB114" s="12"/>
    </row>
    <row r="115" spans="1:28" ht="38.25">
      <c r="A115" s="41">
        <v>176</v>
      </c>
      <c r="B115" s="66" t="s">
        <v>515</v>
      </c>
      <c r="C115" s="66" t="s">
        <v>516</v>
      </c>
      <c r="D115" s="66" t="s">
        <v>517</v>
      </c>
      <c r="E115" s="43" t="s">
        <v>74</v>
      </c>
      <c r="F115" s="57"/>
      <c r="G115" s="53"/>
      <c r="H115" s="46"/>
      <c r="I115" s="47"/>
      <c r="J115" s="48"/>
      <c r="K115" s="49"/>
      <c r="L115" s="46"/>
      <c r="M115" s="69" t="s">
        <v>84</v>
      </c>
      <c r="N115" s="66"/>
      <c r="O115" s="68">
        <v>0</v>
      </c>
      <c r="P115" s="50" t="e">
        <v>#REF!</v>
      </c>
      <c r="Q115" s="62"/>
      <c r="R115" s="51"/>
      <c r="S115" s="51"/>
      <c r="T115" s="12"/>
      <c r="U115" s="12"/>
      <c r="V115" s="12"/>
      <c r="W115" s="12"/>
      <c r="X115" s="14" t="e">
        <f t="array" ref="X115">IF(OR(AND(#REF!=""),AND(#REF!="-"),OR(NOT(ISERROR(SEARCH("-*",H115:L115))))),0,1)</f>
        <v>#REF!</v>
      </c>
      <c r="Y115" s="12"/>
      <c r="Z115" s="14">
        <f t="array" ref="Z115">IF(AND(E115:G115="-"),0,IF(OR(NOT(ISERROR(SEARCH("+*",H115:L115)))),2,IF(OR(NOT(ISERROR(SEARCH("--*",E115:L115)))),-1,IF(OR(NOT(E115:G115="")),1,0))))</f>
        <v>1</v>
      </c>
      <c r="AA115" s="14">
        <v>199</v>
      </c>
      <c r="AB115" s="12"/>
    </row>
    <row r="116" spans="1:28" ht="38.25">
      <c r="A116" s="41">
        <v>178</v>
      </c>
      <c r="B116" s="66" t="s">
        <v>518</v>
      </c>
      <c r="C116" s="66" t="s">
        <v>519</v>
      </c>
      <c r="D116" s="42" t="s">
        <v>520</v>
      </c>
      <c r="E116" s="43"/>
      <c r="F116" s="57"/>
      <c r="G116" s="53"/>
      <c r="H116" s="46"/>
      <c r="I116" s="58" t="s">
        <v>111</v>
      </c>
      <c r="J116" s="48"/>
      <c r="K116" s="59" t="s">
        <v>111</v>
      </c>
      <c r="L116" s="46"/>
      <c r="M116" s="56" t="s">
        <v>84</v>
      </c>
      <c r="N116" s="66"/>
      <c r="O116" s="68">
        <v>0</v>
      </c>
      <c r="P116" s="50" t="e">
        <v>#REF!</v>
      </c>
      <c r="Q116" s="62" t="s">
        <v>86</v>
      </c>
      <c r="R116" s="51"/>
      <c r="S116" s="51"/>
      <c r="T116" s="12"/>
      <c r="U116" s="12"/>
      <c r="V116" s="12"/>
      <c r="W116" s="12"/>
      <c r="X116" s="14" t="e">
        <f t="array" ref="X116">IF(OR(AND(#REF!=""),AND(#REF!="-"),OR(NOT(ISERROR(SEARCH("-*",H116:L116))))),0,1)</f>
        <v>#REF!</v>
      </c>
      <c r="Y116" s="12"/>
      <c r="Z116" s="14">
        <f t="array" ref="Z116">IF(AND(E116:G116="-"),0,IF(OR(NOT(ISERROR(SEARCH("+*",H116:L116)))),2,IF(OR(NOT(ISERROR(SEARCH("--*",E116:L116)))),-1,IF(OR(NOT(E116:G116="")),1,0))))</f>
        <v>2</v>
      </c>
      <c r="AA116" s="14">
        <v>201</v>
      </c>
      <c r="AB116" s="12"/>
    </row>
    <row r="117" spans="1:28" ht="25.5">
      <c r="A117" s="41">
        <v>179</v>
      </c>
      <c r="B117" s="66" t="s">
        <v>521</v>
      </c>
      <c r="C117" s="66" t="s">
        <v>522</v>
      </c>
      <c r="D117" s="66" t="s">
        <v>523</v>
      </c>
      <c r="E117" s="43"/>
      <c r="F117" s="57"/>
      <c r="G117" s="53"/>
      <c r="H117" s="46"/>
      <c r="I117" s="58" t="s">
        <v>111</v>
      </c>
      <c r="J117" s="48"/>
      <c r="K117" s="59" t="s">
        <v>111</v>
      </c>
      <c r="L117" s="46"/>
      <c r="M117" s="56" t="s">
        <v>84</v>
      </c>
      <c r="N117" s="66"/>
      <c r="O117" s="68">
        <v>0</v>
      </c>
      <c r="P117" s="50" t="e">
        <v>#REF!</v>
      </c>
      <c r="Q117" s="62"/>
      <c r="R117" s="51"/>
      <c r="S117" s="51"/>
      <c r="T117" s="12"/>
      <c r="U117" s="12"/>
      <c r="V117" s="12"/>
      <c r="W117" s="12"/>
      <c r="X117" s="14" t="e">
        <f t="array" ref="X117">IF(OR(AND(#REF!=""),AND(#REF!="-"),OR(NOT(ISERROR(SEARCH("-*",H117:L117))))),0,1)</f>
        <v>#REF!</v>
      </c>
      <c r="Y117" s="12"/>
      <c r="Z117" s="14">
        <f t="array" ref="Z117">IF(AND(E117:G117="-"),0,IF(OR(NOT(ISERROR(SEARCH("+*",H117:L117)))),2,IF(OR(NOT(ISERROR(SEARCH("--*",E117:L117)))),-1,IF(OR(NOT(E117:G117="")),1,0))))</f>
        <v>2</v>
      </c>
      <c r="AA117" s="14">
        <v>202</v>
      </c>
      <c r="AB117" s="12"/>
    </row>
    <row r="118" spans="1:28" ht="38.25">
      <c r="A118" s="41">
        <v>180</v>
      </c>
      <c r="B118" s="66" t="s">
        <v>524</v>
      </c>
      <c r="C118" s="66" t="s">
        <v>525</v>
      </c>
      <c r="D118" s="42" t="s">
        <v>526</v>
      </c>
      <c r="E118" s="19"/>
      <c r="F118" s="57"/>
      <c r="G118" s="53"/>
      <c r="H118" s="46"/>
      <c r="I118" s="71" t="s">
        <v>106</v>
      </c>
      <c r="J118" s="48"/>
      <c r="K118" s="72" t="s">
        <v>106</v>
      </c>
      <c r="L118" s="46"/>
      <c r="M118" s="56" t="s">
        <v>84</v>
      </c>
      <c r="N118" s="66"/>
      <c r="O118" s="68">
        <v>0</v>
      </c>
      <c r="P118" s="50" t="e">
        <v>#REF!</v>
      </c>
      <c r="Q118" s="73"/>
      <c r="R118" s="51"/>
      <c r="S118" s="51"/>
      <c r="T118" s="12"/>
      <c r="U118" s="12"/>
      <c r="V118" s="12"/>
      <c r="W118" s="12"/>
      <c r="X118" s="14" t="e">
        <f t="array" ref="X118">IF(OR(AND(#REF!=""),AND(#REF!="-"),OR(NOT(ISERROR(SEARCH("-*",H118:L118))))),0,1)</f>
        <v>#REF!</v>
      </c>
      <c r="Y118" s="12"/>
      <c r="Z118" s="14">
        <f t="array" ref="Z118">IF(AND(E118:G118="-"),0,IF(OR(NOT(ISERROR(SEARCH("+*",H118:L118)))),2,IF(OR(NOT(ISERROR(SEARCH("--*",E118:L118)))),-1,IF(OR(NOT(E118:G118="")),1,0))))</f>
        <v>2</v>
      </c>
      <c r="AA118" s="14">
        <v>203</v>
      </c>
      <c r="AB118" s="12"/>
    </row>
    <row r="119" spans="1:28" ht="267.75">
      <c r="A119" s="41">
        <v>181</v>
      </c>
      <c r="B119" s="66" t="s">
        <v>527</v>
      </c>
      <c r="C119" s="66" t="s">
        <v>528</v>
      </c>
      <c r="D119" s="42" t="s">
        <v>529</v>
      </c>
      <c r="E119" s="43" t="s">
        <v>42</v>
      </c>
      <c r="F119" s="44" t="s">
        <v>42</v>
      </c>
      <c r="G119" s="53" t="s">
        <v>42</v>
      </c>
      <c r="H119" s="46"/>
      <c r="I119" s="47"/>
      <c r="J119" s="48"/>
      <c r="K119" s="49"/>
      <c r="L119" s="46"/>
      <c r="M119" s="56" t="s">
        <v>43</v>
      </c>
      <c r="N119" s="54" t="s">
        <v>530</v>
      </c>
      <c r="O119" s="56">
        <v>1</v>
      </c>
      <c r="P119" s="50" t="e">
        <v>#REF!</v>
      </c>
      <c r="Q119" s="62" t="s">
        <v>44</v>
      </c>
      <c r="R119" s="51" t="s">
        <v>43</v>
      </c>
      <c r="S119" s="51" t="s">
        <v>531</v>
      </c>
      <c r="T119" s="12"/>
      <c r="U119" s="12"/>
      <c r="V119" s="12"/>
      <c r="W119" s="12"/>
      <c r="X119" s="14" t="e">
        <f t="array" ref="X119">IF(OR(AND(#REF!=""),AND(#REF!="-"),OR(NOT(ISERROR(SEARCH("-*",H119:L119))))),0,1)</f>
        <v>#REF!</v>
      </c>
      <c r="Y119" s="12"/>
      <c r="Z119" s="14">
        <f t="array" ref="Z119">IF(AND(E119:G119="-"),0,IF(OR(NOT(ISERROR(SEARCH("+*",H119:L119)))),2,IF(OR(NOT(ISERROR(SEARCH("--*",E119:L119)))),-1,IF(OR(NOT(E119:G119="")),1,0))))</f>
        <v>1</v>
      </c>
      <c r="AA119" s="14">
        <v>204</v>
      </c>
      <c r="AB119" s="12"/>
    </row>
    <row r="120" spans="1:28" ht="216.75">
      <c r="A120" s="41">
        <v>182</v>
      </c>
      <c r="B120" s="66" t="s">
        <v>532</v>
      </c>
      <c r="C120" s="66" t="s">
        <v>533</v>
      </c>
      <c r="D120" s="66" t="s">
        <v>534</v>
      </c>
      <c r="E120" s="43" t="s">
        <v>42</v>
      </c>
      <c r="F120" s="44" t="s">
        <v>42</v>
      </c>
      <c r="G120" s="53" t="s">
        <v>42</v>
      </c>
      <c r="H120" s="46"/>
      <c r="I120" s="47"/>
      <c r="J120" s="48"/>
      <c r="K120" s="49"/>
      <c r="L120" s="46"/>
      <c r="M120" s="56" t="s">
        <v>43</v>
      </c>
      <c r="N120" s="54" t="s">
        <v>535</v>
      </c>
      <c r="O120" s="56">
        <v>1</v>
      </c>
      <c r="P120" s="50" t="e">
        <v>#REF!</v>
      </c>
      <c r="Q120" s="62" t="s">
        <v>44</v>
      </c>
      <c r="R120" s="51" t="s">
        <v>43</v>
      </c>
      <c r="S120" s="51" t="s">
        <v>536</v>
      </c>
      <c r="T120" s="12"/>
      <c r="U120" s="12"/>
      <c r="V120" s="12"/>
      <c r="W120" s="12"/>
      <c r="X120" s="14" t="e">
        <f t="array" ref="X120">IF(OR(AND(#REF!=""),AND(#REF!="-"),OR(NOT(ISERROR(SEARCH("-*",H120:L120))))),0,1)</f>
        <v>#REF!</v>
      </c>
      <c r="Y120" s="12"/>
      <c r="Z120" s="14">
        <f t="array" ref="Z120">IF(AND(E120:G120="-"),0,IF(OR(NOT(ISERROR(SEARCH("+*",H120:L120)))),2,IF(OR(NOT(ISERROR(SEARCH("--*",E120:L120)))),-1,IF(OR(NOT(E120:G120="")),1,0))))</f>
        <v>1</v>
      </c>
      <c r="AA120" s="14">
        <v>205</v>
      </c>
      <c r="AB120" s="12"/>
    </row>
    <row r="121" spans="1:28" ht="38.25">
      <c r="A121" s="41">
        <v>183</v>
      </c>
      <c r="B121" s="66" t="s">
        <v>537</v>
      </c>
      <c r="C121" s="66" t="s">
        <v>538</v>
      </c>
      <c r="D121" s="66" t="s">
        <v>539</v>
      </c>
      <c r="E121" s="43" t="s">
        <v>42</v>
      </c>
      <c r="F121" s="44" t="s">
        <v>42</v>
      </c>
      <c r="G121" s="53" t="s">
        <v>42</v>
      </c>
      <c r="H121" s="46"/>
      <c r="I121" s="47"/>
      <c r="J121" s="48"/>
      <c r="K121" s="49"/>
      <c r="L121" s="46"/>
      <c r="M121" s="56" t="s">
        <v>43</v>
      </c>
      <c r="N121" s="54" t="s">
        <v>540</v>
      </c>
      <c r="O121" s="56">
        <v>0</v>
      </c>
      <c r="P121" s="50" t="e">
        <v>#REF!</v>
      </c>
      <c r="Q121" s="62" t="s">
        <v>62</v>
      </c>
      <c r="R121" s="51"/>
      <c r="S121" s="51"/>
      <c r="T121" s="12"/>
      <c r="U121" s="12"/>
      <c r="V121" s="12"/>
      <c r="W121" s="12"/>
      <c r="X121" s="14" t="e">
        <f t="array" ref="X121">IF(OR(AND(#REF!=""),AND(#REF!="-"),OR(NOT(ISERROR(SEARCH("-*",H121:L121))))),0,1)</f>
        <v>#REF!</v>
      </c>
      <c r="Y121" s="12"/>
      <c r="Z121" s="14">
        <f t="array" ref="Z121">IF(AND(E121:G121="-"),0,IF(OR(NOT(ISERROR(SEARCH("+*",H121:L121)))),2,IF(OR(NOT(ISERROR(SEARCH("--*",E121:L121)))),-1,IF(OR(NOT(E121:G121="")),1,0))))</f>
        <v>1</v>
      </c>
      <c r="AA121" s="14">
        <v>206</v>
      </c>
      <c r="AB121" s="12"/>
    </row>
    <row r="122" spans="1:28" ht="76.5">
      <c r="A122" s="41">
        <v>184</v>
      </c>
      <c r="B122" s="66" t="s">
        <v>541</v>
      </c>
      <c r="C122" s="66" t="s">
        <v>542</v>
      </c>
      <c r="D122" s="66" t="s">
        <v>543</v>
      </c>
      <c r="E122" s="43"/>
      <c r="F122" s="44"/>
      <c r="G122" s="53"/>
      <c r="H122" s="46"/>
      <c r="I122" s="47"/>
      <c r="J122" s="60" t="s">
        <v>74</v>
      </c>
      <c r="K122" s="49"/>
      <c r="L122" s="46"/>
      <c r="M122" s="56" t="s">
        <v>84</v>
      </c>
      <c r="N122" s="54" t="s">
        <v>544</v>
      </c>
      <c r="O122" s="56">
        <v>0</v>
      </c>
      <c r="P122" s="50" t="e">
        <v>#REF!</v>
      </c>
      <c r="Q122" s="62"/>
      <c r="R122" s="51"/>
      <c r="S122" s="51"/>
      <c r="T122" s="12"/>
      <c r="U122" s="12"/>
      <c r="V122" s="12"/>
      <c r="W122" s="12"/>
      <c r="X122" s="14" t="e">
        <f t="array" ref="X122">IF(OR(AND(#REF!=""),AND(#REF!="-"),OR(NOT(ISERROR(SEARCH("-*",H122:L122))))),0,1)</f>
        <v>#REF!</v>
      </c>
      <c r="Y122" s="12"/>
      <c r="Z122" s="14">
        <f t="array" ref="Z122">IF(AND(E122:G122="-"),0,IF(OR(NOT(ISERROR(SEARCH("+*",H122:L122)))),2,IF(OR(NOT(ISERROR(SEARCH("--*",E122:L122)))),-1,IF(OR(NOT(E122:G122="")),1,0))))</f>
        <v>2</v>
      </c>
      <c r="AA122" s="14">
        <v>207</v>
      </c>
      <c r="AB122" s="12"/>
    </row>
    <row r="123" spans="1:28" ht="242.25">
      <c r="A123" s="41">
        <v>186</v>
      </c>
      <c r="B123" s="66" t="s">
        <v>545</v>
      </c>
      <c r="C123" s="66" t="s">
        <v>546</v>
      </c>
      <c r="D123" s="66" t="s">
        <v>547</v>
      </c>
      <c r="E123" s="43" t="s">
        <v>42</v>
      </c>
      <c r="F123" s="44" t="s">
        <v>42</v>
      </c>
      <c r="G123" s="53"/>
      <c r="H123" s="46"/>
      <c r="I123" s="58" t="s">
        <v>548</v>
      </c>
      <c r="J123" s="48"/>
      <c r="K123" s="59" t="s">
        <v>548</v>
      </c>
      <c r="L123" s="46"/>
      <c r="M123" s="56" t="s">
        <v>86</v>
      </c>
      <c r="N123" s="54" t="s">
        <v>243</v>
      </c>
      <c r="O123" s="56">
        <v>0</v>
      </c>
      <c r="P123" s="50" t="e">
        <v>#REF!</v>
      </c>
      <c r="Q123" s="62" t="s">
        <v>44</v>
      </c>
      <c r="R123" s="51" t="s">
        <v>43</v>
      </c>
      <c r="S123" s="51" t="s">
        <v>549</v>
      </c>
      <c r="T123" s="12"/>
      <c r="U123" s="12"/>
      <c r="V123" s="12"/>
      <c r="W123" s="12"/>
      <c r="X123" s="14" t="e">
        <f t="array" ref="X123">IF(OR(AND(#REF!=""),AND(#REF!="-"),OR(NOT(ISERROR(SEARCH("-*",H123:L123))))),0,1)</f>
        <v>#REF!</v>
      </c>
      <c r="Y123" s="12"/>
      <c r="Z123" s="14">
        <f t="array" ref="Z123">IF(AND(E123:G123="-"),0,IF(OR(NOT(ISERROR(SEARCH("+*",H123:L123)))),2,IF(OR(NOT(ISERROR(SEARCH("--*",E123:L123)))),-1,IF(OR(NOT(E123:G123="")),1,0))))</f>
        <v>2</v>
      </c>
      <c r="AA123" s="14">
        <v>209</v>
      </c>
      <c r="AB123" s="12"/>
    </row>
    <row r="124" spans="1:28" ht="38.25">
      <c r="A124" s="41">
        <v>187</v>
      </c>
      <c r="B124" s="66" t="s">
        <v>550</v>
      </c>
      <c r="C124" s="66" t="s">
        <v>551</v>
      </c>
      <c r="D124" s="42" t="s">
        <v>552</v>
      </c>
      <c r="E124" s="43" t="s">
        <v>74</v>
      </c>
      <c r="F124" s="57"/>
      <c r="G124" s="53"/>
      <c r="H124" s="46"/>
      <c r="I124" s="47"/>
      <c r="J124" s="48"/>
      <c r="K124" s="49"/>
      <c r="L124" s="46"/>
      <c r="M124" s="56" t="s">
        <v>86</v>
      </c>
      <c r="N124" s="54" t="s">
        <v>243</v>
      </c>
      <c r="O124" s="56">
        <v>0</v>
      </c>
      <c r="P124" s="50" t="e">
        <v>#REF!</v>
      </c>
      <c r="Q124" s="62" t="s">
        <v>62</v>
      </c>
      <c r="R124" s="51"/>
      <c r="S124" s="51"/>
      <c r="T124" s="12"/>
      <c r="U124" s="12"/>
      <c r="V124" s="12"/>
      <c r="W124" s="12"/>
      <c r="X124" s="14" t="e">
        <f t="array" ref="X124">IF(OR(AND(#REF!=""),AND(#REF!="-"),OR(NOT(ISERROR(SEARCH("-*",H124:L124))))),0,1)</f>
        <v>#REF!</v>
      </c>
      <c r="Y124" s="12"/>
      <c r="Z124" s="14">
        <f t="array" ref="Z124">IF(AND(E124:G124="-"),0,IF(OR(NOT(ISERROR(SEARCH("+*",H124:L124)))),2,IF(OR(NOT(ISERROR(SEARCH("--*",E124:L124)))),-1,IF(OR(NOT(E124:G124="")),1,0))))</f>
        <v>1</v>
      </c>
      <c r="AA124" s="14">
        <v>210</v>
      </c>
      <c r="AB124" s="12"/>
    </row>
    <row r="125" spans="1:28" ht="38.25">
      <c r="A125" s="41">
        <v>188</v>
      </c>
      <c r="B125" s="66" t="s">
        <v>553</v>
      </c>
      <c r="C125" s="66" t="s">
        <v>554</v>
      </c>
      <c r="D125" s="42" t="s">
        <v>555</v>
      </c>
      <c r="E125" s="19"/>
      <c r="F125" s="57"/>
      <c r="G125" s="53"/>
      <c r="H125" s="46"/>
      <c r="I125" s="58" t="s">
        <v>111</v>
      </c>
      <c r="J125" s="48"/>
      <c r="K125" s="59" t="s">
        <v>111</v>
      </c>
      <c r="L125" s="46"/>
      <c r="M125" s="56" t="s">
        <v>86</v>
      </c>
      <c r="N125" s="54" t="s">
        <v>243</v>
      </c>
      <c r="O125" s="56">
        <v>0</v>
      </c>
      <c r="P125" s="50" t="e">
        <v>#REF!</v>
      </c>
      <c r="Q125" s="62"/>
      <c r="R125" s="51"/>
      <c r="S125" s="51"/>
      <c r="T125" s="12"/>
      <c r="U125" s="12"/>
      <c r="V125" s="12"/>
      <c r="W125" s="12"/>
      <c r="X125" s="14" t="e">
        <f t="array" ref="X125">IF(OR(AND(#REF!=""),AND(#REF!="-"),OR(NOT(ISERROR(SEARCH("-*",H125:L125))))),0,1)</f>
        <v>#REF!</v>
      </c>
      <c r="Y125" s="12"/>
      <c r="Z125" s="14">
        <f t="array" ref="Z125">IF(AND(E125:G125="-"),0,IF(OR(NOT(ISERROR(SEARCH("+*",H125:L125)))),2,IF(OR(NOT(ISERROR(SEARCH("--*",E125:L125)))),-1,IF(OR(NOT(E125:G125="")),1,0))))</f>
        <v>2</v>
      </c>
      <c r="AA125" s="14">
        <v>211</v>
      </c>
      <c r="AB125" s="12"/>
    </row>
    <row r="126" spans="1:28" ht="38.25">
      <c r="A126" s="41">
        <v>191</v>
      </c>
      <c r="B126" s="66" t="s">
        <v>556</v>
      </c>
      <c r="C126" s="66" t="s">
        <v>557</v>
      </c>
      <c r="D126" s="66" t="s">
        <v>558</v>
      </c>
      <c r="E126" s="43" t="s">
        <v>42</v>
      </c>
      <c r="F126" s="57" t="s">
        <v>42</v>
      </c>
      <c r="G126" s="53"/>
      <c r="H126" s="46"/>
      <c r="I126" s="47"/>
      <c r="J126" s="48"/>
      <c r="K126" s="49"/>
      <c r="L126" s="46"/>
      <c r="M126" s="56" t="s">
        <v>86</v>
      </c>
      <c r="N126" s="54" t="s">
        <v>243</v>
      </c>
      <c r="O126" s="56">
        <v>0</v>
      </c>
      <c r="P126" s="50" t="e">
        <v>#REF!</v>
      </c>
      <c r="Q126" s="62" t="s">
        <v>62</v>
      </c>
      <c r="R126" s="51"/>
      <c r="S126" s="51"/>
      <c r="T126" s="12"/>
      <c r="U126" s="12"/>
      <c r="V126" s="12"/>
      <c r="W126" s="12"/>
      <c r="X126" s="14" t="e">
        <f t="array" ref="X126">IF(OR(AND(#REF!=""),AND(#REF!="-"),OR(NOT(ISERROR(SEARCH("-*",H126:L126))))),0,1)</f>
        <v>#REF!</v>
      </c>
      <c r="Y126" s="12"/>
      <c r="Z126" s="14">
        <f t="array" ref="Z126">IF(AND(E126:G126="-"),0,IF(OR(NOT(ISERROR(SEARCH("+*",H126:L126)))),2,IF(OR(NOT(ISERROR(SEARCH("--*",E126:L126)))),-1,IF(OR(NOT(E126:G126="")),1,0))))</f>
        <v>1</v>
      </c>
      <c r="AA126" s="14">
        <v>214</v>
      </c>
      <c r="AB126" s="12"/>
    </row>
    <row r="127" spans="1:28" ht="165.75">
      <c r="A127" s="41">
        <v>192</v>
      </c>
      <c r="B127" s="66" t="s">
        <v>559</v>
      </c>
      <c r="C127" s="66" t="s">
        <v>560</v>
      </c>
      <c r="D127" s="66" t="s">
        <v>561</v>
      </c>
      <c r="E127" s="43" t="s">
        <v>42</v>
      </c>
      <c r="F127" s="44" t="s">
        <v>42</v>
      </c>
      <c r="G127" s="53" t="s">
        <v>42</v>
      </c>
      <c r="H127" s="46"/>
      <c r="I127" s="47"/>
      <c r="J127" s="48"/>
      <c r="K127" s="49"/>
      <c r="L127" s="46"/>
      <c r="M127" s="56" t="s">
        <v>43</v>
      </c>
      <c r="N127" s="54" t="s">
        <v>562</v>
      </c>
      <c r="O127" s="56">
        <v>1</v>
      </c>
      <c r="P127" s="50" t="e">
        <v>#REF!</v>
      </c>
      <c r="Q127" s="62" t="s">
        <v>44</v>
      </c>
      <c r="R127" s="51" t="s">
        <v>43</v>
      </c>
      <c r="S127" s="51" t="s">
        <v>563</v>
      </c>
      <c r="T127" s="12"/>
      <c r="U127" s="12"/>
      <c r="V127" s="12"/>
      <c r="W127" s="12"/>
      <c r="X127" s="14" t="e">
        <f t="array" ref="X127">IF(OR(AND(#REF!=""),AND(#REF!="-"),OR(NOT(ISERROR(SEARCH("-*",H127:L127))))),0,1)</f>
        <v>#REF!</v>
      </c>
      <c r="Y127" s="12"/>
      <c r="Z127" s="14">
        <f t="array" ref="Z127">IF(AND(E127:G127="-"),0,IF(OR(NOT(ISERROR(SEARCH("+*",H127:L127)))),2,IF(OR(NOT(ISERROR(SEARCH("--*",E127:L127)))),-1,IF(OR(NOT(E127:G127="")),1,0))))</f>
        <v>1</v>
      </c>
      <c r="AA127" s="14">
        <v>216</v>
      </c>
      <c r="AB127" s="12"/>
    </row>
    <row r="128" spans="1:28" ht="140.25">
      <c r="A128" s="41">
        <v>194</v>
      </c>
      <c r="B128" s="66" t="s">
        <v>564</v>
      </c>
      <c r="C128" s="66" t="s">
        <v>565</v>
      </c>
      <c r="D128" s="66" t="s">
        <v>566</v>
      </c>
      <c r="E128" s="43" t="s">
        <v>42</v>
      </c>
      <c r="F128" s="44" t="s">
        <v>42</v>
      </c>
      <c r="G128" s="53" t="s">
        <v>42</v>
      </c>
      <c r="H128" s="46"/>
      <c r="I128" s="47"/>
      <c r="J128" s="48"/>
      <c r="K128" s="49"/>
      <c r="L128" s="46"/>
      <c r="M128" s="56" t="s">
        <v>43</v>
      </c>
      <c r="N128" s="54" t="s">
        <v>567</v>
      </c>
      <c r="O128" s="56">
        <v>1</v>
      </c>
      <c r="P128" s="50" t="e">
        <v>#REF!</v>
      </c>
      <c r="Q128" s="62" t="s">
        <v>44</v>
      </c>
      <c r="R128" s="51" t="s">
        <v>51</v>
      </c>
      <c r="S128" s="51" t="s">
        <v>568</v>
      </c>
      <c r="T128" s="12"/>
      <c r="U128" s="12"/>
      <c r="V128" s="12"/>
      <c r="W128" s="12"/>
      <c r="X128" s="14" t="e">
        <f t="array" ref="X128">IF(OR(AND(#REF!=""),AND(#REF!="-"),OR(NOT(ISERROR(SEARCH("-*",H128:L128))))),0,1)</f>
        <v>#REF!</v>
      </c>
      <c r="Y128" s="12"/>
      <c r="Z128" s="14">
        <f t="array" ref="Z128">IF(AND(E128:G128="-"),0,IF(OR(NOT(ISERROR(SEARCH("+*",H128:L128)))),2,IF(OR(NOT(ISERROR(SEARCH("--*",E128:L128)))),-1,IF(OR(NOT(E128:G128="")),1,0))))</f>
        <v>1</v>
      </c>
      <c r="AA128" s="14">
        <v>218</v>
      </c>
      <c r="AB128" s="12"/>
    </row>
    <row r="129" spans="1:28" ht="255">
      <c r="A129" s="41">
        <v>195</v>
      </c>
      <c r="B129" s="66" t="s">
        <v>569</v>
      </c>
      <c r="C129" s="66" t="s">
        <v>570</v>
      </c>
      <c r="D129" s="42" t="s">
        <v>571</v>
      </c>
      <c r="E129" s="43" t="s">
        <v>42</v>
      </c>
      <c r="F129" s="44" t="s">
        <v>42</v>
      </c>
      <c r="G129" s="53" t="s">
        <v>42</v>
      </c>
      <c r="H129" s="46"/>
      <c r="I129" s="47"/>
      <c r="J129" s="48"/>
      <c r="K129" s="49"/>
      <c r="L129" s="46"/>
      <c r="M129" s="56" t="s">
        <v>43</v>
      </c>
      <c r="N129" s="54" t="s">
        <v>572</v>
      </c>
      <c r="O129" s="56">
        <v>1</v>
      </c>
      <c r="P129" s="50" t="e">
        <v>#REF!</v>
      </c>
      <c r="Q129" s="62" t="s">
        <v>44</v>
      </c>
      <c r="R129" s="51" t="s">
        <v>43</v>
      </c>
      <c r="S129" s="51" t="s">
        <v>573</v>
      </c>
      <c r="T129" s="12"/>
      <c r="U129" s="12"/>
      <c r="V129" s="12"/>
      <c r="W129" s="12"/>
      <c r="X129" s="14" t="e">
        <f t="array" ref="X129">IF(OR(AND(#REF!=""),AND(#REF!="-"),OR(NOT(ISERROR(SEARCH("-*",H129:L129))))),0,1)</f>
        <v>#REF!</v>
      </c>
      <c r="Y129" s="12"/>
      <c r="Z129" s="14">
        <f t="array" ref="Z129">IF(AND(E129:G129="-"),0,IF(OR(NOT(ISERROR(SEARCH("+*",H129:L129)))),2,IF(OR(NOT(ISERROR(SEARCH("--*",E129:L129)))),-1,IF(OR(NOT(E129:G129="")),1,0))))</f>
        <v>1</v>
      </c>
      <c r="AA129" s="14">
        <v>219</v>
      </c>
      <c r="AB129" s="12"/>
    </row>
    <row r="130" spans="1:28" ht="38.25">
      <c r="A130" s="41">
        <v>196</v>
      </c>
      <c r="B130" s="66" t="s">
        <v>574</v>
      </c>
      <c r="C130" s="66" t="s">
        <v>575</v>
      </c>
      <c r="D130" s="42" t="s">
        <v>576</v>
      </c>
      <c r="E130" s="43" t="s">
        <v>42</v>
      </c>
      <c r="F130" s="44" t="s">
        <v>42</v>
      </c>
      <c r="G130" s="53" t="s">
        <v>42</v>
      </c>
      <c r="H130" s="46"/>
      <c r="I130" s="47"/>
      <c r="J130" s="48"/>
      <c r="K130" s="49"/>
      <c r="L130" s="46"/>
      <c r="M130" s="56" t="s">
        <v>43</v>
      </c>
      <c r="N130" s="54" t="s">
        <v>577</v>
      </c>
      <c r="O130" s="56">
        <v>0</v>
      </c>
      <c r="P130" s="50" t="e">
        <v>#REF!</v>
      </c>
      <c r="Q130" s="62"/>
      <c r="R130" s="51"/>
      <c r="S130" s="51"/>
      <c r="T130" s="12"/>
      <c r="U130" s="12"/>
      <c r="V130" s="12"/>
      <c r="W130" s="12"/>
      <c r="X130" s="14" t="e">
        <f t="array" ref="X130">IF(OR(AND(#REF!=""),AND(#REF!="-"),OR(NOT(ISERROR(SEARCH("-*",H130:L130))))),0,1)</f>
        <v>#REF!</v>
      </c>
      <c r="Y130" s="12"/>
      <c r="Z130" s="14">
        <f t="array" ref="Z130">IF(AND(E130:G130="-"),0,IF(OR(NOT(ISERROR(SEARCH("+*",H130:L130)))),2,IF(OR(NOT(ISERROR(SEARCH("--*",E130:L130)))),-1,IF(OR(NOT(E130:G130="")),1,0))))</f>
        <v>1</v>
      </c>
      <c r="AA130" s="14">
        <v>220</v>
      </c>
      <c r="AB130" s="12"/>
    </row>
    <row r="131" spans="1:28" ht="63.75">
      <c r="A131" s="41">
        <v>201</v>
      </c>
      <c r="B131" s="66" t="s">
        <v>578</v>
      </c>
      <c r="C131" s="66" t="s">
        <v>579</v>
      </c>
      <c r="D131" s="42" t="s">
        <v>580</v>
      </c>
      <c r="E131" s="43" t="s">
        <v>42</v>
      </c>
      <c r="F131" s="44" t="s">
        <v>42</v>
      </c>
      <c r="G131" s="53"/>
      <c r="H131" s="46"/>
      <c r="I131" s="47"/>
      <c r="J131" s="48"/>
      <c r="K131" s="49"/>
      <c r="L131" s="46"/>
      <c r="M131" s="56" t="s">
        <v>43</v>
      </c>
      <c r="N131" s="54"/>
      <c r="O131" s="56">
        <v>2</v>
      </c>
      <c r="P131" s="50" t="e">
        <v>#REF!</v>
      </c>
      <c r="Q131" s="65"/>
      <c r="R131" s="51"/>
      <c r="S131" s="51"/>
      <c r="T131" s="12"/>
      <c r="U131" s="12"/>
      <c r="V131" s="12"/>
      <c r="W131" s="12"/>
      <c r="X131" s="14" t="e">
        <f t="array" ref="X131">IF(OR(AND(#REF!=""),AND(#REF!="-"),OR(NOT(ISERROR(SEARCH("-*",H131:L131))))),0,1)</f>
        <v>#REF!</v>
      </c>
      <c r="Y131" s="12"/>
      <c r="Z131" s="14">
        <f t="array" ref="Z131">IF(AND(E131:G131="-"),0,IF(OR(NOT(ISERROR(SEARCH("+*",H131:L131)))),2,IF(OR(NOT(ISERROR(SEARCH("--*",E131:L131)))),-1,IF(OR(NOT(E131:G131="")),1,0))))</f>
        <v>1</v>
      </c>
      <c r="AA131" s="14">
        <v>226</v>
      </c>
      <c r="AB131" s="12"/>
    </row>
    <row r="132" spans="1:28" ht="267.75">
      <c r="A132" s="41">
        <v>203</v>
      </c>
      <c r="B132" s="66" t="s">
        <v>581</v>
      </c>
      <c r="C132" s="66" t="s">
        <v>582</v>
      </c>
      <c r="D132" s="42" t="s">
        <v>583</v>
      </c>
      <c r="E132" s="43" t="s">
        <v>42</v>
      </c>
      <c r="F132" s="44" t="s">
        <v>42</v>
      </c>
      <c r="G132" s="53"/>
      <c r="H132" s="46"/>
      <c r="I132" s="47"/>
      <c r="J132" s="48"/>
      <c r="K132" s="49"/>
      <c r="L132" s="46"/>
      <c r="M132" s="56" t="s">
        <v>43</v>
      </c>
      <c r="N132" s="66" t="s">
        <v>584</v>
      </c>
      <c r="O132" s="68">
        <v>1</v>
      </c>
      <c r="P132" s="50" t="e">
        <v>#REF!</v>
      </c>
      <c r="Q132" s="62" t="s">
        <v>44</v>
      </c>
      <c r="R132" s="51" t="s">
        <v>43</v>
      </c>
      <c r="S132" s="51" t="s">
        <v>585</v>
      </c>
      <c r="T132" s="12"/>
      <c r="U132" s="12"/>
      <c r="V132" s="12"/>
      <c r="W132" s="12"/>
      <c r="X132" s="14" t="e">
        <f t="array" ref="X132">IF(OR(AND(#REF!=""),AND(#REF!="-"),OR(NOT(ISERROR(SEARCH("-*",H132:L132))))),0,1)</f>
        <v>#REF!</v>
      </c>
      <c r="Y132" s="12"/>
      <c r="Z132" s="14">
        <f t="array" ref="Z132">IF(AND(E132:G132="-"),0,IF(OR(NOT(ISERROR(SEARCH("+*",H132:L132)))),2,IF(OR(NOT(ISERROR(SEARCH("--*",E132:L132)))),-1,IF(OR(NOT(E132:G132="")),1,0))))</f>
        <v>1</v>
      </c>
      <c r="AA132" s="14">
        <v>228</v>
      </c>
      <c r="AB132" s="12"/>
    </row>
    <row r="133" spans="1:28" ht="25.5">
      <c r="A133" s="41">
        <v>204</v>
      </c>
      <c r="B133" s="66" t="s">
        <v>586</v>
      </c>
      <c r="C133" s="66" t="s">
        <v>587</v>
      </c>
      <c r="D133" s="66" t="s">
        <v>588</v>
      </c>
      <c r="E133" s="43"/>
      <c r="F133" s="57" t="s">
        <v>42</v>
      </c>
      <c r="G133" s="53"/>
      <c r="H133" s="46"/>
      <c r="I133" s="47"/>
      <c r="J133" s="48"/>
      <c r="K133" s="49"/>
      <c r="L133" s="46"/>
      <c r="M133" s="69" t="s">
        <v>43</v>
      </c>
      <c r="N133" s="66"/>
      <c r="O133" s="68">
        <v>1</v>
      </c>
      <c r="P133" s="50" t="e">
        <v>#REF!</v>
      </c>
      <c r="Q133" s="62" t="s">
        <v>86</v>
      </c>
      <c r="R133" s="51"/>
      <c r="S133" s="51"/>
      <c r="T133" s="12"/>
      <c r="U133" s="12"/>
      <c r="V133" s="12"/>
      <c r="W133" s="12"/>
      <c r="X133" s="14" t="e">
        <f t="array" ref="X133">IF(OR(AND(#REF!=""),AND(#REF!="-"),OR(NOT(ISERROR(SEARCH("-*",H133:L133))))),0,1)</f>
        <v>#REF!</v>
      </c>
      <c r="Y133" s="12"/>
      <c r="Z133" s="14">
        <f t="array" ref="Z133">IF(AND(E133:G133="-"),0,IF(OR(NOT(ISERROR(SEARCH("+*",H133:L133)))),2,IF(OR(NOT(ISERROR(SEARCH("--*",E133:L133)))),-1,IF(OR(NOT(E133:G133="")),1,0))))</f>
        <v>1</v>
      </c>
      <c r="AA133" s="14">
        <v>229</v>
      </c>
      <c r="AB133" s="12"/>
    </row>
    <row r="134" spans="1:28" ht="89.25">
      <c r="A134" s="41">
        <v>205</v>
      </c>
      <c r="B134" s="66" t="s">
        <v>589</v>
      </c>
      <c r="C134" s="66" t="s">
        <v>369</v>
      </c>
      <c r="D134" s="66" t="s">
        <v>590</v>
      </c>
      <c r="E134" s="43"/>
      <c r="F134" s="57" t="s">
        <v>42</v>
      </c>
      <c r="G134" s="53"/>
      <c r="H134" s="46"/>
      <c r="I134" s="47"/>
      <c r="J134" s="48"/>
      <c r="K134" s="49"/>
      <c r="L134" s="46"/>
      <c r="M134" s="56" t="s">
        <v>43</v>
      </c>
      <c r="N134" s="66" t="s">
        <v>591</v>
      </c>
      <c r="O134" s="68">
        <v>1</v>
      </c>
      <c r="P134" s="50" t="e">
        <v>#REF!</v>
      </c>
      <c r="Q134" s="62" t="s">
        <v>62</v>
      </c>
      <c r="R134" s="51"/>
      <c r="S134" s="51"/>
      <c r="T134" s="12"/>
      <c r="U134" s="12"/>
      <c r="V134" s="12"/>
      <c r="W134" s="12"/>
      <c r="X134" s="14" t="e">
        <f t="array" ref="X134">IF(OR(AND(#REF!=""),AND(#REF!="-"),OR(NOT(ISERROR(SEARCH("-*",H134:L134))))),0,1)</f>
        <v>#REF!</v>
      </c>
      <c r="Y134" s="12"/>
      <c r="Z134" s="14">
        <f t="array" ref="Z134">IF(AND(E134:G134="-"),0,IF(OR(NOT(ISERROR(SEARCH("+*",H134:L134)))),2,IF(OR(NOT(ISERROR(SEARCH("--*",E134:L134)))),-1,IF(OR(NOT(E134:G134="")),1,0))))</f>
        <v>1</v>
      </c>
      <c r="AA134" s="14">
        <v>230</v>
      </c>
      <c r="AB134" s="12"/>
    </row>
    <row r="135" spans="1:28" ht="38.25">
      <c r="A135" s="41">
        <v>207</v>
      </c>
      <c r="B135" s="66" t="s">
        <v>592</v>
      </c>
      <c r="C135" s="66" t="s">
        <v>593</v>
      </c>
      <c r="D135" s="66" t="s">
        <v>594</v>
      </c>
      <c r="E135" s="43"/>
      <c r="F135" s="57" t="s">
        <v>42</v>
      </c>
      <c r="G135" s="53"/>
      <c r="H135" s="46"/>
      <c r="I135" s="47"/>
      <c r="J135" s="60" t="s">
        <v>74</v>
      </c>
      <c r="K135" s="49"/>
      <c r="L135" s="46"/>
      <c r="M135" s="69" t="s">
        <v>43</v>
      </c>
      <c r="N135" s="66" t="s">
        <v>595</v>
      </c>
      <c r="O135" s="68">
        <v>2</v>
      </c>
      <c r="P135" s="50" t="e">
        <v>#REF!</v>
      </c>
      <c r="Q135" s="62" t="s">
        <v>62</v>
      </c>
      <c r="R135" s="51"/>
      <c r="S135" s="51"/>
      <c r="T135" s="12"/>
      <c r="U135" s="12"/>
      <c r="V135" s="12"/>
      <c r="W135" s="12"/>
      <c r="X135" s="14" t="e">
        <f t="array" ref="X135">IF(OR(AND(#REF!=""),AND(#REF!="-"),OR(NOT(ISERROR(SEARCH("-*",H135:L135))))),0,1)</f>
        <v>#REF!</v>
      </c>
      <c r="Y135" s="12"/>
      <c r="Z135" s="14">
        <f t="array" ref="Z135">IF(AND(E135:G135="-"),0,IF(OR(NOT(ISERROR(SEARCH("+*",H135:L135)))),2,IF(OR(NOT(ISERROR(SEARCH("--*",E135:L135)))),-1,IF(OR(NOT(E135:G135="")),1,0))))</f>
        <v>2</v>
      </c>
      <c r="AA135" s="14">
        <v>232</v>
      </c>
      <c r="AB135" s="12"/>
    </row>
    <row r="136" spans="1:28" ht="344.25">
      <c r="A136" s="41">
        <v>209</v>
      </c>
      <c r="B136" s="66" t="s">
        <v>596</v>
      </c>
      <c r="C136" s="66" t="s">
        <v>597</v>
      </c>
      <c r="D136" s="66" t="s">
        <v>598</v>
      </c>
      <c r="E136" s="43"/>
      <c r="F136" s="57" t="s">
        <v>42</v>
      </c>
      <c r="G136" s="53"/>
      <c r="H136" s="46"/>
      <c r="I136" s="47"/>
      <c r="J136" s="48"/>
      <c r="K136" s="49"/>
      <c r="L136" s="46"/>
      <c r="M136" s="56" t="s">
        <v>84</v>
      </c>
      <c r="N136" s="66" t="s">
        <v>599</v>
      </c>
      <c r="O136" s="68">
        <v>0</v>
      </c>
      <c r="P136" s="50" t="e">
        <v>#REF!</v>
      </c>
      <c r="Q136" s="62" t="s">
        <v>86</v>
      </c>
      <c r="R136" s="51" t="s">
        <v>43</v>
      </c>
      <c r="S136" s="51" t="s">
        <v>600</v>
      </c>
      <c r="T136" s="12"/>
      <c r="U136" s="12"/>
      <c r="V136" s="12"/>
      <c r="W136" s="12"/>
      <c r="X136" s="14" t="e">
        <f t="array" ref="X136">IF(OR(AND(#REF!=""),AND(#REF!="-"),OR(NOT(ISERROR(SEARCH("-*",H136:L136))))),0,1)</f>
        <v>#REF!</v>
      </c>
      <c r="Y136" s="12"/>
      <c r="Z136" s="14">
        <f t="array" ref="Z136">IF(AND(E136:G136="-"),0,IF(OR(NOT(ISERROR(SEARCH("+*",H136:L136)))),2,IF(OR(NOT(ISERROR(SEARCH("--*",E136:L136)))),-1,IF(OR(NOT(E136:G136="")),1,0))))</f>
        <v>1</v>
      </c>
      <c r="AA136" s="14">
        <v>236</v>
      </c>
      <c r="AB136" s="12"/>
    </row>
    <row r="137" spans="1:28" ht="216.75">
      <c r="A137" s="41">
        <v>210</v>
      </c>
      <c r="B137" s="66" t="s">
        <v>601</v>
      </c>
      <c r="C137" s="66" t="s">
        <v>602</v>
      </c>
      <c r="D137" s="42" t="s">
        <v>603</v>
      </c>
      <c r="E137" s="43"/>
      <c r="F137" s="57" t="s">
        <v>42</v>
      </c>
      <c r="G137" s="53"/>
      <c r="H137" s="46"/>
      <c r="I137" s="47"/>
      <c r="J137" s="48"/>
      <c r="K137" s="49"/>
      <c r="L137" s="46"/>
      <c r="M137" s="56" t="s">
        <v>43</v>
      </c>
      <c r="N137" s="66" t="s">
        <v>604</v>
      </c>
      <c r="O137" s="68">
        <v>2</v>
      </c>
      <c r="P137" s="50" t="e">
        <v>#REF!</v>
      </c>
      <c r="Q137" s="62" t="s">
        <v>44</v>
      </c>
      <c r="R137" s="51"/>
      <c r="S137" s="51"/>
      <c r="T137" s="12"/>
      <c r="U137" s="12"/>
      <c r="V137" s="12"/>
      <c r="W137" s="12"/>
      <c r="X137" s="14" t="e">
        <f t="array" ref="X137">IF(OR(AND(#REF!=""),AND(#REF!="-"),OR(NOT(ISERROR(SEARCH("-*",H137:L137))))),0,1)</f>
        <v>#REF!</v>
      </c>
      <c r="Y137" s="12"/>
      <c r="Z137" s="14">
        <f t="array" ref="Z137">IF(AND(E137:G137="-"),0,IF(OR(NOT(ISERROR(SEARCH("+*",H137:L137)))),2,IF(OR(NOT(ISERROR(SEARCH("--*",E137:L137)))),-1,IF(OR(NOT(E137:G137="")),1,0))))</f>
        <v>1</v>
      </c>
      <c r="AA137" s="14">
        <v>237</v>
      </c>
      <c r="AB137" s="12"/>
    </row>
    <row r="138" spans="1:28" ht="51">
      <c r="A138" s="41">
        <v>212</v>
      </c>
      <c r="B138" s="66" t="s">
        <v>605</v>
      </c>
      <c r="C138" s="66" t="s">
        <v>606</v>
      </c>
      <c r="D138" s="66" t="s">
        <v>607</v>
      </c>
      <c r="E138" s="43"/>
      <c r="F138" s="57" t="s">
        <v>42</v>
      </c>
      <c r="G138" s="53"/>
      <c r="H138" s="46"/>
      <c r="I138" s="47"/>
      <c r="J138" s="48"/>
      <c r="K138" s="49"/>
      <c r="L138" s="46"/>
      <c r="M138" s="69" t="s">
        <v>43</v>
      </c>
      <c r="N138" s="66" t="s">
        <v>608</v>
      </c>
      <c r="O138" s="68">
        <v>2</v>
      </c>
      <c r="P138" s="50" t="e">
        <v>#REF!</v>
      </c>
      <c r="Q138" s="62"/>
      <c r="R138" s="51"/>
      <c r="S138" s="51"/>
      <c r="T138" s="12"/>
      <c r="U138" s="12"/>
      <c r="V138" s="12"/>
      <c r="W138" s="12"/>
      <c r="X138" s="14" t="e">
        <f t="array" ref="X138">IF(OR(AND(#REF!=""),AND(#REF!="-"),OR(NOT(ISERROR(SEARCH("-*",H138:L138))))),0,1)</f>
        <v>#REF!</v>
      </c>
      <c r="Y138" s="12"/>
      <c r="Z138" s="14">
        <f t="array" ref="Z138">IF(AND(E138:G138="-"),0,IF(OR(NOT(ISERROR(SEARCH("+*",H138:L138)))),2,IF(OR(NOT(ISERROR(SEARCH("--*",E138:L138)))),-1,IF(OR(NOT(E138:G138="")),1,0))))</f>
        <v>1</v>
      </c>
      <c r="AA138" s="14">
        <v>239</v>
      </c>
      <c r="AB138" s="12"/>
    </row>
    <row r="139" spans="1:28" ht="25.5">
      <c r="A139" s="41">
        <v>214</v>
      </c>
      <c r="B139" s="66" t="s">
        <v>609</v>
      </c>
      <c r="C139" s="66" t="s">
        <v>610</v>
      </c>
      <c r="D139" s="66" t="s">
        <v>611</v>
      </c>
      <c r="E139" s="43"/>
      <c r="F139" s="57" t="s">
        <v>74</v>
      </c>
      <c r="G139" s="53"/>
      <c r="H139" s="46"/>
      <c r="I139" s="47"/>
      <c r="J139" s="48"/>
      <c r="K139" s="49"/>
      <c r="L139" s="46"/>
      <c r="M139" s="69" t="s">
        <v>43</v>
      </c>
      <c r="N139" s="66" t="s">
        <v>612</v>
      </c>
      <c r="O139" s="68">
        <v>0</v>
      </c>
      <c r="P139" s="50" t="e">
        <v>#REF!</v>
      </c>
      <c r="Q139" s="62" t="s">
        <v>44</v>
      </c>
      <c r="R139" s="51"/>
      <c r="S139" s="51"/>
      <c r="T139" s="12"/>
      <c r="U139" s="12"/>
      <c r="V139" s="12"/>
      <c r="W139" s="12"/>
      <c r="X139" s="14" t="e">
        <f t="array" ref="X139">IF(OR(AND(#REF!=""),AND(#REF!="-"),OR(NOT(ISERROR(SEARCH("-*",H139:L139))))),0,1)</f>
        <v>#REF!</v>
      </c>
      <c r="Y139" s="12"/>
      <c r="Z139" s="14">
        <f t="array" ref="Z139">IF(AND(E139:G139="-"),0,IF(OR(NOT(ISERROR(SEARCH("+*",H139:L139)))),2,IF(OR(NOT(ISERROR(SEARCH("--*",E139:L139)))),-1,IF(OR(NOT(E139:G139="")),1,0))))</f>
        <v>1</v>
      </c>
      <c r="AA139" s="14">
        <v>241</v>
      </c>
      <c r="AB139" s="12"/>
    </row>
    <row r="140" spans="1:28" ht="38.25">
      <c r="A140" s="41">
        <v>216</v>
      </c>
      <c r="B140" s="66" t="s">
        <v>613</v>
      </c>
      <c r="C140" s="66" t="s">
        <v>614</v>
      </c>
      <c r="D140" s="66" t="s">
        <v>615</v>
      </c>
      <c r="E140" s="43"/>
      <c r="F140" s="57" t="s">
        <v>74</v>
      </c>
      <c r="G140" s="53"/>
      <c r="H140" s="46"/>
      <c r="I140" s="58" t="s">
        <v>106</v>
      </c>
      <c r="J140" s="48"/>
      <c r="K140" s="59" t="s">
        <v>106</v>
      </c>
      <c r="L140" s="46"/>
      <c r="M140" s="69" t="s">
        <v>86</v>
      </c>
      <c r="N140" s="66" t="s">
        <v>616</v>
      </c>
      <c r="O140" s="68">
        <v>0</v>
      </c>
      <c r="P140" s="50" t="e">
        <v>#REF!</v>
      </c>
      <c r="Q140" s="62" t="s">
        <v>62</v>
      </c>
      <c r="R140" s="51"/>
      <c r="S140" s="51"/>
      <c r="T140" s="12"/>
      <c r="U140" s="12"/>
      <c r="V140" s="12"/>
      <c r="W140" s="12"/>
      <c r="X140" s="14" t="e">
        <f t="array" ref="X140">IF(OR(AND(#REF!=""),AND(#REF!="-"),OR(NOT(ISERROR(SEARCH("-*",H140:L140))))),0,1)</f>
        <v>#REF!</v>
      </c>
      <c r="Y140" s="12"/>
      <c r="Z140" s="14">
        <f t="array" ref="Z140">IF(AND(E140:G140="-"),0,IF(OR(NOT(ISERROR(SEARCH("+*",H140:L140)))),2,IF(OR(NOT(ISERROR(SEARCH("--*",E140:L140)))),-1,IF(OR(NOT(E140:G140="")),1,0))))</f>
        <v>2</v>
      </c>
      <c r="AA140" s="14">
        <v>243</v>
      </c>
      <c r="AB140" s="12"/>
    </row>
    <row r="141" spans="1:28" ht="51">
      <c r="A141" s="41">
        <v>217</v>
      </c>
      <c r="B141" s="66" t="s">
        <v>617</v>
      </c>
      <c r="C141" s="66" t="s">
        <v>618</v>
      </c>
      <c r="D141" s="66" t="s">
        <v>619</v>
      </c>
      <c r="E141" s="43"/>
      <c r="F141" s="57" t="s">
        <v>42</v>
      </c>
      <c r="G141" s="53"/>
      <c r="H141" s="46"/>
      <c r="I141" s="47"/>
      <c r="J141" s="48"/>
      <c r="K141" s="49"/>
      <c r="L141" s="46"/>
      <c r="M141" s="69" t="s">
        <v>43</v>
      </c>
      <c r="N141" s="66" t="s">
        <v>620</v>
      </c>
      <c r="O141" s="68">
        <v>2</v>
      </c>
      <c r="P141" s="50" t="e">
        <v>#REF!</v>
      </c>
      <c r="Q141" s="62" t="s">
        <v>86</v>
      </c>
      <c r="R141" s="51"/>
      <c r="S141" s="51"/>
      <c r="T141" s="12"/>
      <c r="U141" s="12"/>
      <c r="V141" s="12"/>
      <c r="W141" s="12"/>
      <c r="X141" s="14" t="e">
        <f t="array" ref="X141">IF(OR(AND(#REF!=""),AND(#REF!="-"),OR(NOT(ISERROR(SEARCH("-*",H141:L141))))),0,1)</f>
        <v>#REF!</v>
      </c>
      <c r="Y141" s="12"/>
      <c r="Z141" s="14">
        <f t="array" ref="Z141">IF(AND(E141:G141="-"),0,IF(OR(NOT(ISERROR(SEARCH("+*",H141:L141)))),2,IF(OR(NOT(ISERROR(SEARCH("--*",E141:L141)))),-1,IF(OR(NOT(E141:G141="")),1,0))))</f>
        <v>1</v>
      </c>
      <c r="AA141" s="14">
        <v>244</v>
      </c>
      <c r="AB141" s="12"/>
    </row>
    <row r="142" spans="1:28" ht="51">
      <c r="A142" s="41">
        <v>218</v>
      </c>
      <c r="B142" s="66" t="s">
        <v>621</v>
      </c>
      <c r="C142" s="66" t="s">
        <v>622</v>
      </c>
      <c r="D142" s="66" t="s">
        <v>623</v>
      </c>
      <c r="E142" s="43"/>
      <c r="F142" s="57" t="s">
        <v>74</v>
      </c>
      <c r="G142" s="53"/>
      <c r="H142" s="46"/>
      <c r="I142" s="47"/>
      <c r="J142" s="60" t="s">
        <v>74</v>
      </c>
      <c r="K142" s="49"/>
      <c r="L142" s="46"/>
      <c r="M142" s="69" t="s">
        <v>43</v>
      </c>
      <c r="N142" s="66" t="s">
        <v>624</v>
      </c>
      <c r="O142" s="68">
        <v>2</v>
      </c>
      <c r="P142" s="50" t="e">
        <v>#REF!</v>
      </c>
      <c r="Q142" s="62"/>
      <c r="R142" s="51"/>
      <c r="S142" s="51"/>
      <c r="T142" s="12"/>
      <c r="U142" s="12"/>
      <c r="V142" s="12"/>
      <c r="W142" s="12"/>
      <c r="X142" s="14" t="e">
        <f t="array" ref="X142">IF(OR(AND(#REF!=""),AND(#REF!="-"),OR(NOT(ISERROR(SEARCH("-*",H142:L142))))),0,1)</f>
        <v>#REF!</v>
      </c>
      <c r="Y142" s="12"/>
      <c r="Z142" s="14">
        <f t="array" ref="Z142">IF(AND(E142:G142="-"),0,IF(OR(NOT(ISERROR(SEARCH("+*",H142:L142)))),2,IF(OR(NOT(ISERROR(SEARCH("--*",E142:L142)))),-1,IF(OR(NOT(E142:G142="")),1,0))))</f>
        <v>2</v>
      </c>
      <c r="AA142" s="14">
        <v>245</v>
      </c>
      <c r="AB142" s="12"/>
    </row>
    <row r="143" spans="1:28" ht="114.75">
      <c r="A143" s="41">
        <v>220</v>
      </c>
      <c r="B143" s="66" t="s">
        <v>625</v>
      </c>
      <c r="C143" s="66" t="s">
        <v>626</v>
      </c>
      <c r="D143" s="66" t="s">
        <v>627</v>
      </c>
      <c r="E143" s="43"/>
      <c r="F143" s="57" t="s">
        <v>42</v>
      </c>
      <c r="G143" s="53"/>
      <c r="H143" s="46"/>
      <c r="I143" s="47"/>
      <c r="J143" s="48"/>
      <c r="K143" s="49"/>
      <c r="L143" s="46"/>
      <c r="M143" s="69" t="s">
        <v>43</v>
      </c>
      <c r="N143" s="66"/>
      <c r="O143" s="68">
        <v>2</v>
      </c>
      <c r="P143" s="50" t="e">
        <v>#REF!</v>
      </c>
      <c r="Q143" s="62" t="s">
        <v>86</v>
      </c>
      <c r="R143" s="51" t="s">
        <v>43</v>
      </c>
      <c r="S143" s="51" t="s">
        <v>628</v>
      </c>
      <c r="T143" s="12"/>
      <c r="U143" s="12"/>
      <c r="V143" s="12"/>
      <c r="W143" s="12"/>
      <c r="X143" s="14" t="e">
        <f t="array" ref="X143">IF(OR(AND(#REF!=""),AND(#REF!="-"),OR(NOT(ISERROR(SEARCH("-*",H143:L143))))),0,1)</f>
        <v>#REF!</v>
      </c>
      <c r="Y143" s="12"/>
      <c r="Z143" s="14">
        <f t="array" ref="Z143">IF(AND(E143:G143="-"),0,IF(OR(NOT(ISERROR(SEARCH("+*",H143:L143)))),2,IF(OR(NOT(ISERROR(SEARCH("--*",E143:L143)))),-1,IF(OR(NOT(E143:G143="")),1,0))))</f>
        <v>1</v>
      </c>
      <c r="AA143" s="14">
        <v>247</v>
      </c>
      <c r="AB143" s="12"/>
    </row>
    <row r="144" spans="1:28" ht="51">
      <c r="A144" s="41">
        <v>221</v>
      </c>
      <c r="B144" s="66" t="s">
        <v>629</v>
      </c>
      <c r="C144" s="66" t="s">
        <v>630</v>
      </c>
      <c r="D144" s="66" t="s">
        <v>631</v>
      </c>
      <c r="E144" s="43"/>
      <c r="F144" s="57" t="s">
        <v>74</v>
      </c>
      <c r="G144" s="53"/>
      <c r="H144" s="46"/>
      <c r="I144" s="47"/>
      <c r="J144" s="48"/>
      <c r="K144" s="49"/>
      <c r="L144" s="46"/>
      <c r="M144" s="69" t="s">
        <v>43</v>
      </c>
      <c r="N144" s="55" t="s">
        <v>632</v>
      </c>
      <c r="O144" s="68">
        <v>2</v>
      </c>
      <c r="P144" s="50" t="e">
        <v>#REF!</v>
      </c>
      <c r="Q144" s="62"/>
      <c r="R144" s="51"/>
      <c r="S144" s="51"/>
      <c r="T144" s="12"/>
      <c r="U144" s="12"/>
      <c r="V144" s="12"/>
      <c r="W144" s="12"/>
      <c r="X144" s="14" t="e">
        <f t="array" ref="X144">IF(OR(AND(#REF!=""),AND(#REF!="-"),OR(NOT(ISERROR(SEARCH("-*",H144:L144))))),0,1)</f>
        <v>#REF!</v>
      </c>
      <c r="Y144" s="12"/>
      <c r="Z144" s="14">
        <f t="array" ref="Z144">IF(AND(E144:G144="-"),0,IF(OR(NOT(ISERROR(SEARCH("+*",H144:L144)))),2,IF(OR(NOT(ISERROR(SEARCH("--*",E144:L144)))),-1,IF(OR(NOT(E144:G144="")),1,0))))</f>
        <v>1</v>
      </c>
      <c r="AA144" s="14">
        <v>248</v>
      </c>
      <c r="AB144" s="12"/>
    </row>
    <row r="145" spans="1:28" ht="76.5">
      <c r="A145" s="41">
        <v>222</v>
      </c>
      <c r="B145" s="66" t="s">
        <v>633</v>
      </c>
      <c r="C145" s="66" t="s">
        <v>634</v>
      </c>
      <c r="D145" s="66" t="s">
        <v>635</v>
      </c>
      <c r="E145" s="43"/>
      <c r="F145" s="57" t="s">
        <v>74</v>
      </c>
      <c r="G145" s="53"/>
      <c r="H145" s="46"/>
      <c r="I145" s="47"/>
      <c r="J145" s="48"/>
      <c r="K145" s="49"/>
      <c r="L145" s="46"/>
      <c r="M145" s="69" t="s">
        <v>43</v>
      </c>
      <c r="N145" s="66" t="s">
        <v>636</v>
      </c>
      <c r="O145" s="68">
        <v>1</v>
      </c>
      <c r="P145" s="50" t="e">
        <v>#REF!</v>
      </c>
      <c r="Q145" s="62" t="s">
        <v>62</v>
      </c>
      <c r="R145" s="51"/>
      <c r="S145" s="51"/>
      <c r="T145" s="12"/>
      <c r="U145" s="12"/>
      <c r="V145" s="12"/>
      <c r="W145" s="12"/>
      <c r="X145" s="14" t="e">
        <f t="array" ref="X145">IF(OR(AND(#REF!=""),AND(#REF!="-"),OR(NOT(ISERROR(SEARCH("-*",H145:L145))))),0,1)</f>
        <v>#REF!</v>
      </c>
      <c r="Y145" s="12"/>
      <c r="Z145" s="14">
        <f t="array" ref="Z145">IF(AND(E145:G145="-"),0,IF(OR(NOT(ISERROR(SEARCH("+*",H145:L145)))),2,IF(OR(NOT(ISERROR(SEARCH("--*",E145:L145)))),-1,IF(OR(NOT(E145:G145="")),1,0))))</f>
        <v>1</v>
      </c>
      <c r="AA145" s="14">
        <v>249</v>
      </c>
      <c r="AB145" s="12"/>
    </row>
    <row r="146" spans="1:28" ht="51">
      <c r="A146" s="41">
        <v>225</v>
      </c>
      <c r="B146" s="66" t="s">
        <v>637</v>
      </c>
      <c r="C146" s="66" t="s">
        <v>638</v>
      </c>
      <c r="D146" s="66" t="s">
        <v>639</v>
      </c>
      <c r="E146" s="43"/>
      <c r="F146" s="57" t="s">
        <v>74</v>
      </c>
      <c r="G146" s="53"/>
      <c r="H146" s="46"/>
      <c r="I146" s="58" t="s">
        <v>106</v>
      </c>
      <c r="J146" s="48"/>
      <c r="K146" s="59" t="s">
        <v>106</v>
      </c>
      <c r="L146" s="46"/>
      <c r="M146" s="56" t="s">
        <v>43</v>
      </c>
      <c r="N146" s="66" t="s">
        <v>640</v>
      </c>
      <c r="O146" s="68">
        <v>2</v>
      </c>
      <c r="P146" s="50" t="e">
        <v>#REF!</v>
      </c>
      <c r="Q146" s="62" t="s">
        <v>62</v>
      </c>
      <c r="R146" s="51"/>
      <c r="S146" s="51"/>
      <c r="T146" s="12"/>
      <c r="U146" s="12"/>
      <c r="V146" s="12"/>
      <c r="W146" s="12"/>
      <c r="X146" s="14" t="e">
        <f t="array" ref="X146">IF(OR(AND(#REF!=""),AND(#REF!="-"),OR(NOT(ISERROR(SEARCH("-*",H146:L146))))),0,1)</f>
        <v>#REF!</v>
      </c>
      <c r="Y146" s="12"/>
      <c r="Z146" s="14">
        <f t="array" ref="Z146">IF(AND(E146:G146="-"),0,IF(OR(NOT(ISERROR(SEARCH("+*",H146:L146)))),2,IF(OR(NOT(ISERROR(SEARCH("--*",E146:L146)))),-1,IF(OR(NOT(E146:G146="")),1,0))))</f>
        <v>2</v>
      </c>
      <c r="AA146" s="14">
        <v>252</v>
      </c>
      <c r="AB146" s="12"/>
    </row>
    <row r="147" spans="1:28" ht="25.5">
      <c r="A147" s="41">
        <v>226</v>
      </c>
      <c r="B147" s="66" t="s">
        <v>641</v>
      </c>
      <c r="C147" s="66" t="s">
        <v>642</v>
      </c>
      <c r="D147" s="66" t="s">
        <v>643</v>
      </c>
      <c r="E147" s="43"/>
      <c r="F147" s="57" t="s">
        <v>74</v>
      </c>
      <c r="G147" s="53"/>
      <c r="H147" s="46"/>
      <c r="I147" s="47"/>
      <c r="J147" s="48"/>
      <c r="K147" s="49"/>
      <c r="L147" s="46"/>
      <c r="M147" s="56" t="s">
        <v>43</v>
      </c>
      <c r="N147" s="66"/>
      <c r="O147" s="68">
        <v>2</v>
      </c>
      <c r="P147" s="50" t="e">
        <v>#REF!</v>
      </c>
      <c r="Q147" s="62"/>
      <c r="R147" s="51"/>
      <c r="S147" s="51"/>
      <c r="T147" s="12"/>
      <c r="U147" s="12"/>
      <c r="V147" s="12"/>
      <c r="W147" s="12"/>
      <c r="X147" s="14" t="e">
        <f t="array" ref="X147">IF(OR(AND(#REF!=""),AND(#REF!="-"),OR(NOT(ISERROR(SEARCH("-*",H147:L147))))),0,1)</f>
        <v>#REF!</v>
      </c>
      <c r="Y147" s="12"/>
      <c r="Z147" s="14">
        <f t="array" ref="Z147">IF(AND(E147:G147="-"),0,IF(OR(NOT(ISERROR(SEARCH("+*",H147:L147)))),2,IF(OR(NOT(ISERROR(SEARCH("--*",E147:L147)))),-1,IF(OR(NOT(E147:G147="")),1,0))))</f>
        <v>1</v>
      </c>
      <c r="AA147" s="14">
        <v>253</v>
      </c>
      <c r="AB147" s="12"/>
    </row>
    <row r="148" spans="1:28" ht="191.25">
      <c r="A148" s="41">
        <v>227</v>
      </c>
      <c r="B148" s="66" t="s">
        <v>644</v>
      </c>
      <c r="C148" s="66" t="s">
        <v>645</v>
      </c>
      <c r="D148" s="42" t="s">
        <v>646</v>
      </c>
      <c r="E148" s="43"/>
      <c r="F148" s="57" t="s">
        <v>42</v>
      </c>
      <c r="G148" s="53"/>
      <c r="H148" s="46"/>
      <c r="I148" s="47"/>
      <c r="J148" s="48"/>
      <c r="K148" s="49"/>
      <c r="L148" s="46"/>
      <c r="M148" s="56" t="s">
        <v>43</v>
      </c>
      <c r="N148" s="66"/>
      <c r="O148" s="68">
        <v>2</v>
      </c>
      <c r="P148" s="50" t="e">
        <v>#REF!</v>
      </c>
      <c r="Q148" s="62" t="s">
        <v>44</v>
      </c>
      <c r="R148" s="51"/>
      <c r="S148" s="51"/>
      <c r="T148" s="12"/>
      <c r="U148" s="12"/>
      <c r="V148" s="12"/>
      <c r="W148" s="12"/>
      <c r="X148" s="14" t="e">
        <f t="array" ref="X148">IF(OR(AND(#REF!=""),AND(#REF!="-"),OR(NOT(ISERROR(SEARCH("-*",H148:L148))))),0,1)</f>
        <v>#REF!</v>
      </c>
      <c r="Y148" s="12"/>
      <c r="Z148" s="14">
        <f t="array" ref="Z148">IF(AND(E148:G148="-"),0,IF(OR(NOT(ISERROR(SEARCH("+*",H148:L148)))),2,IF(OR(NOT(ISERROR(SEARCH("--*",E148:L148)))),-1,IF(OR(NOT(E148:G148="")),1,0))))</f>
        <v>1</v>
      </c>
      <c r="AA148" s="14">
        <v>255</v>
      </c>
      <c r="AB148" s="12"/>
    </row>
    <row r="149" spans="1:28" ht="51">
      <c r="A149" s="41">
        <v>228</v>
      </c>
      <c r="B149" s="66" t="s">
        <v>647</v>
      </c>
      <c r="C149" s="66" t="s">
        <v>648</v>
      </c>
      <c r="D149" s="42" t="s">
        <v>649</v>
      </c>
      <c r="E149" s="43"/>
      <c r="F149" s="57" t="s">
        <v>74</v>
      </c>
      <c r="G149" s="53"/>
      <c r="H149" s="46"/>
      <c r="I149" s="47"/>
      <c r="J149" s="48"/>
      <c r="K149" s="49"/>
      <c r="L149" s="46"/>
      <c r="M149" s="56" t="s">
        <v>207</v>
      </c>
      <c r="N149" s="66"/>
      <c r="O149" s="68">
        <v>2</v>
      </c>
      <c r="P149" s="50" t="e">
        <v>#REF!</v>
      </c>
      <c r="Q149" s="62"/>
      <c r="R149" s="51"/>
      <c r="S149" s="51"/>
      <c r="T149" s="12"/>
      <c r="U149" s="12"/>
      <c r="V149" s="12"/>
      <c r="W149" s="12"/>
      <c r="X149" s="14" t="e">
        <f t="array" ref="X149">IF(OR(AND(#REF!=""),AND(#REF!="-"),OR(NOT(ISERROR(SEARCH("-*",H149:L149))))),0,1)</f>
        <v>#REF!</v>
      </c>
      <c r="Y149" s="12"/>
      <c r="Z149" s="14">
        <f t="array" ref="Z149">IF(AND(E149:G149="-"),0,IF(OR(NOT(ISERROR(SEARCH("+*",H149:L149)))),2,IF(OR(NOT(ISERROR(SEARCH("--*",E149:L149)))),-1,IF(OR(NOT(E149:G149="")),1,0))))</f>
        <v>1</v>
      </c>
      <c r="AA149" s="14">
        <v>256</v>
      </c>
      <c r="AB149" s="12"/>
    </row>
    <row r="150" spans="1:28" ht="127.5">
      <c r="A150" s="41">
        <v>230</v>
      </c>
      <c r="B150" s="66" t="s">
        <v>650</v>
      </c>
      <c r="C150" s="66" t="s">
        <v>651</v>
      </c>
      <c r="D150" s="42" t="s">
        <v>652</v>
      </c>
      <c r="E150" s="43" t="s">
        <v>42</v>
      </c>
      <c r="F150" s="44" t="s">
        <v>42</v>
      </c>
      <c r="G150" s="53"/>
      <c r="H150" s="46"/>
      <c r="I150" s="47"/>
      <c r="J150" s="48"/>
      <c r="K150" s="49"/>
      <c r="L150" s="46"/>
      <c r="M150" s="56" t="s">
        <v>43</v>
      </c>
      <c r="N150" s="66"/>
      <c r="O150" s="68">
        <v>2</v>
      </c>
      <c r="P150" s="50" t="e">
        <v>#REF!</v>
      </c>
      <c r="Q150" s="62" t="s">
        <v>86</v>
      </c>
      <c r="R150" s="51"/>
      <c r="S150" s="51"/>
      <c r="T150" s="12"/>
      <c r="U150" s="12"/>
      <c r="V150" s="12"/>
      <c r="W150" s="12"/>
      <c r="X150" s="14" t="e">
        <f t="array" ref="X150">IF(OR(AND(#REF!=""),AND(#REF!="-"),OR(NOT(ISERROR(SEARCH("-*",H150:L150))))),0,1)</f>
        <v>#REF!</v>
      </c>
      <c r="Y150" s="12"/>
      <c r="Z150" s="14">
        <f t="array" ref="Z150">IF(AND(E150:G150="-"),0,IF(OR(NOT(ISERROR(SEARCH("+*",H150:L150)))),2,IF(OR(NOT(ISERROR(SEARCH("--*",E150:L150)))),-1,IF(OR(NOT(E150:G150="")),1,0))))</f>
        <v>1</v>
      </c>
      <c r="AA150" s="14">
        <v>260</v>
      </c>
      <c r="AB150" s="12"/>
    </row>
    <row r="151" spans="1:28" ht="76.5">
      <c r="A151" s="41">
        <v>231</v>
      </c>
      <c r="B151" s="66" t="s">
        <v>653</v>
      </c>
      <c r="C151" s="66" t="s">
        <v>654</v>
      </c>
      <c r="D151" s="66" t="s">
        <v>655</v>
      </c>
      <c r="E151" s="43" t="s">
        <v>42</v>
      </c>
      <c r="F151" s="44" t="s">
        <v>42</v>
      </c>
      <c r="G151" s="53"/>
      <c r="H151" s="46"/>
      <c r="I151" s="47"/>
      <c r="J151" s="48"/>
      <c r="K151" s="49"/>
      <c r="L151" s="46"/>
      <c r="M151" s="56" t="s">
        <v>43</v>
      </c>
      <c r="N151" s="66"/>
      <c r="O151" s="68">
        <v>1</v>
      </c>
      <c r="P151" s="50" t="e">
        <v>#REF!</v>
      </c>
      <c r="Q151" s="62" t="s">
        <v>62</v>
      </c>
      <c r="R151" s="51"/>
      <c r="S151" s="51"/>
      <c r="T151" s="12"/>
      <c r="U151" s="12"/>
      <c r="V151" s="12"/>
      <c r="W151" s="12"/>
      <c r="X151" s="14" t="e">
        <f t="array" ref="X151">IF(OR(AND(#REF!=""),AND(#REF!="-"),OR(NOT(ISERROR(SEARCH("-*",H151:L151))))),0,1)</f>
        <v>#REF!</v>
      </c>
      <c r="Y151" s="12"/>
      <c r="Z151" s="14">
        <f t="array" ref="Z151">IF(AND(E151:G151="-"),0,IF(OR(NOT(ISERROR(SEARCH("+*",H151:L151)))),2,IF(OR(NOT(ISERROR(SEARCH("--*",E151:L151)))),-1,IF(OR(NOT(E151:G151="")),1,0))))</f>
        <v>1</v>
      </c>
      <c r="AA151" s="14">
        <v>261</v>
      </c>
      <c r="AB151" s="12"/>
    </row>
    <row r="152" spans="1:28" ht="51">
      <c r="A152" s="41">
        <v>232</v>
      </c>
      <c r="B152" s="66" t="s">
        <v>656</v>
      </c>
      <c r="C152" s="66" t="s">
        <v>657</v>
      </c>
      <c r="D152" s="42" t="s">
        <v>658</v>
      </c>
      <c r="E152" s="43" t="s">
        <v>42</v>
      </c>
      <c r="F152" s="44" t="s">
        <v>42</v>
      </c>
      <c r="G152" s="53"/>
      <c r="H152" s="46"/>
      <c r="I152" s="47"/>
      <c r="J152" s="48"/>
      <c r="K152" s="49"/>
      <c r="L152" s="46"/>
      <c r="M152" s="56"/>
      <c r="N152" s="66"/>
      <c r="O152" s="68">
        <v>2</v>
      </c>
      <c r="P152" s="50" t="e">
        <v>#REF!</v>
      </c>
      <c r="Q152" s="62" t="s">
        <v>86</v>
      </c>
      <c r="R152" s="51"/>
      <c r="S152" s="51"/>
      <c r="T152" s="12"/>
      <c r="U152" s="12"/>
      <c r="V152" s="12"/>
      <c r="W152" s="12"/>
      <c r="X152" s="14" t="e">
        <f t="array" ref="X152">IF(OR(AND(#REF!=""),AND(#REF!="-"),OR(NOT(ISERROR(SEARCH("-*",H152:L152))))),0,1)</f>
        <v>#REF!</v>
      </c>
      <c r="Y152" s="12"/>
      <c r="Z152" s="14">
        <f t="array" ref="Z152">IF(AND(E152:G152="-"),0,IF(OR(NOT(ISERROR(SEARCH("+*",H152:L152)))),2,IF(OR(NOT(ISERROR(SEARCH("--*",E152:L152)))),-1,IF(OR(NOT(E152:G152="")),1,0))))</f>
        <v>1</v>
      </c>
      <c r="AA152" s="14">
        <v>262</v>
      </c>
      <c r="AB152" s="12"/>
    </row>
    <row r="153" spans="1:28" ht="25.5">
      <c r="A153" s="41">
        <v>233</v>
      </c>
      <c r="B153" s="66" t="s">
        <v>659</v>
      </c>
      <c r="C153" s="66" t="s">
        <v>660</v>
      </c>
      <c r="D153" s="42" t="s">
        <v>661</v>
      </c>
      <c r="E153" s="43" t="s">
        <v>74</v>
      </c>
      <c r="F153" s="44" t="s">
        <v>74</v>
      </c>
      <c r="G153" s="53"/>
      <c r="H153" s="46"/>
      <c r="I153" s="47"/>
      <c r="J153" s="48"/>
      <c r="K153" s="49"/>
      <c r="L153" s="46"/>
      <c r="M153" s="56" t="s">
        <v>43</v>
      </c>
      <c r="N153" s="66" t="s">
        <v>662</v>
      </c>
      <c r="O153" s="68">
        <v>1</v>
      </c>
      <c r="P153" s="50" t="e">
        <v>#REF!</v>
      </c>
      <c r="Q153" s="62"/>
      <c r="R153" s="51"/>
      <c r="S153" s="51"/>
      <c r="T153" s="12"/>
      <c r="U153" s="12"/>
      <c r="V153" s="12"/>
      <c r="W153" s="12"/>
      <c r="X153" s="14" t="e">
        <f t="array" ref="X153">IF(OR(AND(#REF!=""),AND(#REF!="-"),OR(NOT(ISERROR(SEARCH("-*",H153:L153))))),0,1)</f>
        <v>#REF!</v>
      </c>
      <c r="Y153" s="12"/>
      <c r="Z153" s="14">
        <f t="array" ref="Z153">IF(AND(E153:G153="-"),0,IF(OR(NOT(ISERROR(SEARCH("+*",H153:L153)))),2,IF(OR(NOT(ISERROR(SEARCH("--*",E153:L153)))),-1,IF(OR(NOT(E153:G153="")),1,0))))</f>
        <v>1</v>
      </c>
      <c r="AA153" s="14">
        <v>263</v>
      </c>
      <c r="AB153" s="12"/>
    </row>
    <row r="154" spans="1:28" ht="102">
      <c r="A154" s="41">
        <v>235</v>
      </c>
      <c r="B154" s="66" t="s">
        <v>663</v>
      </c>
      <c r="C154" s="66" t="s">
        <v>664</v>
      </c>
      <c r="D154" s="42" t="s">
        <v>665</v>
      </c>
      <c r="E154" s="43" t="s">
        <v>74</v>
      </c>
      <c r="F154" s="44" t="s">
        <v>74</v>
      </c>
      <c r="G154" s="53"/>
      <c r="H154" s="46"/>
      <c r="I154" s="47"/>
      <c r="J154" s="48"/>
      <c r="K154" s="49"/>
      <c r="L154" s="46"/>
      <c r="M154" s="56"/>
      <c r="N154" s="66" t="s">
        <v>666</v>
      </c>
      <c r="O154" s="68">
        <v>1</v>
      </c>
      <c r="P154" s="50" t="e">
        <v>#REF!</v>
      </c>
      <c r="Q154" s="62" t="s">
        <v>44</v>
      </c>
      <c r="R154" s="51"/>
      <c r="S154" s="51"/>
      <c r="T154" s="12"/>
      <c r="U154" s="12"/>
      <c r="V154" s="12"/>
      <c r="W154" s="12"/>
      <c r="X154" s="14" t="e">
        <f t="array" ref="X154">IF(OR(AND(#REF!=""),AND(#REF!="-"),OR(NOT(ISERROR(SEARCH("-*",H154:L154))))),0,1)</f>
        <v>#REF!</v>
      </c>
      <c r="Y154" s="12"/>
      <c r="Z154" s="14">
        <f t="array" ref="Z154">IF(AND(E154:G154="-"),0,IF(OR(NOT(ISERROR(SEARCH("+*",H154:L154)))),2,IF(OR(NOT(ISERROR(SEARCH("--*",E154:L154)))),-1,IF(OR(NOT(E154:G154="")),1,0))))</f>
        <v>1</v>
      </c>
      <c r="AA154" s="14">
        <v>265</v>
      </c>
      <c r="AB154" s="12"/>
    </row>
    <row r="155" spans="1:28" ht="306">
      <c r="A155" s="41">
        <v>236</v>
      </c>
      <c r="B155" s="66" t="s">
        <v>667</v>
      </c>
      <c r="C155" s="66" t="s">
        <v>668</v>
      </c>
      <c r="D155" s="66" t="s">
        <v>669</v>
      </c>
      <c r="E155" s="43"/>
      <c r="F155" s="57" t="s">
        <v>42</v>
      </c>
      <c r="G155" s="53"/>
      <c r="H155" s="46"/>
      <c r="I155" s="47"/>
      <c r="J155" s="48"/>
      <c r="K155" s="49"/>
      <c r="L155" s="46"/>
      <c r="M155" s="56" t="s">
        <v>43</v>
      </c>
      <c r="N155" s="54" t="s">
        <v>670</v>
      </c>
      <c r="O155" s="68">
        <v>1</v>
      </c>
      <c r="P155" s="50" t="e">
        <v>#REF!</v>
      </c>
      <c r="Q155" s="62" t="s">
        <v>44</v>
      </c>
      <c r="R155" s="51" t="s">
        <v>43</v>
      </c>
      <c r="S155" s="51" t="s">
        <v>671</v>
      </c>
      <c r="T155" s="12"/>
      <c r="U155" s="12"/>
      <c r="V155" s="12"/>
      <c r="W155" s="12"/>
      <c r="X155" s="14" t="e">
        <f t="array" ref="X155">IF(OR(AND(#REF!=""),AND(#REF!="-"),OR(NOT(ISERROR(SEARCH("-*",H155:L155))))),0,1)</f>
        <v>#REF!</v>
      </c>
      <c r="Y155" s="12"/>
      <c r="Z155" s="14">
        <f t="array" ref="Z155">IF(AND(E155:G155="-"),0,IF(OR(NOT(ISERROR(SEARCH("+*",H155:L155)))),2,IF(OR(NOT(ISERROR(SEARCH("--*",E155:L155)))),-1,IF(OR(NOT(E155:G155="")),1,0))))</f>
        <v>1</v>
      </c>
      <c r="AA155" s="14">
        <v>266</v>
      </c>
      <c r="AB155" s="12"/>
    </row>
    <row r="156" spans="1:28" ht="38.25">
      <c r="A156" s="41">
        <v>237</v>
      </c>
      <c r="B156" s="66" t="s">
        <v>672</v>
      </c>
      <c r="C156" s="66" t="s">
        <v>673</v>
      </c>
      <c r="D156" s="66" t="s">
        <v>674</v>
      </c>
      <c r="E156" s="43"/>
      <c r="F156" s="57" t="s">
        <v>42</v>
      </c>
      <c r="G156" s="53"/>
      <c r="H156" s="46"/>
      <c r="I156" s="47"/>
      <c r="J156" s="48"/>
      <c r="K156" s="49"/>
      <c r="L156" s="46"/>
      <c r="M156" s="69" t="s">
        <v>43</v>
      </c>
      <c r="N156" s="66" t="s">
        <v>675</v>
      </c>
      <c r="O156" s="68">
        <v>1</v>
      </c>
      <c r="P156" s="50" t="e">
        <v>#REF!</v>
      </c>
      <c r="Q156" s="62"/>
      <c r="R156" s="51"/>
      <c r="S156" s="51"/>
      <c r="T156" s="12"/>
      <c r="U156" s="12"/>
      <c r="V156" s="12"/>
      <c r="W156" s="12"/>
      <c r="X156" s="14" t="e">
        <f t="array" ref="X156">IF(OR(AND(#REF!=""),AND(#REF!="-"),OR(NOT(ISERROR(SEARCH("-*",H156:L156))))),0,1)</f>
        <v>#REF!</v>
      </c>
      <c r="Y156" s="12"/>
      <c r="Z156" s="14">
        <f t="array" ref="Z156">IF(AND(E156:G156="-"),0,IF(OR(NOT(ISERROR(SEARCH("+*",H156:L156)))),2,IF(OR(NOT(ISERROR(SEARCH("--*",E156:L156)))),-1,IF(OR(NOT(E156:G156="")),1,0))))</f>
        <v>1</v>
      </c>
      <c r="AA156" s="14">
        <v>267</v>
      </c>
      <c r="AB156" s="12"/>
    </row>
    <row r="157" spans="1:28" ht="38.25">
      <c r="A157" s="41">
        <v>238</v>
      </c>
      <c r="B157" s="66" t="s">
        <v>676</v>
      </c>
      <c r="C157" s="66" t="s">
        <v>677</v>
      </c>
      <c r="D157" s="66" t="s">
        <v>678</v>
      </c>
      <c r="E157" s="43"/>
      <c r="F157" s="57" t="s">
        <v>74</v>
      </c>
      <c r="G157" s="53"/>
      <c r="H157" s="46"/>
      <c r="I157" s="47"/>
      <c r="J157" s="48"/>
      <c r="K157" s="49"/>
      <c r="L157" s="46"/>
      <c r="M157" s="69" t="s">
        <v>43</v>
      </c>
      <c r="N157" s="66"/>
      <c r="O157" s="68">
        <v>2</v>
      </c>
      <c r="P157" s="50" t="e">
        <v>#REF!</v>
      </c>
      <c r="Q157" s="62"/>
      <c r="R157" s="51"/>
      <c r="S157" s="51"/>
      <c r="T157" s="12"/>
      <c r="U157" s="12"/>
      <c r="V157" s="12"/>
      <c r="W157" s="12"/>
      <c r="X157" s="14" t="e">
        <f t="array" ref="X157">IF(OR(AND(#REF!=""),AND(#REF!="-"),OR(NOT(ISERROR(SEARCH("-*",H157:L157))))),0,1)</f>
        <v>#REF!</v>
      </c>
      <c r="Y157" s="12"/>
      <c r="Z157" s="14">
        <f t="array" ref="Z157">IF(AND(E157:G157="-"),0,IF(OR(NOT(ISERROR(SEARCH("+*",H157:L157)))),2,IF(OR(NOT(ISERROR(SEARCH("--*",E157:L157)))),-1,IF(OR(NOT(E157:G157="")),1,0))))</f>
        <v>1</v>
      </c>
      <c r="AA157" s="14">
        <v>268</v>
      </c>
      <c r="AB157" s="12"/>
    </row>
    <row r="158" spans="1:28" ht="89.25">
      <c r="A158" s="41">
        <v>239</v>
      </c>
      <c r="B158" s="66" t="s">
        <v>679</v>
      </c>
      <c r="C158" s="66" t="s">
        <v>680</v>
      </c>
      <c r="D158" s="42" t="s">
        <v>681</v>
      </c>
      <c r="E158" s="43"/>
      <c r="F158" s="57" t="s">
        <v>42</v>
      </c>
      <c r="G158" s="53"/>
      <c r="H158" s="46"/>
      <c r="I158" s="47"/>
      <c r="J158" s="60" t="s">
        <v>74</v>
      </c>
      <c r="K158" s="49"/>
      <c r="L158" s="46"/>
      <c r="M158" s="56" t="s">
        <v>43</v>
      </c>
      <c r="N158" s="66" t="s">
        <v>682</v>
      </c>
      <c r="O158" s="68">
        <v>2</v>
      </c>
      <c r="P158" s="50" t="e">
        <v>#REF!</v>
      </c>
      <c r="Q158" s="62" t="s">
        <v>62</v>
      </c>
      <c r="R158" s="51"/>
      <c r="S158" s="51"/>
      <c r="T158" s="12"/>
      <c r="U158" s="12"/>
      <c r="V158" s="12"/>
      <c r="W158" s="12"/>
      <c r="X158" s="14" t="e">
        <f t="array" ref="X158">IF(OR(AND(#REF!=""),AND(#REF!="-"),OR(NOT(ISERROR(SEARCH("-*",H158:L158))))),0,1)</f>
        <v>#REF!</v>
      </c>
      <c r="Y158" s="12"/>
      <c r="Z158" s="14">
        <f t="array" ref="Z158">IF(AND(E158:G158="-"),0,IF(OR(NOT(ISERROR(SEARCH("+*",H158:L158)))),2,IF(OR(NOT(ISERROR(SEARCH("--*",E158:L158)))),-1,IF(OR(NOT(E158:G158="")),1,0))))</f>
        <v>2</v>
      </c>
      <c r="AA158" s="14">
        <v>269</v>
      </c>
      <c r="AB158" s="12"/>
    </row>
    <row r="159" spans="1:28" ht="38.25">
      <c r="A159" s="41">
        <v>241</v>
      </c>
      <c r="B159" s="66" t="s">
        <v>683</v>
      </c>
      <c r="C159" s="66" t="s">
        <v>684</v>
      </c>
      <c r="D159" s="66" t="s">
        <v>685</v>
      </c>
      <c r="E159" s="43"/>
      <c r="F159" s="57" t="s">
        <v>42</v>
      </c>
      <c r="G159" s="53"/>
      <c r="H159" s="46"/>
      <c r="I159" s="47"/>
      <c r="J159" s="48"/>
      <c r="K159" s="49"/>
      <c r="L159" s="46"/>
      <c r="M159" s="69" t="s">
        <v>43</v>
      </c>
      <c r="N159" s="66"/>
      <c r="O159" s="68"/>
      <c r="P159" s="50" t="e">
        <v>#REF!</v>
      </c>
      <c r="Q159" s="62"/>
      <c r="R159" s="51"/>
      <c r="S159" s="51"/>
      <c r="T159" s="12"/>
      <c r="U159" s="12"/>
      <c r="V159" s="12"/>
      <c r="W159" s="12"/>
      <c r="X159" s="14" t="e">
        <f t="array" ref="X159">IF(OR(AND(#REF!=""),AND(#REF!="-"),OR(NOT(ISERROR(SEARCH("-*",H159:L159))))),0,1)</f>
        <v>#REF!</v>
      </c>
      <c r="Y159" s="12"/>
      <c r="Z159" s="14">
        <f t="array" ref="Z159">IF(AND(E159:G159="-"),0,IF(OR(NOT(ISERROR(SEARCH("+*",H159:L159)))),2,IF(OR(NOT(ISERROR(SEARCH("--*",E159:L159)))),-1,IF(OR(NOT(E159:G159="")),1,0))))</f>
        <v>1</v>
      </c>
      <c r="AA159" s="14">
        <v>271</v>
      </c>
      <c r="AB159" s="12"/>
    </row>
    <row r="160" spans="1:28" ht="204">
      <c r="A160" s="41">
        <v>246</v>
      </c>
      <c r="B160" s="66" t="s">
        <v>686</v>
      </c>
      <c r="C160" s="66" t="s">
        <v>687</v>
      </c>
      <c r="D160" s="66" t="s">
        <v>688</v>
      </c>
      <c r="E160" s="43"/>
      <c r="F160" s="57" t="s">
        <v>42</v>
      </c>
      <c r="G160" s="53"/>
      <c r="H160" s="46"/>
      <c r="I160" s="47"/>
      <c r="J160" s="48"/>
      <c r="K160" s="49"/>
      <c r="L160" s="46"/>
      <c r="M160" s="56" t="s">
        <v>43</v>
      </c>
      <c r="N160" s="66" t="s">
        <v>689</v>
      </c>
      <c r="O160" s="68">
        <v>1</v>
      </c>
      <c r="P160" s="50" t="e">
        <v>#REF!</v>
      </c>
      <c r="Q160" s="62" t="s">
        <v>86</v>
      </c>
      <c r="R160" s="51" t="s">
        <v>43</v>
      </c>
      <c r="S160" s="51" t="s">
        <v>690</v>
      </c>
      <c r="T160" s="12"/>
      <c r="U160" s="12"/>
      <c r="V160" s="12"/>
      <c r="W160" s="12"/>
      <c r="X160" s="14" t="e">
        <f t="array" ref="X160">IF(OR(AND(#REF!=""),AND(#REF!="-"),OR(NOT(ISERROR(SEARCH("-*",H160:L160))))),0,1)</f>
        <v>#REF!</v>
      </c>
      <c r="Y160" s="12"/>
      <c r="Z160" s="14">
        <f t="array" ref="Z160">IF(AND(E160:G160="-"),0,IF(OR(NOT(ISERROR(SEARCH("+*",H160:L160)))),2,IF(OR(NOT(ISERROR(SEARCH("--*",E160:L160)))),-1,IF(OR(NOT(E160:G160="")),1,0))))</f>
        <v>1</v>
      </c>
      <c r="AA160" s="14">
        <v>276</v>
      </c>
      <c r="AB160" s="12"/>
    </row>
    <row r="161" spans="1:28" ht="140.25">
      <c r="A161" s="41">
        <v>248</v>
      </c>
      <c r="B161" s="66" t="s">
        <v>691</v>
      </c>
      <c r="C161" s="66" t="s">
        <v>692</v>
      </c>
      <c r="D161" s="66" t="s">
        <v>693</v>
      </c>
      <c r="E161" s="43"/>
      <c r="F161" s="57" t="s">
        <v>42</v>
      </c>
      <c r="G161" s="53"/>
      <c r="H161" s="46"/>
      <c r="I161" s="47"/>
      <c r="J161" s="48"/>
      <c r="K161" s="49"/>
      <c r="L161" s="46"/>
      <c r="M161" s="56" t="s">
        <v>43</v>
      </c>
      <c r="N161" s="66" t="s">
        <v>694</v>
      </c>
      <c r="O161" s="68">
        <v>1</v>
      </c>
      <c r="P161" s="50" t="e">
        <v>#REF!</v>
      </c>
      <c r="Q161" s="62" t="s">
        <v>86</v>
      </c>
      <c r="R161" s="51"/>
      <c r="S161" s="51"/>
      <c r="T161" s="12"/>
      <c r="U161" s="12"/>
      <c r="V161" s="12"/>
      <c r="W161" s="12"/>
      <c r="X161" s="14" t="e">
        <f t="array" ref="X161">IF(OR(AND(#REF!=""),AND(#REF!="-"),OR(NOT(ISERROR(SEARCH("-*",H161:L161))))),0,1)</f>
        <v>#REF!</v>
      </c>
      <c r="Y161" s="12"/>
      <c r="Z161" s="14">
        <f t="array" ref="Z161">IF(AND(E161:G161="-"),0,IF(OR(NOT(ISERROR(SEARCH("+*",H161:L161)))),2,IF(OR(NOT(ISERROR(SEARCH("--*",E161:L161)))),-1,IF(OR(NOT(E161:G161="")),1,0))))</f>
        <v>1</v>
      </c>
      <c r="AA161" s="14">
        <v>278</v>
      </c>
      <c r="AB161" s="12"/>
    </row>
    <row r="162" spans="1:28" ht="38.25">
      <c r="A162" s="41">
        <v>249</v>
      </c>
      <c r="B162" s="66" t="s">
        <v>695</v>
      </c>
      <c r="C162" s="66" t="s">
        <v>696</v>
      </c>
      <c r="D162" s="42" t="s">
        <v>697</v>
      </c>
      <c r="E162" s="43"/>
      <c r="F162" s="57" t="s">
        <v>74</v>
      </c>
      <c r="G162" s="53"/>
      <c r="H162" s="46"/>
      <c r="I162" s="47"/>
      <c r="J162" s="48"/>
      <c r="K162" s="49"/>
      <c r="L162" s="46"/>
      <c r="M162" s="56" t="s">
        <v>43</v>
      </c>
      <c r="N162" s="66"/>
      <c r="O162" s="68">
        <v>1</v>
      </c>
      <c r="P162" s="50" t="e">
        <v>#REF!</v>
      </c>
      <c r="Q162" s="62"/>
      <c r="R162" s="51"/>
      <c r="S162" s="51"/>
      <c r="T162" s="12"/>
      <c r="U162" s="12"/>
      <c r="V162" s="12"/>
      <c r="W162" s="12"/>
      <c r="X162" s="14" t="e">
        <f t="array" ref="X162">IF(OR(AND(#REF!=""),AND(#REF!="-"),OR(NOT(ISERROR(SEARCH("-*",H162:L162))))),0,1)</f>
        <v>#REF!</v>
      </c>
      <c r="Y162" s="12"/>
      <c r="Z162" s="14">
        <f t="array" ref="Z162">IF(AND(E162:G162="-"),0,IF(OR(NOT(ISERROR(SEARCH("+*",H162:L162)))),2,IF(OR(NOT(ISERROR(SEARCH("--*",E162:L162)))),-1,IF(OR(NOT(E162:G162="")),1,0))))</f>
        <v>1</v>
      </c>
      <c r="AA162" s="14">
        <v>279</v>
      </c>
      <c r="AB162" s="12"/>
    </row>
    <row r="163" spans="1:28" ht="76.5">
      <c r="A163" s="41">
        <v>250</v>
      </c>
      <c r="B163" s="66" t="s">
        <v>698</v>
      </c>
      <c r="C163" s="66" t="s">
        <v>699</v>
      </c>
      <c r="D163" s="42" t="s">
        <v>700</v>
      </c>
      <c r="E163" s="43" t="s">
        <v>42</v>
      </c>
      <c r="F163" s="57" t="s">
        <v>42</v>
      </c>
      <c r="G163" s="53"/>
      <c r="H163" s="46"/>
      <c r="I163" s="47"/>
      <c r="J163" s="48"/>
      <c r="K163" s="49"/>
      <c r="L163" s="46"/>
      <c r="M163" s="56" t="s">
        <v>43</v>
      </c>
      <c r="N163" s="66" t="s">
        <v>701</v>
      </c>
      <c r="O163" s="68">
        <v>2</v>
      </c>
      <c r="P163" s="50" t="e">
        <v>#REF!</v>
      </c>
      <c r="Q163" s="62" t="s">
        <v>44</v>
      </c>
      <c r="R163" s="51"/>
      <c r="S163" s="51"/>
      <c r="T163" s="12"/>
      <c r="U163" s="12"/>
      <c r="V163" s="12"/>
      <c r="W163" s="12"/>
      <c r="X163" s="14" t="e">
        <f t="array" ref="X163">IF(OR(AND(#REF!=""),AND(#REF!="-"),OR(NOT(ISERROR(SEARCH("-*",H163:L163))))),0,1)</f>
        <v>#REF!</v>
      </c>
      <c r="Y163" s="12"/>
      <c r="Z163" s="14">
        <f t="array" ref="Z163">IF(AND(E163:G163="-"),0,IF(OR(NOT(ISERROR(SEARCH("+*",H163:L163)))),2,IF(OR(NOT(ISERROR(SEARCH("--*",E163:L163)))),-1,IF(OR(NOT(E163:G163="")),1,0))))</f>
        <v>1</v>
      </c>
      <c r="AA163" s="14">
        <v>280</v>
      </c>
      <c r="AB163" s="12"/>
    </row>
    <row r="164" spans="1:28" ht="51">
      <c r="A164" s="41">
        <v>252</v>
      </c>
      <c r="B164" s="66" t="s">
        <v>702</v>
      </c>
      <c r="C164" s="66" t="s">
        <v>703</v>
      </c>
      <c r="D164" s="66" t="s">
        <v>704</v>
      </c>
      <c r="E164" s="19" t="s">
        <v>74</v>
      </c>
      <c r="F164" s="57" t="s">
        <v>74</v>
      </c>
      <c r="G164" s="53"/>
      <c r="H164" s="46"/>
      <c r="I164" s="71"/>
      <c r="J164" s="48"/>
      <c r="K164" s="74"/>
      <c r="L164" s="46"/>
      <c r="M164" s="69" t="s">
        <v>43</v>
      </c>
      <c r="N164" s="75" t="s">
        <v>705</v>
      </c>
      <c r="O164" s="68">
        <v>2</v>
      </c>
      <c r="P164" s="50" t="e">
        <v>#REF!</v>
      </c>
      <c r="Q164" s="73"/>
      <c r="R164" s="51"/>
      <c r="S164" s="51"/>
      <c r="T164" s="12"/>
      <c r="U164" s="12"/>
      <c r="V164" s="12"/>
      <c r="W164" s="12"/>
      <c r="X164" s="14" t="e">
        <f t="array" ref="X164">IF(OR(AND(#REF!=""),AND(#REF!="-"),OR(NOT(ISERROR(SEARCH("-*",H164:L164))))),0,1)</f>
        <v>#REF!</v>
      </c>
      <c r="Y164" s="12"/>
      <c r="Z164" s="14">
        <f t="array" ref="Z164">IF(AND(E164:G164="-"),0,IF(OR(NOT(ISERROR(SEARCH("+*",H164:L164)))),2,IF(OR(NOT(ISERROR(SEARCH("--*",E164:L164)))),-1,IF(OR(NOT(E164:G164="")),1,0))))</f>
        <v>1</v>
      </c>
      <c r="AA164" s="14">
        <v>282</v>
      </c>
      <c r="AB164" s="12"/>
    </row>
    <row r="165" spans="1:28" ht="178.5">
      <c r="A165" s="41">
        <v>253</v>
      </c>
      <c r="B165" s="66" t="s">
        <v>706</v>
      </c>
      <c r="C165" s="66" t="s">
        <v>707</v>
      </c>
      <c r="D165" s="42" t="s">
        <v>708</v>
      </c>
      <c r="E165" s="43" t="s">
        <v>42</v>
      </c>
      <c r="F165" s="44" t="s">
        <v>42</v>
      </c>
      <c r="G165" s="45" t="s">
        <v>42</v>
      </c>
      <c r="H165" s="46"/>
      <c r="I165" s="47"/>
      <c r="J165" s="48"/>
      <c r="K165" s="49"/>
      <c r="L165" s="46"/>
      <c r="M165" s="56" t="s">
        <v>43</v>
      </c>
      <c r="N165" s="66" t="s">
        <v>709</v>
      </c>
      <c r="O165" s="68">
        <v>1</v>
      </c>
      <c r="P165" s="50" t="e">
        <v>#REF!</v>
      </c>
      <c r="Q165" s="62" t="s">
        <v>62</v>
      </c>
      <c r="R165" s="51" t="s">
        <v>43</v>
      </c>
      <c r="S165" s="51" t="s">
        <v>710</v>
      </c>
      <c r="T165" s="12"/>
      <c r="U165" s="12"/>
      <c r="V165" s="12"/>
      <c r="W165" s="12"/>
      <c r="X165" s="14" t="e">
        <f t="array" ref="X165">IF(OR(AND(#REF!=""),AND(#REF!="-"),OR(NOT(ISERROR(SEARCH("-*",H165:L165))))),0,1)</f>
        <v>#REF!</v>
      </c>
      <c r="Y165" s="12"/>
      <c r="Z165" s="14">
        <f t="array" ref="Z165">IF(AND(E165:G165="-"),0,IF(OR(NOT(ISERROR(SEARCH("+*",H165:L165)))),2,IF(OR(NOT(ISERROR(SEARCH("--*",E165:L165)))),-1,IF(OR(NOT(E165:G165="")),1,0))))</f>
        <v>1</v>
      </c>
      <c r="AA165" s="14">
        <v>283</v>
      </c>
      <c r="AB165" s="12"/>
    </row>
    <row r="166" spans="1:28" ht="395.25">
      <c r="A166" s="41">
        <v>254</v>
      </c>
      <c r="B166" s="66" t="s">
        <v>711</v>
      </c>
      <c r="C166" s="66" t="s">
        <v>712</v>
      </c>
      <c r="D166" s="42" t="s">
        <v>713</v>
      </c>
      <c r="E166" s="43"/>
      <c r="F166" s="57"/>
      <c r="G166" s="53" t="s">
        <v>42</v>
      </c>
      <c r="H166" s="46"/>
      <c r="I166" s="47"/>
      <c r="J166" s="48"/>
      <c r="K166" s="49"/>
      <c r="L166" s="46"/>
      <c r="M166" s="56" t="s">
        <v>43</v>
      </c>
      <c r="N166" s="66" t="s">
        <v>714</v>
      </c>
      <c r="O166" s="68">
        <v>1</v>
      </c>
      <c r="P166" s="50" t="e">
        <v>#REF!</v>
      </c>
      <c r="Q166" s="62" t="s">
        <v>44</v>
      </c>
      <c r="R166" s="51" t="s">
        <v>43</v>
      </c>
      <c r="S166" s="51" t="s">
        <v>715</v>
      </c>
      <c r="T166" s="12"/>
      <c r="U166" s="12"/>
      <c r="V166" s="12"/>
      <c r="W166" s="12"/>
      <c r="X166" s="14" t="e">
        <f t="array" ref="X166">IF(OR(AND(#REF!=""),AND(#REF!="-"),OR(NOT(ISERROR(SEARCH("-*",H166:L166))))),0,1)</f>
        <v>#REF!</v>
      </c>
      <c r="Y166" s="12"/>
      <c r="Z166" s="14">
        <f t="array" ref="Z166">IF(AND(E166:G166="-"),0,IF(OR(NOT(ISERROR(SEARCH("+*",H166:L166)))),2,IF(OR(NOT(ISERROR(SEARCH("--*",E166:L166)))),-1,IF(OR(NOT(E166:G166="")),1,0))))</f>
        <v>1</v>
      </c>
      <c r="AA166" s="14">
        <v>284</v>
      </c>
      <c r="AB166" s="12"/>
    </row>
    <row r="167" spans="1:28" ht="25.5">
      <c r="A167" s="41">
        <v>255</v>
      </c>
      <c r="B167" s="66" t="s">
        <v>716</v>
      </c>
      <c r="C167" s="66" t="s">
        <v>717</v>
      </c>
      <c r="D167" s="66" t="s">
        <v>718</v>
      </c>
      <c r="E167" s="43"/>
      <c r="F167" s="57"/>
      <c r="G167" s="53" t="s">
        <v>42</v>
      </c>
      <c r="H167" s="46"/>
      <c r="I167" s="47"/>
      <c r="J167" s="48"/>
      <c r="K167" s="49"/>
      <c r="L167" s="46"/>
      <c r="M167" s="69" t="s">
        <v>43</v>
      </c>
      <c r="N167" s="54" t="s">
        <v>719</v>
      </c>
      <c r="O167" s="68">
        <v>1</v>
      </c>
      <c r="P167" s="50" t="e">
        <v>#REF!</v>
      </c>
      <c r="Q167" s="62"/>
      <c r="R167" s="51"/>
      <c r="S167" s="51"/>
      <c r="T167" s="12"/>
      <c r="U167" s="12"/>
      <c r="V167" s="12"/>
      <c r="W167" s="12"/>
      <c r="X167" s="14" t="e">
        <f t="array" ref="X167">IF(OR(AND(#REF!=""),AND(#REF!="-"),OR(NOT(ISERROR(SEARCH("-*",H167:L167))))),0,1)</f>
        <v>#REF!</v>
      </c>
      <c r="Y167" s="12"/>
      <c r="Z167" s="14">
        <f t="array" ref="Z167">IF(AND(E167:G167="-"),0,IF(OR(NOT(ISERROR(SEARCH("+*",H167:L167)))),2,IF(OR(NOT(ISERROR(SEARCH("--*",E167:L167)))),-1,IF(OR(NOT(E167:G167="")),1,0))))</f>
        <v>1</v>
      </c>
      <c r="AA167" s="14">
        <v>285</v>
      </c>
      <c r="AB167" s="12"/>
    </row>
    <row r="168" spans="1:28" ht="38.25">
      <c r="A168" s="41">
        <v>257</v>
      </c>
      <c r="B168" s="66" t="s">
        <v>720</v>
      </c>
      <c r="C168" s="66" t="s">
        <v>721</v>
      </c>
      <c r="D168" s="66" t="s">
        <v>722</v>
      </c>
      <c r="E168" s="43"/>
      <c r="F168" s="57"/>
      <c r="G168" s="53" t="s">
        <v>42</v>
      </c>
      <c r="H168" s="46"/>
      <c r="I168" s="47"/>
      <c r="J168" s="48"/>
      <c r="K168" s="49"/>
      <c r="L168" s="46"/>
      <c r="M168" s="69" t="s">
        <v>43</v>
      </c>
      <c r="N168" s="66"/>
      <c r="O168" s="68">
        <v>3</v>
      </c>
      <c r="P168" s="50" t="e">
        <v>#REF!</v>
      </c>
      <c r="Q168" s="62"/>
      <c r="R168" s="51"/>
      <c r="S168" s="51"/>
      <c r="T168" s="12"/>
      <c r="U168" s="12"/>
      <c r="V168" s="12"/>
      <c r="W168" s="12"/>
      <c r="X168" s="14" t="e">
        <f t="array" ref="X168">IF(OR(AND(#REF!=""),AND(#REF!="-"),OR(NOT(ISERROR(SEARCH("-*",H168:L168))))),0,1)</f>
        <v>#REF!</v>
      </c>
      <c r="Y168" s="12"/>
      <c r="Z168" s="14">
        <f t="array" ref="Z168">IF(AND(E168:G168="-"),0,IF(OR(NOT(ISERROR(SEARCH("+*",H168:L168)))),2,IF(OR(NOT(ISERROR(SEARCH("--*",E168:L168)))),-1,IF(OR(NOT(E168:G168="")),1,0))))</f>
        <v>1</v>
      </c>
      <c r="AA168" s="14">
        <v>287</v>
      </c>
      <c r="AB168" s="12"/>
    </row>
    <row r="169" spans="1:28" ht="38.25">
      <c r="A169" s="41">
        <v>262</v>
      </c>
      <c r="B169" s="66" t="s">
        <v>723</v>
      </c>
      <c r="C169" s="66" t="s">
        <v>724</v>
      </c>
      <c r="D169" s="66" t="s">
        <v>725</v>
      </c>
      <c r="E169" s="43"/>
      <c r="F169" s="57"/>
      <c r="G169" s="53" t="s">
        <v>42</v>
      </c>
      <c r="H169" s="46"/>
      <c r="I169" s="47"/>
      <c r="J169" s="48"/>
      <c r="K169" s="49"/>
      <c r="L169" s="46"/>
      <c r="M169" s="69" t="s">
        <v>43</v>
      </c>
      <c r="N169" s="55" t="s">
        <v>726</v>
      </c>
      <c r="O169" s="68">
        <v>1</v>
      </c>
      <c r="P169" s="50" t="e">
        <v>#REF!</v>
      </c>
      <c r="Q169" s="62"/>
      <c r="R169" s="51"/>
      <c r="S169" s="51"/>
      <c r="T169" s="12"/>
      <c r="U169" s="12"/>
      <c r="V169" s="12"/>
      <c r="W169" s="12"/>
      <c r="X169" s="14" t="e">
        <f t="array" ref="X169">IF(OR(AND(#REF!=""),AND(#REF!="-"),OR(NOT(ISERROR(SEARCH("-*",H169:L169))))),0,1)</f>
        <v>#REF!</v>
      </c>
      <c r="Y169" s="12"/>
      <c r="Z169" s="14">
        <f t="array" ref="Z169">IF(AND(E169:G169="-"),0,IF(OR(NOT(ISERROR(SEARCH("+*",H169:L169)))),2,IF(OR(NOT(ISERROR(SEARCH("--*",E169:L169)))),-1,IF(OR(NOT(E169:G169="")),1,0))))</f>
        <v>1</v>
      </c>
      <c r="AA169" s="14">
        <v>292</v>
      </c>
      <c r="AB169" s="12"/>
    </row>
    <row r="170" spans="1:28" ht="76.5">
      <c r="A170" s="41">
        <v>263</v>
      </c>
      <c r="B170" s="66" t="s">
        <v>727</v>
      </c>
      <c r="C170" s="66" t="s">
        <v>728</v>
      </c>
      <c r="D170" s="66" t="s">
        <v>729</v>
      </c>
      <c r="E170" s="43"/>
      <c r="F170" s="57"/>
      <c r="G170" s="53" t="s">
        <v>42</v>
      </c>
      <c r="H170" s="46"/>
      <c r="I170" s="47"/>
      <c r="J170" s="48"/>
      <c r="K170" s="49"/>
      <c r="L170" s="46"/>
      <c r="M170" s="56" t="s">
        <v>43</v>
      </c>
      <c r="N170" s="66"/>
      <c r="O170" s="68">
        <v>1</v>
      </c>
      <c r="P170" s="50" t="e">
        <v>#REF!</v>
      </c>
      <c r="Q170" s="62" t="s">
        <v>44</v>
      </c>
      <c r="R170" s="51"/>
      <c r="S170" s="51"/>
      <c r="T170" s="12"/>
      <c r="U170" s="12"/>
      <c r="V170" s="12"/>
      <c r="W170" s="12"/>
      <c r="X170" s="14" t="e">
        <f t="array" ref="X170">IF(OR(AND(#REF!=""),AND(#REF!="-"),OR(NOT(ISERROR(SEARCH("-*",H170:L170))))),0,1)</f>
        <v>#REF!</v>
      </c>
      <c r="Y170" s="12"/>
      <c r="Z170" s="14">
        <f t="array" ref="Z170">IF(AND(E170:G170="-"),0,IF(OR(NOT(ISERROR(SEARCH("+*",H170:L170)))),2,IF(OR(NOT(ISERROR(SEARCH("--*",E170:L170)))),-1,IF(OR(NOT(E170:G170="")),1,0))))</f>
        <v>1</v>
      </c>
      <c r="AA170" s="14">
        <v>293</v>
      </c>
      <c r="AB170" s="12"/>
    </row>
    <row r="171" spans="1:28" ht="165.75">
      <c r="A171" s="41">
        <v>266</v>
      </c>
      <c r="B171" s="66" t="s">
        <v>730</v>
      </c>
      <c r="C171" s="66" t="s">
        <v>731</v>
      </c>
      <c r="D171" s="66" t="s">
        <v>732</v>
      </c>
      <c r="E171" s="43"/>
      <c r="F171" s="57"/>
      <c r="G171" s="53" t="s">
        <v>42</v>
      </c>
      <c r="H171" s="46"/>
      <c r="I171" s="47"/>
      <c r="J171" s="48"/>
      <c r="K171" s="49"/>
      <c r="L171" s="46"/>
      <c r="M171" s="56" t="s">
        <v>43</v>
      </c>
      <c r="N171" s="66"/>
      <c r="O171" s="68">
        <v>1</v>
      </c>
      <c r="P171" s="50" t="e">
        <v>#REF!</v>
      </c>
      <c r="Q171" s="62" t="s">
        <v>44</v>
      </c>
      <c r="R171" s="51" t="s">
        <v>43</v>
      </c>
      <c r="S171" s="51" t="s">
        <v>733</v>
      </c>
      <c r="T171" s="12"/>
      <c r="U171" s="12"/>
      <c r="V171" s="12"/>
      <c r="W171" s="12"/>
      <c r="X171" s="14" t="e">
        <f t="array" ref="X171">IF(OR(AND(#REF!=""),AND(#REF!="-"),OR(NOT(ISERROR(SEARCH("-*",H171:L171))))),0,1)</f>
        <v>#REF!</v>
      </c>
      <c r="Y171" s="12"/>
      <c r="Z171" s="14">
        <f t="array" ref="Z171">IF(AND(E171:G171="-"),0,IF(OR(NOT(ISERROR(SEARCH("+*",H171:L171)))),2,IF(OR(NOT(ISERROR(SEARCH("--*",E171:L171)))),-1,IF(OR(NOT(E171:G171="")),1,0))))</f>
        <v>1</v>
      </c>
      <c r="AA171" s="14">
        <v>296</v>
      </c>
      <c r="AB171" s="12"/>
    </row>
    <row r="172" spans="1:28" ht="25.5">
      <c r="A172" s="41">
        <v>267</v>
      </c>
      <c r="B172" s="66" t="s">
        <v>734</v>
      </c>
      <c r="C172" s="66" t="s">
        <v>717</v>
      </c>
      <c r="D172" s="66" t="s">
        <v>735</v>
      </c>
      <c r="E172" s="43"/>
      <c r="F172" s="57"/>
      <c r="G172" s="53" t="s">
        <v>42</v>
      </c>
      <c r="H172" s="46"/>
      <c r="I172" s="47"/>
      <c r="J172" s="48"/>
      <c r="K172" s="49"/>
      <c r="L172" s="46"/>
      <c r="M172" s="69" t="s">
        <v>43</v>
      </c>
      <c r="N172" s="66" t="s">
        <v>736</v>
      </c>
      <c r="O172" s="68">
        <v>2</v>
      </c>
      <c r="P172" s="50" t="e">
        <v>#REF!</v>
      </c>
      <c r="Q172" s="62"/>
      <c r="R172" s="51"/>
      <c r="S172" s="51"/>
      <c r="T172" s="12"/>
      <c r="U172" s="12"/>
      <c r="V172" s="12"/>
      <c r="W172" s="12"/>
      <c r="X172" s="14" t="e">
        <f t="array" ref="X172">IF(OR(AND(#REF!=""),AND(#REF!="-"),OR(NOT(ISERROR(SEARCH("-*",H172:L172))))),0,1)</f>
        <v>#REF!</v>
      </c>
      <c r="Y172" s="12"/>
      <c r="Z172" s="14">
        <f t="array" ref="Z172">IF(AND(E172:G172="-"),0,IF(OR(NOT(ISERROR(SEARCH("+*",H172:L172)))),2,IF(OR(NOT(ISERROR(SEARCH("--*",E172:L172)))),-1,IF(OR(NOT(E172:G172="")),1,0))))</f>
        <v>1</v>
      </c>
      <c r="AA172" s="14">
        <v>297</v>
      </c>
      <c r="AB172" s="12"/>
    </row>
    <row r="173" spans="1:28" ht="331.5">
      <c r="A173" s="41">
        <v>271</v>
      </c>
      <c r="B173" s="66" t="s">
        <v>737</v>
      </c>
      <c r="C173" s="66" t="s">
        <v>738</v>
      </c>
      <c r="D173" s="66" t="s">
        <v>739</v>
      </c>
      <c r="E173" s="43"/>
      <c r="F173" s="57"/>
      <c r="G173" s="53" t="s">
        <v>42</v>
      </c>
      <c r="H173" s="46"/>
      <c r="I173" s="47"/>
      <c r="J173" s="48"/>
      <c r="K173" s="49"/>
      <c r="L173" s="46"/>
      <c r="M173" s="56" t="s">
        <v>86</v>
      </c>
      <c r="N173" s="54" t="s">
        <v>740</v>
      </c>
      <c r="O173" s="68">
        <v>0</v>
      </c>
      <c r="P173" s="50" t="e">
        <v>#REF!</v>
      </c>
      <c r="Q173" s="62"/>
      <c r="R173" s="51" t="s">
        <v>43</v>
      </c>
      <c r="S173" s="51" t="s">
        <v>741</v>
      </c>
      <c r="T173" s="12"/>
      <c r="U173" s="12"/>
      <c r="V173" s="12"/>
      <c r="W173" s="12"/>
      <c r="X173" s="14" t="e">
        <f t="array" ref="X173">IF(OR(AND(#REF!=""),AND(#REF!="-"),OR(NOT(ISERROR(SEARCH("-*",H173:L173))))),0,1)</f>
        <v>#REF!</v>
      </c>
      <c r="Y173" s="12"/>
      <c r="Z173" s="14">
        <f t="array" ref="Z173">IF(AND(E173:G173="-"),0,IF(OR(NOT(ISERROR(SEARCH("+*",H173:L173)))),2,IF(OR(NOT(ISERROR(SEARCH("--*",E173:L173)))),-1,IF(OR(NOT(E173:G173="")),1,0))))</f>
        <v>1</v>
      </c>
      <c r="AA173" s="14">
        <v>302</v>
      </c>
      <c r="AB173" s="12"/>
    </row>
    <row r="174" spans="1:28" ht="25.5">
      <c r="A174" s="41">
        <v>272</v>
      </c>
      <c r="B174" s="66" t="s">
        <v>742</v>
      </c>
      <c r="C174" s="66" t="s">
        <v>743</v>
      </c>
      <c r="D174" s="66" t="s">
        <v>744</v>
      </c>
      <c r="E174" s="43"/>
      <c r="F174" s="57"/>
      <c r="G174" s="53" t="s">
        <v>42</v>
      </c>
      <c r="H174" s="46"/>
      <c r="I174" s="47"/>
      <c r="J174" s="48"/>
      <c r="K174" s="49"/>
      <c r="L174" s="46"/>
      <c r="M174" s="56" t="s">
        <v>86</v>
      </c>
      <c r="N174" s="54" t="s">
        <v>740</v>
      </c>
      <c r="O174" s="68">
        <v>0</v>
      </c>
      <c r="P174" s="50" t="e">
        <v>#REF!</v>
      </c>
      <c r="Q174" s="62"/>
      <c r="R174" s="51"/>
      <c r="S174" s="51"/>
      <c r="T174" s="12"/>
      <c r="U174" s="12"/>
      <c r="V174" s="12"/>
      <c r="W174" s="12"/>
      <c r="X174" s="14" t="e">
        <f t="array" ref="X174">IF(OR(AND(#REF!=""),AND(#REF!="-"),OR(NOT(ISERROR(SEARCH("-*",H174:L174))))),0,1)</f>
        <v>#REF!</v>
      </c>
      <c r="Y174" s="12"/>
      <c r="Z174" s="14">
        <f t="array" ref="Z174">IF(AND(E174:G174="-"),0,IF(OR(NOT(ISERROR(SEARCH("+*",H174:L174)))),2,IF(OR(NOT(ISERROR(SEARCH("--*",E174:L174)))),-1,IF(OR(NOT(E174:G174="")),1,0))))</f>
        <v>1</v>
      </c>
      <c r="AA174" s="14">
        <v>303</v>
      </c>
      <c r="AB174" s="12"/>
    </row>
    <row r="175" spans="1:28" ht="38.25">
      <c r="A175" s="41">
        <v>274</v>
      </c>
      <c r="B175" s="66" t="s">
        <v>745</v>
      </c>
      <c r="C175" s="66" t="s">
        <v>746</v>
      </c>
      <c r="D175" s="66" t="s">
        <v>747</v>
      </c>
      <c r="E175" s="43"/>
      <c r="F175" s="57"/>
      <c r="G175" s="53" t="s">
        <v>42</v>
      </c>
      <c r="H175" s="46"/>
      <c r="I175" s="47"/>
      <c r="J175" s="48"/>
      <c r="K175" s="49"/>
      <c r="L175" s="46"/>
      <c r="M175" s="56" t="s">
        <v>86</v>
      </c>
      <c r="N175" s="54" t="s">
        <v>740</v>
      </c>
      <c r="O175" s="68">
        <v>0</v>
      </c>
      <c r="P175" s="50" t="e">
        <v>#REF!</v>
      </c>
      <c r="Q175" s="62"/>
      <c r="R175" s="51"/>
      <c r="S175" s="51"/>
      <c r="T175" s="12"/>
      <c r="U175" s="12"/>
      <c r="V175" s="12"/>
      <c r="W175" s="12"/>
      <c r="X175" s="14" t="e">
        <f t="array" ref="X175">IF(OR(AND(#REF!=""),AND(#REF!="-"),OR(NOT(ISERROR(SEARCH("-*",H175:L175))))),0,1)</f>
        <v>#REF!</v>
      </c>
      <c r="Y175" s="12"/>
      <c r="Z175" s="14">
        <f t="array" ref="Z175">IF(AND(E175:G175="-"),0,IF(OR(NOT(ISERROR(SEARCH("+*",H175:L175)))),2,IF(OR(NOT(ISERROR(SEARCH("--*",E175:L175)))),-1,IF(OR(NOT(E175:G175="")),1,0))))</f>
        <v>1</v>
      </c>
      <c r="AA175" s="14">
        <v>305</v>
      </c>
      <c r="AB175" s="12"/>
    </row>
    <row r="176" spans="1:28" ht="331.5">
      <c r="A176" s="41">
        <v>275</v>
      </c>
      <c r="B176" s="66" t="s">
        <v>748</v>
      </c>
      <c r="C176" s="66" t="s">
        <v>749</v>
      </c>
      <c r="D176" s="66" t="s">
        <v>750</v>
      </c>
      <c r="E176" s="43" t="s">
        <v>42</v>
      </c>
      <c r="F176" s="57" t="s">
        <v>42</v>
      </c>
      <c r="G176" s="53" t="s">
        <v>42</v>
      </c>
      <c r="H176" s="46"/>
      <c r="I176" s="47"/>
      <c r="J176" s="48"/>
      <c r="K176" s="49"/>
      <c r="L176" s="46"/>
      <c r="M176" s="56" t="s">
        <v>86</v>
      </c>
      <c r="N176" s="54" t="s">
        <v>740</v>
      </c>
      <c r="O176" s="68">
        <v>0</v>
      </c>
      <c r="P176" s="50" t="e">
        <v>#REF!</v>
      </c>
      <c r="Q176" s="62" t="s">
        <v>44</v>
      </c>
      <c r="R176" s="51" t="s">
        <v>43</v>
      </c>
      <c r="S176" s="51" t="s">
        <v>751</v>
      </c>
      <c r="T176" s="12"/>
      <c r="U176" s="12"/>
      <c r="V176" s="12"/>
      <c r="W176" s="12"/>
      <c r="X176" s="14" t="e">
        <f t="array" ref="X176">IF(OR(AND(#REF!=""),AND(#REF!="-"),OR(NOT(ISERROR(SEARCH("-*",H176:L176))))),0,1)</f>
        <v>#REF!</v>
      </c>
      <c r="Y176" s="12"/>
      <c r="Z176" s="14">
        <f t="array" ref="Z176">IF(AND(E176:G176="-"),0,IF(OR(NOT(ISERROR(SEARCH("+*",H176:L176)))),2,IF(OR(NOT(ISERROR(SEARCH("--*",E176:L176)))),-1,IF(OR(NOT(E176:G176="")),1,0))))</f>
        <v>1</v>
      </c>
      <c r="AA176" s="14">
        <v>306</v>
      </c>
      <c r="AB176" s="12"/>
    </row>
    <row r="177" spans="1:28" ht="25.5">
      <c r="A177" s="41">
        <v>276</v>
      </c>
      <c r="B177" s="66" t="s">
        <v>752</v>
      </c>
      <c r="C177" s="66" t="s">
        <v>743</v>
      </c>
      <c r="D177" s="66" t="s">
        <v>753</v>
      </c>
      <c r="E177" s="43"/>
      <c r="F177" s="57"/>
      <c r="G177" s="53" t="s">
        <v>42</v>
      </c>
      <c r="H177" s="46"/>
      <c r="I177" s="47"/>
      <c r="J177" s="48"/>
      <c r="K177" s="49"/>
      <c r="L177" s="46"/>
      <c r="M177" s="56" t="s">
        <v>86</v>
      </c>
      <c r="N177" s="54" t="s">
        <v>740</v>
      </c>
      <c r="O177" s="68">
        <v>0</v>
      </c>
      <c r="P177" s="50" t="e">
        <v>#REF!</v>
      </c>
      <c r="Q177" s="62"/>
      <c r="R177" s="51"/>
      <c r="S177" s="51"/>
      <c r="T177" s="12"/>
      <c r="U177" s="12"/>
      <c r="V177" s="12"/>
      <c r="W177" s="12"/>
      <c r="X177" s="14" t="e">
        <f t="array" ref="X177">IF(OR(AND(#REF!=""),AND(#REF!="-"),OR(NOT(ISERROR(SEARCH("-*",H177:L177))))),0,1)</f>
        <v>#REF!</v>
      </c>
      <c r="Y177" s="12"/>
      <c r="Z177" s="14">
        <f t="array" ref="Z177">IF(AND(E177:G177="-"),0,IF(OR(NOT(ISERROR(SEARCH("+*",H177:L177)))),2,IF(OR(NOT(ISERROR(SEARCH("--*",E177:L177)))),-1,IF(OR(NOT(E177:G177="")),1,0))))</f>
        <v>1</v>
      </c>
      <c r="AA177" s="14">
        <v>307</v>
      </c>
      <c r="AB177" s="12"/>
    </row>
    <row r="178" spans="1:28" ht="38.25">
      <c r="A178" s="41">
        <v>277</v>
      </c>
      <c r="B178" s="66" t="s">
        <v>754</v>
      </c>
      <c r="C178" s="66" t="s">
        <v>746</v>
      </c>
      <c r="D178" s="66" t="s">
        <v>755</v>
      </c>
      <c r="E178" s="43"/>
      <c r="F178" s="57"/>
      <c r="G178" s="53" t="s">
        <v>42</v>
      </c>
      <c r="H178" s="46"/>
      <c r="I178" s="47"/>
      <c r="J178" s="48"/>
      <c r="K178" s="49"/>
      <c r="L178" s="46"/>
      <c r="M178" s="56" t="s">
        <v>86</v>
      </c>
      <c r="N178" s="54" t="s">
        <v>740</v>
      </c>
      <c r="O178" s="68">
        <v>0</v>
      </c>
      <c r="P178" s="50" t="e">
        <v>#REF!</v>
      </c>
      <c r="Q178" s="62"/>
      <c r="R178" s="51"/>
      <c r="S178" s="51"/>
      <c r="T178" s="12"/>
      <c r="U178" s="12"/>
      <c r="V178" s="12"/>
      <c r="W178" s="12"/>
      <c r="X178" s="14" t="e">
        <f t="array" ref="X178">IF(OR(AND(#REF!=""),AND(#REF!="-"),OR(NOT(ISERROR(SEARCH("-*",H178:L178))))),0,1)</f>
        <v>#REF!</v>
      </c>
      <c r="Y178" s="12"/>
      <c r="Z178" s="14">
        <f t="array" ref="Z178">IF(AND(E178:G178="-"),0,IF(OR(NOT(ISERROR(SEARCH("+*",H178:L178)))),2,IF(OR(NOT(ISERROR(SEARCH("--*",E178:L178)))),-1,IF(OR(NOT(E178:G178="")),1,0))))</f>
        <v>1</v>
      </c>
      <c r="AA178" s="14">
        <v>308</v>
      </c>
      <c r="AB178" s="12"/>
    </row>
    <row r="179" spans="1:28" ht="38.25">
      <c r="A179" s="41">
        <v>278</v>
      </c>
      <c r="B179" s="66" t="s">
        <v>756</v>
      </c>
      <c r="C179" s="66" t="s">
        <v>757</v>
      </c>
      <c r="D179" s="66" t="s">
        <v>758</v>
      </c>
      <c r="E179" s="43"/>
      <c r="F179" s="57"/>
      <c r="G179" s="53" t="s">
        <v>42</v>
      </c>
      <c r="H179" s="46"/>
      <c r="I179" s="47"/>
      <c r="J179" s="48"/>
      <c r="K179" s="49"/>
      <c r="L179" s="46"/>
      <c r="M179" s="56" t="s">
        <v>86</v>
      </c>
      <c r="N179" s="54" t="s">
        <v>740</v>
      </c>
      <c r="O179" s="68">
        <v>0</v>
      </c>
      <c r="P179" s="50" t="e">
        <v>#REF!</v>
      </c>
      <c r="Q179" s="62"/>
      <c r="R179" s="51"/>
      <c r="S179" s="51"/>
      <c r="T179" s="12"/>
      <c r="U179" s="12"/>
      <c r="V179" s="12"/>
      <c r="W179" s="12"/>
      <c r="X179" s="14" t="e">
        <f t="array" ref="X179">IF(OR(AND(#REF!=""),AND(#REF!="-"),OR(NOT(ISERROR(SEARCH("-*",H179:L179))))),0,1)</f>
        <v>#REF!</v>
      </c>
      <c r="Y179" s="12"/>
      <c r="Z179" s="14">
        <f t="array" ref="Z179">IF(AND(E179:G179="-"),0,IF(OR(NOT(ISERROR(SEARCH("+*",H179:L179)))),2,IF(OR(NOT(ISERROR(SEARCH("--*",E179:L179)))),-1,IF(OR(NOT(E179:G179="")),1,0))))</f>
        <v>1</v>
      </c>
      <c r="AA179" s="14">
        <v>309</v>
      </c>
      <c r="AB179" s="12"/>
    </row>
    <row r="180" spans="1:28" ht="76.5">
      <c r="A180" s="41">
        <v>281</v>
      </c>
      <c r="B180" s="66" t="s">
        <v>759</v>
      </c>
      <c r="C180" s="66" t="s">
        <v>760</v>
      </c>
      <c r="D180" s="66" t="s">
        <v>761</v>
      </c>
      <c r="E180" s="43"/>
      <c r="F180" s="57"/>
      <c r="G180" s="53" t="s">
        <v>42</v>
      </c>
      <c r="H180" s="46"/>
      <c r="I180" s="47"/>
      <c r="J180" s="48"/>
      <c r="K180" s="49"/>
      <c r="L180" s="46"/>
      <c r="M180" s="56" t="s">
        <v>86</v>
      </c>
      <c r="N180" s="54" t="s">
        <v>740</v>
      </c>
      <c r="O180" s="68">
        <v>0</v>
      </c>
      <c r="P180" s="50" t="e">
        <v>#REF!</v>
      </c>
      <c r="Q180" s="62" t="s">
        <v>62</v>
      </c>
      <c r="R180" s="51"/>
      <c r="S180" s="51"/>
      <c r="T180" s="12"/>
      <c r="U180" s="12"/>
      <c r="V180" s="12"/>
      <c r="W180" s="12"/>
      <c r="X180" s="14" t="e">
        <f t="array" ref="X180">IF(OR(AND(#REF!=""),AND(#REF!="-"),OR(NOT(ISERROR(SEARCH("-*",H180:L180))))),0,1)</f>
        <v>#REF!</v>
      </c>
      <c r="Y180" s="12"/>
      <c r="Z180" s="14">
        <f t="array" ref="Z180">IF(AND(E180:G180="-"),0,IF(OR(NOT(ISERROR(SEARCH("+*",H180:L180)))),2,IF(OR(NOT(ISERROR(SEARCH("--*",E180:L180)))),-1,IF(OR(NOT(E180:G180="")),1,0))))</f>
        <v>1</v>
      </c>
      <c r="AA180" s="14">
        <v>313</v>
      </c>
      <c r="AB180" s="12"/>
    </row>
    <row r="181" spans="1:28" ht="102">
      <c r="A181" s="41">
        <v>282</v>
      </c>
      <c r="B181" s="66" t="s">
        <v>762</v>
      </c>
      <c r="C181" s="66" t="s">
        <v>763</v>
      </c>
      <c r="D181" s="66" t="s">
        <v>764</v>
      </c>
      <c r="E181" s="43"/>
      <c r="F181" s="57"/>
      <c r="G181" s="53" t="s">
        <v>42</v>
      </c>
      <c r="H181" s="46"/>
      <c r="I181" s="47"/>
      <c r="J181" s="48"/>
      <c r="K181" s="49"/>
      <c r="L181" s="46"/>
      <c r="M181" s="56" t="s">
        <v>86</v>
      </c>
      <c r="N181" s="54" t="s">
        <v>740</v>
      </c>
      <c r="O181" s="68">
        <v>0</v>
      </c>
      <c r="P181" s="50" t="e">
        <v>#REF!</v>
      </c>
      <c r="Q181" s="62"/>
      <c r="R181" s="51"/>
      <c r="S181" s="51"/>
      <c r="T181" s="12"/>
      <c r="U181" s="12"/>
      <c r="V181" s="12"/>
      <c r="W181" s="12"/>
      <c r="X181" s="14" t="e">
        <f t="array" ref="X181">IF(OR(AND(#REF!=""),AND(#REF!="-"),OR(NOT(ISERROR(SEARCH("-*",H181:L181))))),0,1)</f>
        <v>#REF!</v>
      </c>
      <c r="Y181" s="12"/>
      <c r="Z181" s="14">
        <f t="array" ref="Z181">IF(AND(E181:G181="-"),0,IF(OR(NOT(ISERROR(SEARCH("+*",H181:L181)))),2,IF(OR(NOT(ISERROR(SEARCH("--*",E181:L181)))),-1,IF(OR(NOT(E181:G181="")),1,0))))</f>
        <v>1</v>
      </c>
      <c r="AA181" s="14">
        <v>314</v>
      </c>
      <c r="AB181" s="12"/>
    </row>
    <row r="182" spans="1:28" ht="38.25">
      <c r="A182" s="41">
        <v>283</v>
      </c>
      <c r="B182" s="66" t="s">
        <v>765</v>
      </c>
      <c r="C182" s="66" t="s">
        <v>766</v>
      </c>
      <c r="D182" s="66" t="s">
        <v>767</v>
      </c>
      <c r="E182" s="43"/>
      <c r="F182" s="57"/>
      <c r="G182" s="53" t="s">
        <v>42</v>
      </c>
      <c r="H182" s="46"/>
      <c r="I182" s="47"/>
      <c r="J182" s="48"/>
      <c r="K182" s="49"/>
      <c r="L182" s="46"/>
      <c r="M182" s="56" t="s">
        <v>437</v>
      </c>
      <c r="N182" s="54" t="s">
        <v>768</v>
      </c>
      <c r="O182" s="68">
        <v>0</v>
      </c>
      <c r="P182" s="50" t="e">
        <v>#REF!</v>
      </c>
      <c r="Q182" s="62"/>
      <c r="R182" s="51"/>
      <c r="S182" s="51"/>
      <c r="T182" s="12"/>
      <c r="U182" s="12"/>
      <c r="V182" s="12"/>
      <c r="W182" s="12"/>
      <c r="X182" s="14" t="e">
        <f t="array" ref="X182">IF(OR(AND(#REF!=""),AND(#REF!="-"),OR(NOT(ISERROR(SEARCH("-*",H182:L182))))),0,1)</f>
        <v>#REF!</v>
      </c>
      <c r="Y182" s="12"/>
      <c r="Z182" s="14">
        <f t="array" ref="Z182">IF(AND(E182:G182="-"),0,IF(OR(NOT(ISERROR(SEARCH("+*",H182:L182)))),2,IF(OR(NOT(ISERROR(SEARCH("--*",E182:L182)))),-1,IF(OR(NOT(E182:G182="")),1,0))))</f>
        <v>1</v>
      </c>
      <c r="AA182" s="14">
        <v>315</v>
      </c>
      <c r="AB182" s="12"/>
    </row>
    <row r="183" spans="1:28" ht="127.5">
      <c r="A183" s="41">
        <v>287</v>
      </c>
      <c r="B183" s="66" t="s">
        <v>769</v>
      </c>
      <c r="C183" s="66" t="s">
        <v>770</v>
      </c>
      <c r="D183" s="66" t="s">
        <v>771</v>
      </c>
      <c r="E183" s="43" t="s">
        <v>42</v>
      </c>
      <c r="F183" s="44" t="s">
        <v>42</v>
      </c>
      <c r="G183" s="53" t="s">
        <v>42</v>
      </c>
      <c r="H183" s="46"/>
      <c r="I183" s="47"/>
      <c r="J183" s="48"/>
      <c r="K183" s="49"/>
      <c r="L183" s="46"/>
      <c r="M183" s="56" t="s">
        <v>86</v>
      </c>
      <c r="N183" s="54" t="s">
        <v>243</v>
      </c>
      <c r="O183" s="68">
        <v>0</v>
      </c>
      <c r="P183" s="50" t="e">
        <v>#REF!</v>
      </c>
      <c r="Q183" s="62" t="s">
        <v>44</v>
      </c>
      <c r="R183" s="51"/>
      <c r="S183" s="51"/>
      <c r="T183" s="12"/>
      <c r="U183" s="12"/>
      <c r="V183" s="12"/>
      <c r="W183" s="12"/>
      <c r="X183" s="14" t="e">
        <f t="array" ref="X183">IF(OR(AND(#REF!=""),AND(#REF!="-"),OR(NOT(ISERROR(SEARCH("-*",H183:L183))))),0,1)</f>
        <v>#REF!</v>
      </c>
      <c r="Y183" s="12"/>
      <c r="Z183" s="14">
        <f t="array" ref="Z183">IF(AND(E183:G183="-"),0,IF(OR(NOT(ISERROR(SEARCH("+*",H183:L183)))),2,IF(OR(NOT(ISERROR(SEARCH("--*",E183:L183)))),-1,IF(OR(NOT(E183:G183="")),1,0))))</f>
        <v>1</v>
      </c>
      <c r="AA183" s="14">
        <v>319</v>
      </c>
      <c r="AB183" s="12"/>
    </row>
    <row r="184" spans="1:28" ht="38.25">
      <c r="A184" s="41">
        <v>288</v>
      </c>
      <c r="B184" s="66" t="s">
        <v>772</v>
      </c>
      <c r="C184" s="66" t="s">
        <v>773</v>
      </c>
      <c r="D184" s="66" t="s">
        <v>774</v>
      </c>
      <c r="E184" s="43"/>
      <c r="F184" s="44" t="s">
        <v>42</v>
      </c>
      <c r="G184" s="53" t="s">
        <v>42</v>
      </c>
      <c r="H184" s="46"/>
      <c r="I184" s="47"/>
      <c r="J184" s="48"/>
      <c r="K184" s="49"/>
      <c r="L184" s="46"/>
      <c r="M184" s="69" t="s">
        <v>86</v>
      </c>
      <c r="N184" s="54" t="s">
        <v>243</v>
      </c>
      <c r="O184" s="68">
        <v>0</v>
      </c>
      <c r="P184" s="50" t="e">
        <v>#REF!</v>
      </c>
      <c r="Q184" s="62" t="s">
        <v>62</v>
      </c>
      <c r="R184" s="51"/>
      <c r="S184" s="51"/>
      <c r="T184" s="12"/>
      <c r="U184" s="12"/>
      <c r="V184" s="12"/>
      <c r="W184" s="12"/>
      <c r="X184" s="14" t="e">
        <f t="array" ref="X184">IF(OR(AND(#REF!=""),AND(#REF!="-"),OR(NOT(ISERROR(SEARCH("-*",H184:L184))))),0,1)</f>
        <v>#REF!</v>
      </c>
      <c r="Y184" s="12"/>
      <c r="Z184" s="14">
        <f t="array" ref="Z184">IF(AND(E184:G184="-"),0,IF(OR(NOT(ISERROR(SEARCH("+*",H184:L184)))),2,IF(OR(NOT(ISERROR(SEARCH("--*",E184:L184)))),-1,IF(OR(NOT(E184:G184="")),1,0))))</f>
        <v>1</v>
      </c>
      <c r="AA184" s="14">
        <v>320</v>
      </c>
      <c r="AB184" s="12"/>
    </row>
    <row r="185" spans="1:28" ht="38.25">
      <c r="A185" s="41">
        <v>291</v>
      </c>
      <c r="B185" s="66" t="s">
        <v>775</v>
      </c>
      <c r="C185" s="66" t="s">
        <v>776</v>
      </c>
      <c r="D185" s="66" t="s">
        <v>777</v>
      </c>
      <c r="E185" s="43"/>
      <c r="F185" s="57"/>
      <c r="G185" s="53" t="s">
        <v>74</v>
      </c>
      <c r="H185" s="46"/>
      <c r="I185" s="47"/>
      <c r="J185" s="48"/>
      <c r="K185" s="49"/>
      <c r="L185" s="46"/>
      <c r="M185" s="56" t="s">
        <v>86</v>
      </c>
      <c r="N185" s="54" t="s">
        <v>243</v>
      </c>
      <c r="O185" s="68">
        <v>0</v>
      </c>
      <c r="P185" s="50" t="e">
        <v>#REF!</v>
      </c>
      <c r="Q185" s="62"/>
      <c r="R185" s="51"/>
      <c r="S185" s="51"/>
      <c r="T185" s="12"/>
      <c r="U185" s="12"/>
      <c r="V185" s="12"/>
      <c r="W185" s="12"/>
      <c r="X185" s="14" t="e">
        <f t="array" ref="X185">IF(OR(AND(#REF!=""),AND(#REF!="-"),OR(NOT(ISERROR(SEARCH("-*",H185:L185))))),0,1)</f>
        <v>#REF!</v>
      </c>
      <c r="Y185" s="12"/>
      <c r="Z185" s="14">
        <f t="array" ref="Z185">IF(AND(E185:G185="-"),0,IF(OR(NOT(ISERROR(SEARCH("+*",H185:L185)))),2,IF(OR(NOT(ISERROR(SEARCH("--*",E185:L185)))),-1,IF(OR(NOT(E185:G185="")),1,0))))</f>
        <v>1</v>
      </c>
      <c r="AA185" s="14">
        <v>324</v>
      </c>
      <c r="AB185" s="12"/>
    </row>
    <row r="186" spans="1:28" ht="63.75">
      <c r="A186" s="41">
        <v>294</v>
      </c>
      <c r="B186" s="66" t="s">
        <v>778</v>
      </c>
      <c r="C186" s="66" t="s">
        <v>779</v>
      </c>
      <c r="D186" s="66" t="s">
        <v>780</v>
      </c>
      <c r="E186" s="43"/>
      <c r="F186" s="57"/>
      <c r="G186" s="53" t="s">
        <v>42</v>
      </c>
      <c r="H186" s="46"/>
      <c r="I186" s="47"/>
      <c r="J186" s="48"/>
      <c r="K186" s="49"/>
      <c r="L186" s="46"/>
      <c r="M186" s="69" t="s">
        <v>43</v>
      </c>
      <c r="N186" s="54" t="s">
        <v>781</v>
      </c>
      <c r="O186" s="68">
        <v>2</v>
      </c>
      <c r="P186" s="50" t="e">
        <v>#REF!</v>
      </c>
      <c r="Q186" s="62"/>
      <c r="R186" s="51"/>
      <c r="S186" s="51"/>
      <c r="T186" s="12"/>
      <c r="U186" s="12"/>
      <c r="V186" s="12"/>
      <c r="W186" s="12"/>
      <c r="X186" s="14" t="e">
        <f t="array" ref="X186">IF(OR(AND(#REF!=""),AND(#REF!="-"),OR(NOT(ISERROR(SEARCH("-*",H186:L186))))),0,1)</f>
        <v>#REF!</v>
      </c>
      <c r="Y186" s="12"/>
      <c r="Z186" s="14">
        <f t="array" ref="Z186">IF(AND(E186:G186="-"),0,IF(OR(NOT(ISERROR(SEARCH("+*",H186:L186)))),2,IF(OR(NOT(ISERROR(SEARCH("--*",E186:L186)))),-1,IF(OR(NOT(E186:G186="")),1,0))))</f>
        <v>1</v>
      </c>
      <c r="AA186" s="14">
        <v>327</v>
      </c>
      <c r="AB186" s="12"/>
    </row>
    <row r="187" spans="1:28" ht="38.25">
      <c r="A187" s="41">
        <v>295</v>
      </c>
      <c r="B187" s="66" t="s">
        <v>782</v>
      </c>
      <c r="C187" s="66" t="s">
        <v>783</v>
      </c>
      <c r="D187" s="66" t="s">
        <v>784</v>
      </c>
      <c r="E187" s="43"/>
      <c r="F187" s="57" t="s">
        <v>42</v>
      </c>
      <c r="G187" s="53" t="s">
        <v>42</v>
      </c>
      <c r="H187" s="46"/>
      <c r="I187" s="47"/>
      <c r="J187" s="48"/>
      <c r="K187" s="49"/>
      <c r="L187" s="46"/>
      <c r="M187" s="56" t="s">
        <v>86</v>
      </c>
      <c r="N187" s="66" t="s">
        <v>785</v>
      </c>
      <c r="O187" s="68">
        <v>0</v>
      </c>
      <c r="P187" s="50" t="e">
        <v>#REF!</v>
      </c>
      <c r="Q187" s="65"/>
      <c r="R187" s="51"/>
      <c r="S187" s="51"/>
      <c r="T187" s="12"/>
      <c r="U187" s="12"/>
      <c r="V187" s="12"/>
      <c r="W187" s="12"/>
      <c r="X187" s="14" t="e">
        <f t="array" ref="X187">IF(OR(AND(#REF!=""),AND(#REF!="-"),OR(NOT(ISERROR(SEARCH("-*",H187:L187))))),0,1)</f>
        <v>#REF!</v>
      </c>
      <c r="Y187" s="12"/>
      <c r="Z187" s="14">
        <f t="array" ref="Z187">IF(AND(E187:G187="-"),0,IF(OR(NOT(ISERROR(SEARCH("+*",H187:L187)))),2,IF(OR(NOT(ISERROR(SEARCH("--*",E187:L187)))),-1,IF(OR(NOT(E187:G187="")),1,0))))</f>
        <v>1</v>
      </c>
      <c r="AA187" s="14">
        <v>329</v>
      </c>
      <c r="AB187" s="12"/>
    </row>
    <row r="188" spans="1:28" ht="216.75">
      <c r="A188" s="41">
        <v>301</v>
      </c>
      <c r="B188" s="66" t="s">
        <v>786</v>
      </c>
      <c r="C188" s="66" t="s">
        <v>787</v>
      </c>
      <c r="D188" s="42" t="s">
        <v>788</v>
      </c>
      <c r="E188" s="43" t="s">
        <v>42</v>
      </c>
      <c r="F188" s="44" t="s">
        <v>42</v>
      </c>
      <c r="G188" s="53"/>
      <c r="H188" s="46"/>
      <c r="I188" s="47"/>
      <c r="J188" s="48"/>
      <c r="K188" s="49"/>
      <c r="L188" s="46"/>
      <c r="M188" s="56" t="s">
        <v>43</v>
      </c>
      <c r="N188" s="54" t="s">
        <v>789</v>
      </c>
      <c r="O188" s="56">
        <v>1</v>
      </c>
      <c r="P188" s="50" t="e">
        <v>#REF!</v>
      </c>
      <c r="Q188" s="62" t="s">
        <v>62</v>
      </c>
      <c r="R188" s="51" t="s">
        <v>43</v>
      </c>
      <c r="S188" s="51" t="s">
        <v>790</v>
      </c>
      <c r="T188" s="12"/>
      <c r="U188" s="12"/>
      <c r="V188" s="12"/>
      <c r="W188" s="12"/>
      <c r="X188" s="14" t="e">
        <f t="array" ref="X188">IF(OR(AND(#REF!=""),AND(#REF!="-"),OR(NOT(ISERROR(SEARCH("-*",H188:L188))))),0,1)</f>
        <v>#REF!</v>
      </c>
      <c r="Y188" s="12"/>
      <c r="Z188" s="14">
        <f t="array" ref="Z188">IF(AND(E188:G188="-"),0,IF(OR(NOT(ISERROR(SEARCH("+*",H188:L188)))),2,IF(OR(NOT(ISERROR(SEARCH("--*",E188:L188)))),-1,IF(OR(NOT(E188:G188="")),1,0))))</f>
        <v>1</v>
      </c>
      <c r="AA188" s="14">
        <v>337</v>
      </c>
      <c r="AB188" s="12"/>
    </row>
    <row r="189" spans="1:28" ht="76.5">
      <c r="A189" s="41">
        <v>302</v>
      </c>
      <c r="B189" s="66" t="s">
        <v>791</v>
      </c>
      <c r="C189" s="66" t="s">
        <v>792</v>
      </c>
      <c r="D189" s="66" t="s">
        <v>793</v>
      </c>
      <c r="E189" s="43" t="s">
        <v>42</v>
      </c>
      <c r="F189" s="44" t="s">
        <v>42</v>
      </c>
      <c r="G189" s="53"/>
      <c r="H189" s="46"/>
      <c r="I189" s="58" t="s">
        <v>111</v>
      </c>
      <c r="J189" s="48"/>
      <c r="K189" s="59" t="s">
        <v>111</v>
      </c>
      <c r="L189" s="46"/>
      <c r="M189" s="56" t="s">
        <v>43</v>
      </c>
      <c r="N189" s="54" t="s">
        <v>794</v>
      </c>
      <c r="O189" s="56">
        <v>1</v>
      </c>
      <c r="P189" s="50" t="e">
        <v>#REF!</v>
      </c>
      <c r="Q189" s="62" t="s">
        <v>86</v>
      </c>
      <c r="R189" s="51" t="s">
        <v>51</v>
      </c>
      <c r="S189" s="51" t="s">
        <v>795</v>
      </c>
      <c r="T189" s="12"/>
      <c r="U189" s="12"/>
      <c r="V189" s="12"/>
      <c r="W189" s="12"/>
      <c r="X189" s="14" t="e">
        <f t="array" ref="X189">IF(OR(AND(#REF!=""),AND(#REF!="-"),OR(NOT(ISERROR(SEARCH("-*",H189:L189))))),0,1)</f>
        <v>#REF!</v>
      </c>
      <c r="Y189" s="12"/>
      <c r="Z189" s="14">
        <f t="array" ref="Z189">IF(AND(E189:G189="-"),0,IF(OR(NOT(ISERROR(SEARCH("+*",H189:L189)))),2,IF(OR(NOT(ISERROR(SEARCH("--*",E189:L189)))),-1,IF(OR(NOT(E189:G189="")),1,0))))</f>
        <v>2</v>
      </c>
      <c r="AA189" s="14">
        <v>338</v>
      </c>
      <c r="AB189" s="12"/>
    </row>
    <row r="190" spans="1:28" ht="25.5">
      <c r="A190" s="41">
        <v>303</v>
      </c>
      <c r="B190" s="66" t="s">
        <v>796</v>
      </c>
      <c r="C190" s="66" t="s">
        <v>797</v>
      </c>
      <c r="D190" s="66" t="s">
        <v>798</v>
      </c>
      <c r="E190" s="43" t="s">
        <v>42</v>
      </c>
      <c r="F190" s="44" t="s">
        <v>42</v>
      </c>
      <c r="G190" s="53"/>
      <c r="H190" s="46"/>
      <c r="I190" s="58" t="s">
        <v>111</v>
      </c>
      <c r="J190" s="48"/>
      <c r="K190" s="59" t="s">
        <v>111</v>
      </c>
      <c r="L190" s="46"/>
      <c r="M190" s="56" t="s">
        <v>84</v>
      </c>
      <c r="N190" s="54" t="s">
        <v>799</v>
      </c>
      <c r="O190" s="56">
        <v>1</v>
      </c>
      <c r="P190" s="50" t="e">
        <v>#REF!</v>
      </c>
      <c r="Q190" s="62" t="s">
        <v>86</v>
      </c>
      <c r="R190" s="51"/>
      <c r="S190" s="51"/>
      <c r="T190" s="12"/>
      <c r="U190" s="12"/>
      <c r="V190" s="12"/>
      <c r="W190" s="12"/>
      <c r="X190" s="14" t="e">
        <f t="array" ref="X190">IF(OR(AND(#REF!=""),AND(#REF!="-"),OR(NOT(ISERROR(SEARCH("-*",H190:L190))))),0,1)</f>
        <v>#REF!</v>
      </c>
      <c r="Y190" s="12"/>
      <c r="Z190" s="14">
        <f t="array" ref="Z190">IF(AND(E190:G190="-"),0,IF(OR(NOT(ISERROR(SEARCH("+*",H190:L190)))),2,IF(OR(NOT(ISERROR(SEARCH("--*",E190:L190)))),-1,IF(OR(NOT(E190:G190="")),1,0))))</f>
        <v>2</v>
      </c>
      <c r="AA190" s="14">
        <v>339</v>
      </c>
      <c r="AB190" s="12"/>
    </row>
    <row r="191" spans="1:28" ht="38.25">
      <c r="A191" s="41">
        <v>304</v>
      </c>
      <c r="B191" s="66" t="s">
        <v>800</v>
      </c>
      <c r="C191" s="66" t="s">
        <v>801</v>
      </c>
      <c r="D191" s="66" t="s">
        <v>802</v>
      </c>
      <c r="E191" s="43" t="s">
        <v>42</v>
      </c>
      <c r="F191" s="44" t="s">
        <v>42</v>
      </c>
      <c r="G191" s="53"/>
      <c r="H191" s="46"/>
      <c r="I191" s="58" t="s">
        <v>111</v>
      </c>
      <c r="J191" s="48"/>
      <c r="K191" s="59" t="s">
        <v>111</v>
      </c>
      <c r="L191" s="46"/>
      <c r="M191" s="56" t="s">
        <v>84</v>
      </c>
      <c r="N191" s="54" t="s">
        <v>799</v>
      </c>
      <c r="O191" s="56">
        <v>1</v>
      </c>
      <c r="P191" s="50" t="e">
        <v>#REF!</v>
      </c>
      <c r="Q191" s="62"/>
      <c r="R191" s="51"/>
      <c r="S191" s="51"/>
      <c r="T191" s="12"/>
      <c r="U191" s="12"/>
      <c r="V191" s="12"/>
      <c r="W191" s="12"/>
      <c r="X191" s="14" t="e">
        <f t="array" ref="X191">IF(OR(AND(#REF!=""),AND(#REF!="-"),OR(NOT(ISERROR(SEARCH("-*",H191:L191))))),0,1)</f>
        <v>#REF!</v>
      </c>
      <c r="Y191" s="12"/>
      <c r="Z191" s="14">
        <f t="array" ref="Z191">IF(AND(E191:G191="-"),0,IF(OR(NOT(ISERROR(SEARCH("+*",H191:L191)))),2,IF(OR(NOT(ISERROR(SEARCH("--*",E191:L191)))),-1,IF(OR(NOT(E191:G191="")),1,0))))</f>
        <v>2</v>
      </c>
      <c r="AA191" s="14">
        <v>340</v>
      </c>
      <c r="AB191" s="12"/>
    </row>
    <row r="192" spans="1:28" ht="25.5">
      <c r="A192" s="41">
        <v>305</v>
      </c>
      <c r="B192" s="66" t="s">
        <v>803</v>
      </c>
      <c r="C192" s="66" t="s">
        <v>804</v>
      </c>
      <c r="D192" s="66" t="s">
        <v>805</v>
      </c>
      <c r="E192" s="43" t="s">
        <v>42</v>
      </c>
      <c r="F192" s="44" t="s">
        <v>42</v>
      </c>
      <c r="G192" s="53"/>
      <c r="H192" s="46"/>
      <c r="I192" s="47" t="s">
        <v>342</v>
      </c>
      <c r="J192" s="48"/>
      <c r="K192" s="49"/>
      <c r="L192" s="46"/>
      <c r="M192" s="56" t="s">
        <v>84</v>
      </c>
      <c r="N192" s="54" t="s">
        <v>799</v>
      </c>
      <c r="O192" s="56">
        <v>1</v>
      </c>
      <c r="P192" s="50" t="e">
        <v>#REF!</v>
      </c>
      <c r="Q192" s="62"/>
      <c r="R192" s="51"/>
      <c r="S192" s="51"/>
      <c r="T192" s="12"/>
      <c r="U192" s="12"/>
      <c r="V192" s="12"/>
      <c r="W192" s="12"/>
      <c r="X192" s="14" t="e">
        <f t="array" ref="X192">IF(OR(AND(#REF!=""),AND(#REF!="-"),OR(NOT(ISERROR(SEARCH("-*",H192:L192))))),0,1)</f>
        <v>#REF!</v>
      </c>
      <c r="Y192" s="12"/>
      <c r="Z192" s="14">
        <f t="array" ref="Z192">IF(AND(E192:G192="-"),0,IF(OR(NOT(ISERROR(SEARCH("+*",H192:L192)))),2,IF(OR(NOT(ISERROR(SEARCH("--*",E192:L192)))),-1,IF(OR(NOT(E192:G192="")),1,0))))</f>
        <v>1</v>
      </c>
      <c r="AA192" s="14">
        <v>341</v>
      </c>
      <c r="AB192" s="12"/>
    </row>
    <row r="193" spans="1:28" ht="25.5">
      <c r="A193" s="41">
        <v>306</v>
      </c>
      <c r="B193" s="66" t="s">
        <v>806</v>
      </c>
      <c r="C193" s="66" t="s">
        <v>807</v>
      </c>
      <c r="D193" s="66" t="s">
        <v>808</v>
      </c>
      <c r="E193" s="43" t="s">
        <v>74</v>
      </c>
      <c r="F193" s="44" t="s">
        <v>74</v>
      </c>
      <c r="G193" s="53"/>
      <c r="H193" s="46"/>
      <c r="I193" s="47"/>
      <c r="J193" s="48"/>
      <c r="K193" s="49"/>
      <c r="L193" s="46"/>
      <c r="M193" s="56" t="s">
        <v>84</v>
      </c>
      <c r="N193" s="54" t="s">
        <v>799</v>
      </c>
      <c r="O193" s="56">
        <v>1</v>
      </c>
      <c r="P193" s="50" t="e">
        <v>#REF!</v>
      </c>
      <c r="Q193" s="62"/>
      <c r="R193" s="51"/>
      <c r="S193" s="51"/>
      <c r="T193" s="12"/>
      <c r="U193" s="12"/>
      <c r="V193" s="12"/>
      <c r="W193" s="12"/>
      <c r="X193" s="14" t="e">
        <f t="array" ref="X193">IF(OR(AND(#REF!=""),AND(#REF!="-"),OR(NOT(ISERROR(SEARCH("-*",H193:L193))))),0,1)</f>
        <v>#REF!</v>
      </c>
      <c r="Y193" s="12"/>
      <c r="Z193" s="14">
        <f t="array" ref="Z193">IF(AND(E193:G193="-"),0,IF(OR(NOT(ISERROR(SEARCH("+*",H193:L193)))),2,IF(OR(NOT(ISERROR(SEARCH("--*",E193:L193)))),-1,IF(OR(NOT(E193:G193="")),1,0))))</f>
        <v>1</v>
      </c>
      <c r="AA193" s="14">
        <v>342</v>
      </c>
      <c r="AB193" s="12"/>
    </row>
    <row r="194" spans="1:28" ht="25.5">
      <c r="A194" s="41">
        <v>307</v>
      </c>
      <c r="B194" s="66" t="s">
        <v>809</v>
      </c>
      <c r="C194" s="66" t="s">
        <v>810</v>
      </c>
      <c r="D194" s="66" t="s">
        <v>811</v>
      </c>
      <c r="E194" s="43" t="s">
        <v>74</v>
      </c>
      <c r="F194" s="44" t="s">
        <v>74</v>
      </c>
      <c r="G194" s="53"/>
      <c r="H194" s="46"/>
      <c r="I194" s="47"/>
      <c r="J194" s="48"/>
      <c r="K194" s="49"/>
      <c r="L194" s="46"/>
      <c r="M194" s="56" t="s">
        <v>43</v>
      </c>
      <c r="N194" s="54" t="s">
        <v>812</v>
      </c>
      <c r="O194" s="68">
        <v>0</v>
      </c>
      <c r="P194" s="50" t="e">
        <v>#REF!</v>
      </c>
      <c r="Q194" s="62"/>
      <c r="R194" s="51"/>
      <c r="S194" s="51"/>
      <c r="T194" s="12"/>
      <c r="U194" s="12"/>
      <c r="V194" s="12"/>
      <c r="W194" s="12"/>
      <c r="X194" s="14" t="e">
        <f t="array" ref="X194">IF(OR(AND(#REF!=""),AND(#REF!="-"),OR(NOT(ISERROR(SEARCH("-*",H194:L194))))),0,1)</f>
        <v>#REF!</v>
      </c>
      <c r="Y194" s="12"/>
      <c r="Z194" s="14">
        <f t="array" ref="Z194">IF(AND(E194:G194="-"),0,IF(OR(NOT(ISERROR(SEARCH("+*",H194:L194)))),2,IF(OR(NOT(ISERROR(SEARCH("--*",E194:L194)))),-1,IF(OR(NOT(E194:G194="")),1,0))))</f>
        <v>1</v>
      </c>
      <c r="AA194" s="14">
        <v>343</v>
      </c>
      <c r="AB194" s="12"/>
    </row>
    <row r="195" spans="1:28" ht="38.25">
      <c r="A195" s="41">
        <v>310</v>
      </c>
      <c r="B195" s="66" t="s">
        <v>813</v>
      </c>
      <c r="C195" s="66" t="s">
        <v>814</v>
      </c>
      <c r="D195" s="66" t="s">
        <v>815</v>
      </c>
      <c r="E195" s="43" t="s">
        <v>42</v>
      </c>
      <c r="F195" s="44" t="s">
        <v>42</v>
      </c>
      <c r="G195" s="53"/>
      <c r="H195" s="46"/>
      <c r="I195" s="47"/>
      <c r="J195" s="48"/>
      <c r="K195" s="49"/>
      <c r="L195" s="46"/>
      <c r="M195" s="56" t="s">
        <v>43</v>
      </c>
      <c r="N195" s="54" t="s">
        <v>816</v>
      </c>
      <c r="O195" s="68">
        <v>3</v>
      </c>
      <c r="P195" s="50" t="e">
        <v>#REF!</v>
      </c>
      <c r="Q195" s="62"/>
      <c r="R195" s="51"/>
      <c r="S195" s="51"/>
      <c r="T195" s="12"/>
      <c r="U195" s="12"/>
      <c r="V195" s="12"/>
      <c r="W195" s="12"/>
      <c r="X195" s="14" t="e">
        <f t="array" ref="X195">IF(OR(AND(#REF!=""),AND(#REF!="-"),OR(NOT(ISERROR(SEARCH("-*",H195:L195))))),0,1)</f>
        <v>#REF!</v>
      </c>
      <c r="Y195" s="12"/>
      <c r="Z195" s="14">
        <f t="array" ref="Z195">IF(AND(E195:G195="-"),0,IF(OR(NOT(ISERROR(SEARCH("+*",H195:L195)))),2,IF(OR(NOT(ISERROR(SEARCH("--*",E195:L195)))),-1,IF(OR(NOT(E195:G195="")),1,0))))</f>
        <v>1</v>
      </c>
      <c r="AA195" s="14">
        <v>346</v>
      </c>
      <c r="AB195" s="12"/>
    </row>
    <row r="196" spans="1:28" ht="51">
      <c r="A196" s="41">
        <v>311</v>
      </c>
      <c r="B196" s="66" t="s">
        <v>817</v>
      </c>
      <c r="C196" s="66" t="s">
        <v>818</v>
      </c>
      <c r="D196" s="66" t="s">
        <v>819</v>
      </c>
      <c r="E196" s="43" t="s">
        <v>74</v>
      </c>
      <c r="F196" s="44" t="s">
        <v>74</v>
      </c>
      <c r="G196" s="53"/>
      <c r="H196" s="46"/>
      <c r="I196" s="47"/>
      <c r="J196" s="48"/>
      <c r="K196" s="49"/>
      <c r="L196" s="46"/>
      <c r="M196" s="56" t="s">
        <v>43</v>
      </c>
      <c r="N196" s="54" t="s">
        <v>816</v>
      </c>
      <c r="O196" s="68">
        <v>3</v>
      </c>
      <c r="P196" s="50" t="e">
        <v>#REF!</v>
      </c>
      <c r="Q196" s="62"/>
      <c r="R196" s="51"/>
      <c r="S196" s="51"/>
      <c r="T196" s="12"/>
      <c r="U196" s="12"/>
      <c r="V196" s="12"/>
      <c r="W196" s="12"/>
      <c r="X196" s="14" t="e">
        <f t="array" ref="X196">IF(OR(AND(#REF!=""),AND(#REF!="-"),OR(NOT(ISERROR(SEARCH("-*",H196:L196))))),0,1)</f>
        <v>#REF!</v>
      </c>
      <c r="Y196" s="12"/>
      <c r="Z196" s="14">
        <f t="array" ref="Z196">IF(AND(E196:G196="-"),0,IF(OR(NOT(ISERROR(SEARCH("+*",H196:L196)))),2,IF(OR(NOT(ISERROR(SEARCH("--*",E196:L196)))),-1,IF(OR(NOT(E196:G196="")),1,0))))</f>
        <v>1</v>
      </c>
      <c r="AA196" s="14">
        <v>347</v>
      </c>
      <c r="AB196" s="12"/>
    </row>
    <row r="197" spans="1:28" ht="51">
      <c r="A197" s="41">
        <v>313</v>
      </c>
      <c r="B197" s="66" t="s">
        <v>820</v>
      </c>
      <c r="C197" s="66" t="s">
        <v>821</v>
      </c>
      <c r="D197" s="42" t="s">
        <v>822</v>
      </c>
      <c r="E197" s="43" t="s">
        <v>42</v>
      </c>
      <c r="F197" s="44" t="s">
        <v>42</v>
      </c>
      <c r="G197" s="53"/>
      <c r="H197" s="46"/>
      <c r="I197" s="47"/>
      <c r="J197" s="48"/>
      <c r="K197" s="49"/>
      <c r="L197" s="46"/>
      <c r="M197" s="56" t="s">
        <v>207</v>
      </c>
      <c r="N197" s="54" t="s">
        <v>823</v>
      </c>
      <c r="O197" s="68">
        <v>2</v>
      </c>
      <c r="P197" s="50" t="e">
        <v>#REF!</v>
      </c>
      <c r="Q197" s="62"/>
      <c r="R197" s="51"/>
      <c r="S197" s="51"/>
      <c r="T197" s="12"/>
      <c r="U197" s="12"/>
      <c r="V197" s="12"/>
      <c r="W197" s="12"/>
      <c r="X197" s="14" t="e">
        <f t="array" ref="X197">IF(OR(AND(#REF!=""),AND(#REF!="-"),OR(NOT(ISERROR(SEARCH("-*",H197:L197))))),0,1)</f>
        <v>#REF!</v>
      </c>
      <c r="Y197" s="12"/>
      <c r="Z197" s="14">
        <f t="array" ref="Z197">IF(AND(E197:G197="-"),0,IF(OR(NOT(ISERROR(SEARCH("+*",H197:L197)))),2,IF(OR(NOT(ISERROR(SEARCH("--*",E197:L197)))),-1,IF(OR(NOT(E197:G197="")),1,0))))</f>
        <v>1</v>
      </c>
      <c r="AA197" s="14">
        <v>349</v>
      </c>
      <c r="AB197" s="12"/>
    </row>
    <row r="198" spans="1:28" ht="25.5">
      <c r="A198" s="41">
        <v>314</v>
      </c>
      <c r="B198" s="66" t="s">
        <v>824</v>
      </c>
      <c r="C198" s="66" t="s">
        <v>825</v>
      </c>
      <c r="D198" s="66" t="s">
        <v>826</v>
      </c>
      <c r="E198" s="43" t="s">
        <v>42</v>
      </c>
      <c r="F198" s="44" t="s">
        <v>42</v>
      </c>
      <c r="G198" s="53"/>
      <c r="H198" s="46"/>
      <c r="I198" s="47"/>
      <c r="J198" s="48"/>
      <c r="K198" s="49"/>
      <c r="L198" s="46"/>
      <c r="M198" s="56" t="s">
        <v>84</v>
      </c>
      <c r="N198" s="54" t="s">
        <v>827</v>
      </c>
      <c r="O198" s="68">
        <v>2</v>
      </c>
      <c r="P198" s="50" t="e">
        <v>#REF!</v>
      </c>
      <c r="Q198" s="62" t="s">
        <v>86</v>
      </c>
      <c r="R198" s="51"/>
      <c r="S198" s="51"/>
      <c r="T198" s="12"/>
      <c r="U198" s="12"/>
      <c r="V198" s="12"/>
      <c r="W198" s="12"/>
      <c r="X198" s="14" t="e">
        <f t="array" ref="X198">IF(OR(AND(#REF!=""),AND(#REF!="-"),OR(NOT(ISERROR(SEARCH("-*",H198:L198))))),0,1)</f>
        <v>#REF!</v>
      </c>
      <c r="Y198" s="12"/>
      <c r="Z198" s="14">
        <f t="array" ref="Z198">IF(AND(E198:G198="-"),0,IF(OR(NOT(ISERROR(SEARCH("+*",H198:L198)))),2,IF(OR(NOT(ISERROR(SEARCH("--*",E198:L198)))),-1,IF(OR(NOT(E198:G198="")),1,0))))</f>
        <v>1</v>
      </c>
      <c r="AA198" s="14">
        <v>350</v>
      </c>
      <c r="AB198" s="12"/>
    </row>
    <row r="199" spans="1:28" ht="165.75">
      <c r="A199" s="41">
        <v>316</v>
      </c>
      <c r="B199" s="66" t="s">
        <v>828</v>
      </c>
      <c r="C199" s="66" t="s">
        <v>829</v>
      </c>
      <c r="D199" s="66" t="s">
        <v>830</v>
      </c>
      <c r="E199" s="43" t="s">
        <v>42</v>
      </c>
      <c r="F199" s="44" t="s">
        <v>42</v>
      </c>
      <c r="G199" s="53"/>
      <c r="H199" s="46"/>
      <c r="I199" s="47"/>
      <c r="J199" s="48"/>
      <c r="K199" s="49"/>
      <c r="L199" s="46"/>
      <c r="M199" s="56" t="s">
        <v>437</v>
      </c>
      <c r="N199" s="54" t="s">
        <v>831</v>
      </c>
      <c r="O199" s="56">
        <v>3</v>
      </c>
      <c r="P199" s="50" t="e">
        <v>#REF!</v>
      </c>
      <c r="Q199" s="62" t="s">
        <v>44</v>
      </c>
      <c r="R199" s="51" t="s">
        <v>43</v>
      </c>
      <c r="S199" s="51" t="s">
        <v>832</v>
      </c>
      <c r="T199" s="12"/>
      <c r="U199" s="12"/>
      <c r="V199" s="12"/>
      <c r="W199" s="12"/>
      <c r="X199" s="14" t="e">
        <f t="array" ref="X199">IF(OR(AND(#REF!=""),AND(#REF!="-"),OR(NOT(ISERROR(SEARCH("-*",H199:L199))))),0,1)</f>
        <v>#REF!</v>
      </c>
      <c r="Y199" s="12"/>
      <c r="Z199" s="14">
        <f t="array" ref="Z199">IF(AND(E199:G199="-"),0,IF(OR(NOT(ISERROR(SEARCH("+*",H199:L199)))),2,IF(OR(NOT(ISERROR(SEARCH("--*",E199:L199)))),-1,IF(OR(NOT(E199:G199="")),1,0))))</f>
        <v>1</v>
      </c>
      <c r="AA199" s="14">
        <v>352</v>
      </c>
      <c r="AB199" s="12"/>
    </row>
    <row r="200" spans="1:28" ht="38.25">
      <c r="A200" s="41">
        <v>317</v>
      </c>
      <c r="B200" s="66" t="s">
        <v>833</v>
      </c>
      <c r="C200" s="66" t="s">
        <v>834</v>
      </c>
      <c r="D200" s="42" t="s">
        <v>835</v>
      </c>
      <c r="E200" s="43" t="s">
        <v>74</v>
      </c>
      <c r="F200" s="44" t="s">
        <v>74</v>
      </c>
      <c r="G200" s="53"/>
      <c r="H200" s="46"/>
      <c r="I200" s="47"/>
      <c r="J200" s="48"/>
      <c r="K200" s="49"/>
      <c r="L200" s="46"/>
      <c r="M200" s="56" t="s">
        <v>437</v>
      </c>
      <c r="N200" s="54" t="s">
        <v>836</v>
      </c>
      <c r="O200" s="68">
        <v>3</v>
      </c>
      <c r="P200" s="50" t="e">
        <v>#REF!</v>
      </c>
      <c r="Q200" s="62" t="s">
        <v>86</v>
      </c>
      <c r="R200" s="51"/>
      <c r="S200" s="51"/>
      <c r="T200" s="12"/>
      <c r="U200" s="12"/>
      <c r="V200" s="12"/>
      <c r="W200" s="12"/>
      <c r="X200" s="14" t="e">
        <f t="array" ref="X200">IF(OR(AND(#REF!=""),AND(#REF!="-"),OR(NOT(ISERROR(SEARCH("-*",H200:L200))))),0,1)</f>
        <v>#REF!</v>
      </c>
      <c r="Y200" s="12"/>
      <c r="Z200" s="14">
        <f t="array" ref="Z200">IF(AND(E200:G200="-"),0,IF(OR(NOT(ISERROR(SEARCH("+*",H200:L200)))),2,IF(OR(NOT(ISERROR(SEARCH("--*",E200:L200)))),-1,IF(OR(NOT(E200:G200="")),1,0))))</f>
        <v>1</v>
      </c>
      <c r="AA200" s="14">
        <v>353</v>
      </c>
      <c r="AB200" s="12"/>
    </row>
    <row r="201" spans="1:28" ht="140.25">
      <c r="A201" s="41">
        <v>320</v>
      </c>
      <c r="B201" s="66" t="s">
        <v>837</v>
      </c>
      <c r="C201" s="66" t="s">
        <v>838</v>
      </c>
      <c r="D201" s="42" t="s">
        <v>839</v>
      </c>
      <c r="E201" s="43" t="s">
        <v>42</v>
      </c>
      <c r="F201" s="44" t="s">
        <v>42</v>
      </c>
      <c r="G201" s="53"/>
      <c r="H201" s="46"/>
      <c r="I201" s="47"/>
      <c r="J201" s="48"/>
      <c r="K201" s="49"/>
      <c r="L201" s="46"/>
      <c r="M201" s="56" t="s">
        <v>43</v>
      </c>
      <c r="N201" s="66"/>
      <c r="O201" s="68">
        <v>2</v>
      </c>
      <c r="P201" s="50" t="e">
        <v>#REF!</v>
      </c>
      <c r="Q201" s="62" t="s">
        <v>44</v>
      </c>
      <c r="R201" s="51"/>
      <c r="S201" s="51"/>
      <c r="T201" s="12"/>
      <c r="U201" s="12"/>
      <c r="V201" s="12"/>
      <c r="W201" s="12"/>
      <c r="X201" s="14" t="e">
        <f t="array" ref="X201">IF(OR(AND(#REF!=""),AND(#REF!="-"),OR(NOT(ISERROR(SEARCH("-*",H201:L201))))),0,1)</f>
        <v>#REF!</v>
      </c>
      <c r="Y201" s="12"/>
      <c r="Z201" s="14">
        <f t="array" ref="Z201">IF(AND(E201:G201="-"),0,IF(OR(NOT(ISERROR(SEARCH("+*",H201:L201)))),2,IF(OR(NOT(ISERROR(SEARCH("--*",E201:L201)))),-1,IF(OR(NOT(E201:G201="")),1,0))))</f>
        <v>1</v>
      </c>
      <c r="AA201" s="14">
        <v>357</v>
      </c>
      <c r="AB201" s="12"/>
    </row>
    <row r="202" spans="1:28" ht="114.75">
      <c r="A202" s="41">
        <v>324</v>
      </c>
      <c r="B202" s="66" t="s">
        <v>840</v>
      </c>
      <c r="C202" s="66" t="s">
        <v>841</v>
      </c>
      <c r="D202" s="66" t="s">
        <v>842</v>
      </c>
      <c r="E202" s="43" t="s">
        <v>74</v>
      </c>
      <c r="F202" s="44" t="s">
        <v>74</v>
      </c>
      <c r="G202" s="53"/>
      <c r="H202" s="46"/>
      <c r="I202" s="47"/>
      <c r="J202" s="48"/>
      <c r="K202" s="49"/>
      <c r="L202" s="46"/>
      <c r="M202" s="56" t="s">
        <v>43</v>
      </c>
      <c r="N202" s="66"/>
      <c r="O202" s="68">
        <v>2</v>
      </c>
      <c r="P202" s="50" t="e">
        <v>#REF!</v>
      </c>
      <c r="Q202" s="62" t="s">
        <v>44</v>
      </c>
      <c r="R202" s="51" t="s">
        <v>51</v>
      </c>
      <c r="S202" s="51" t="s">
        <v>843</v>
      </c>
      <c r="T202" s="12"/>
      <c r="U202" s="12"/>
      <c r="V202" s="12"/>
      <c r="W202" s="12"/>
      <c r="X202" s="14" t="e">
        <f t="array" ref="X202">IF(OR(AND(#REF!=""),AND(#REF!="-"),OR(NOT(ISERROR(SEARCH("-*",H202:L202))))),0,1)</f>
        <v>#REF!</v>
      </c>
      <c r="Y202" s="12"/>
      <c r="Z202" s="14">
        <f t="array" ref="Z202">IF(AND(E202:G202="-"),0,IF(OR(NOT(ISERROR(SEARCH("+*",H202:L202)))),2,IF(OR(NOT(ISERROR(SEARCH("--*",E202:L202)))),-1,IF(OR(NOT(E202:G202="")),1,0))))</f>
        <v>1</v>
      </c>
      <c r="AA202" s="14">
        <v>361</v>
      </c>
      <c r="AB202" s="12"/>
    </row>
    <row r="203" spans="1:28" ht="293.25">
      <c r="A203" s="41">
        <v>328</v>
      </c>
      <c r="B203" s="66" t="s">
        <v>844</v>
      </c>
      <c r="C203" s="66" t="s">
        <v>845</v>
      </c>
      <c r="D203" s="66" t="s">
        <v>846</v>
      </c>
      <c r="E203" s="43" t="s">
        <v>42</v>
      </c>
      <c r="F203" s="44" t="s">
        <v>42</v>
      </c>
      <c r="G203" s="53"/>
      <c r="H203" s="46"/>
      <c r="I203" s="47"/>
      <c r="J203" s="48"/>
      <c r="K203" s="49"/>
      <c r="L203" s="46"/>
      <c r="M203" s="56" t="s">
        <v>43</v>
      </c>
      <c r="N203" s="66"/>
      <c r="O203" s="68">
        <v>3</v>
      </c>
      <c r="P203" s="50" t="e">
        <v>#REF!</v>
      </c>
      <c r="Q203" s="62" t="s">
        <v>44</v>
      </c>
      <c r="R203" s="51" t="s">
        <v>43</v>
      </c>
      <c r="S203" s="51" t="s">
        <v>847</v>
      </c>
      <c r="T203" s="12"/>
      <c r="U203" s="12"/>
      <c r="V203" s="12"/>
      <c r="W203" s="12"/>
      <c r="X203" s="14" t="e">
        <f t="array" ref="X203">IF(OR(AND(#REF!=""),AND(#REF!="-"),OR(NOT(ISERROR(SEARCH("-*",H203:L203))))),0,1)</f>
        <v>#REF!</v>
      </c>
      <c r="Y203" s="12"/>
      <c r="Z203" s="14">
        <f t="array" ref="Z203">IF(AND(E203:G203="-"),0,IF(OR(NOT(ISERROR(SEARCH("+*",H203:L203)))),2,IF(OR(NOT(ISERROR(SEARCH("--*",E203:L203)))),-1,IF(OR(NOT(E203:G203="")),1,0))))</f>
        <v>1</v>
      </c>
      <c r="AA203" s="14">
        <v>365</v>
      </c>
      <c r="AB203" s="12"/>
    </row>
    <row r="204" spans="1:28" ht="267.75">
      <c r="A204" s="41">
        <v>329</v>
      </c>
      <c r="B204" s="66" t="s">
        <v>848</v>
      </c>
      <c r="C204" s="66" t="s">
        <v>849</v>
      </c>
      <c r="D204" s="66" t="s">
        <v>850</v>
      </c>
      <c r="E204" s="43" t="s">
        <v>42</v>
      </c>
      <c r="F204" s="44" t="s">
        <v>42</v>
      </c>
      <c r="G204" s="53"/>
      <c r="H204" s="46"/>
      <c r="I204" s="47"/>
      <c r="J204" s="48"/>
      <c r="K204" s="49"/>
      <c r="L204" s="46"/>
      <c r="M204" s="56" t="s">
        <v>43</v>
      </c>
      <c r="N204" s="66" t="s">
        <v>851</v>
      </c>
      <c r="O204" s="68">
        <v>2</v>
      </c>
      <c r="P204" s="50" t="e">
        <v>#REF!</v>
      </c>
      <c r="Q204" s="62" t="s">
        <v>44</v>
      </c>
      <c r="R204" s="51" t="s">
        <v>51</v>
      </c>
      <c r="S204" s="51" t="s">
        <v>852</v>
      </c>
      <c r="T204" s="12"/>
      <c r="U204" s="12"/>
      <c r="V204" s="12"/>
      <c r="W204" s="12"/>
      <c r="X204" s="14" t="e">
        <f t="array" ref="X204">IF(OR(AND(#REF!=""),AND(#REF!="-"),OR(NOT(ISERROR(SEARCH("-*",H204:L204))))),0,1)</f>
        <v>#REF!</v>
      </c>
      <c r="Y204" s="12"/>
      <c r="Z204" s="14">
        <f t="array" ref="Z204">IF(AND(E204:G204="-"),0,IF(OR(NOT(ISERROR(SEARCH("+*",H204:L204)))),2,IF(OR(NOT(ISERROR(SEARCH("--*",E204:L204)))),-1,IF(OR(NOT(E204:G204="")),1,0))))</f>
        <v>1</v>
      </c>
      <c r="AA204" s="14">
        <v>366</v>
      </c>
      <c r="AB204" s="12"/>
    </row>
    <row r="205" spans="1:28" ht="102">
      <c r="A205" s="41">
        <v>330</v>
      </c>
      <c r="B205" s="66" t="s">
        <v>853</v>
      </c>
      <c r="C205" s="66" t="s">
        <v>854</v>
      </c>
      <c r="D205" s="66" t="s">
        <v>855</v>
      </c>
      <c r="E205" s="43" t="s">
        <v>42</v>
      </c>
      <c r="F205" s="44" t="s">
        <v>42</v>
      </c>
      <c r="G205" s="53"/>
      <c r="H205" s="46"/>
      <c r="I205" s="58" t="s">
        <v>125</v>
      </c>
      <c r="J205" s="48"/>
      <c r="K205" s="49"/>
      <c r="L205" s="46"/>
      <c r="M205" s="56" t="s">
        <v>84</v>
      </c>
      <c r="N205" s="66" t="s">
        <v>856</v>
      </c>
      <c r="O205" s="68">
        <v>0</v>
      </c>
      <c r="P205" s="50" t="e">
        <v>#REF!</v>
      </c>
      <c r="Q205" s="62" t="s">
        <v>86</v>
      </c>
      <c r="R205" s="51" t="s">
        <v>51</v>
      </c>
      <c r="S205" s="51" t="s">
        <v>857</v>
      </c>
      <c r="T205" s="12"/>
      <c r="U205" s="12"/>
      <c r="V205" s="12"/>
      <c r="W205" s="12"/>
      <c r="X205" s="14" t="e">
        <f t="array" ref="X205">IF(OR(AND(#REF!=""),AND(#REF!="-"),OR(NOT(ISERROR(SEARCH("-*",H205:L205))))),0,1)</f>
        <v>#REF!</v>
      </c>
      <c r="Y205" s="12"/>
      <c r="Z205" s="14">
        <f t="array" ref="Z205">IF(AND(E205:G205="-"),0,IF(OR(NOT(ISERROR(SEARCH("+*",H205:L205)))),2,IF(OR(NOT(ISERROR(SEARCH("--*",E205:L205)))),-1,IF(OR(NOT(E205:G205="")),1,0))))</f>
        <v>2</v>
      </c>
      <c r="AA205" s="14">
        <v>367</v>
      </c>
      <c r="AB205" s="12"/>
    </row>
    <row r="206" spans="1:28" ht="267.75">
      <c r="A206" s="41">
        <v>331</v>
      </c>
      <c r="B206" s="66" t="s">
        <v>858</v>
      </c>
      <c r="C206" s="66" t="s">
        <v>859</v>
      </c>
      <c r="D206" s="42" t="s">
        <v>860</v>
      </c>
      <c r="E206" s="43"/>
      <c r="F206" s="57" t="s">
        <v>42</v>
      </c>
      <c r="G206" s="53"/>
      <c r="H206" s="46"/>
      <c r="I206" s="47"/>
      <c r="J206" s="48"/>
      <c r="K206" s="49"/>
      <c r="L206" s="46"/>
      <c r="M206" s="56" t="s">
        <v>43</v>
      </c>
      <c r="N206" s="66"/>
      <c r="O206" s="68">
        <v>2</v>
      </c>
      <c r="P206" s="50" t="e">
        <v>#REF!</v>
      </c>
      <c r="Q206" s="62" t="s">
        <v>44</v>
      </c>
      <c r="R206" s="51" t="s">
        <v>43</v>
      </c>
      <c r="S206" s="51" t="s">
        <v>861</v>
      </c>
      <c r="T206" s="12"/>
      <c r="U206" s="12"/>
      <c r="V206" s="12"/>
      <c r="W206" s="12"/>
      <c r="X206" s="14" t="e">
        <f t="array" ref="X206">IF(OR(AND(#REF!=""),AND(#REF!="-"),OR(NOT(ISERROR(SEARCH("-*",H206:L206))))),0,1)</f>
        <v>#REF!</v>
      </c>
      <c r="Y206" s="12"/>
      <c r="Z206" s="14">
        <f t="array" ref="Z206">IF(AND(E206:G206="-"),0,IF(OR(NOT(ISERROR(SEARCH("+*",H206:L206)))),2,IF(OR(NOT(ISERROR(SEARCH("--*",E206:L206)))),-1,IF(OR(NOT(E206:G206="")),1,0))))</f>
        <v>1</v>
      </c>
      <c r="AA206" s="14">
        <v>368</v>
      </c>
      <c r="AB206" s="12"/>
    </row>
    <row r="207" spans="1:28" ht="63.75">
      <c r="A207" s="41">
        <v>332</v>
      </c>
      <c r="B207" s="66" t="s">
        <v>862</v>
      </c>
      <c r="C207" s="66" t="s">
        <v>863</v>
      </c>
      <c r="D207" s="66" t="s">
        <v>864</v>
      </c>
      <c r="E207" s="43" t="s">
        <v>74</v>
      </c>
      <c r="F207" s="44" t="s">
        <v>74</v>
      </c>
      <c r="G207" s="53"/>
      <c r="H207" s="46"/>
      <c r="I207" s="47"/>
      <c r="J207" s="48"/>
      <c r="K207" s="49"/>
      <c r="L207" s="46"/>
      <c r="M207" s="56" t="s">
        <v>43</v>
      </c>
      <c r="N207" s="66" t="s">
        <v>865</v>
      </c>
      <c r="O207" s="68">
        <v>1</v>
      </c>
      <c r="P207" s="50" t="e">
        <v>#REF!</v>
      </c>
      <c r="Q207" s="62" t="s">
        <v>86</v>
      </c>
      <c r="R207" s="51" t="s">
        <v>51</v>
      </c>
      <c r="S207" s="51" t="s">
        <v>866</v>
      </c>
      <c r="T207" s="12"/>
      <c r="U207" s="12"/>
      <c r="V207" s="12"/>
      <c r="W207" s="12"/>
      <c r="X207" s="14" t="e">
        <f t="array" ref="X207">IF(OR(AND(#REF!=""),AND(#REF!="-"),OR(NOT(ISERROR(SEARCH("-*",H207:L207))))),0,1)</f>
        <v>#REF!</v>
      </c>
      <c r="Y207" s="12"/>
      <c r="Z207" s="14">
        <f t="array" ref="Z207">IF(AND(E207:G207="-"),0,IF(OR(NOT(ISERROR(SEARCH("+*",H207:L207)))),2,IF(OR(NOT(ISERROR(SEARCH("--*",E207:L207)))),-1,IF(OR(NOT(E207:G207="")),1,0))))</f>
        <v>1</v>
      </c>
      <c r="AA207" s="14">
        <v>369</v>
      </c>
      <c r="AB207" s="12"/>
    </row>
    <row r="208" spans="1:28" ht="38.25">
      <c r="A208" s="41">
        <v>335</v>
      </c>
      <c r="B208" s="66" t="s">
        <v>867</v>
      </c>
      <c r="C208" s="66" t="s">
        <v>868</v>
      </c>
      <c r="D208" s="66" t="s">
        <v>869</v>
      </c>
      <c r="E208" s="43" t="s">
        <v>74</v>
      </c>
      <c r="F208" s="57"/>
      <c r="G208" s="53"/>
      <c r="H208" s="46"/>
      <c r="I208" s="47"/>
      <c r="J208" s="48"/>
      <c r="K208" s="49"/>
      <c r="L208" s="46"/>
      <c r="M208" s="56" t="s">
        <v>56</v>
      </c>
      <c r="N208" s="66"/>
      <c r="O208" s="68">
        <v>2</v>
      </c>
      <c r="P208" s="50" t="e">
        <v>#REF!</v>
      </c>
      <c r="Q208" s="62"/>
      <c r="R208" s="51"/>
      <c r="S208" s="51"/>
      <c r="T208" s="12"/>
      <c r="U208" s="12"/>
      <c r="V208" s="12"/>
      <c r="W208" s="12"/>
      <c r="X208" s="14" t="e">
        <f t="array" ref="X208">IF(OR(AND(#REF!=""),AND(#REF!="-"),OR(NOT(ISERROR(SEARCH("-*",H208:L208))))),0,1)</f>
        <v>#REF!</v>
      </c>
      <c r="Y208" s="12"/>
      <c r="Z208" s="14">
        <f t="array" ref="Z208">IF(AND(E208:G208="-"),0,IF(OR(NOT(ISERROR(SEARCH("+*",H208:L208)))),2,IF(OR(NOT(ISERROR(SEARCH("--*",E208:L208)))),-1,IF(OR(NOT(E208:G208="")),1,0))))</f>
        <v>1</v>
      </c>
      <c r="AA208" s="14">
        <v>372</v>
      </c>
      <c r="AB208" s="12"/>
    </row>
    <row r="209" spans="1:28" ht="204">
      <c r="A209" s="41">
        <v>336</v>
      </c>
      <c r="B209" s="66" t="s">
        <v>870</v>
      </c>
      <c r="C209" s="66" t="s">
        <v>871</v>
      </c>
      <c r="D209" s="66" t="s">
        <v>872</v>
      </c>
      <c r="E209" s="43" t="s">
        <v>74</v>
      </c>
      <c r="F209" s="44" t="s">
        <v>74</v>
      </c>
      <c r="G209" s="53"/>
      <c r="H209" s="46"/>
      <c r="I209" s="47"/>
      <c r="J209" s="48"/>
      <c r="K209" s="49"/>
      <c r="L209" s="46"/>
      <c r="M209" s="56" t="s">
        <v>43</v>
      </c>
      <c r="N209" s="66"/>
      <c r="O209" s="68">
        <v>1</v>
      </c>
      <c r="P209" s="50" t="e">
        <v>#REF!</v>
      </c>
      <c r="Q209" s="62" t="s">
        <v>62</v>
      </c>
      <c r="R209" s="51" t="s">
        <v>43</v>
      </c>
      <c r="S209" s="51" t="s">
        <v>873</v>
      </c>
      <c r="T209" s="12"/>
      <c r="U209" s="12"/>
      <c r="V209" s="12"/>
      <c r="W209" s="12"/>
      <c r="X209" s="14" t="e">
        <f t="array" ref="X209">IF(OR(AND(#REF!=""),AND(#REF!="-"),OR(NOT(ISERROR(SEARCH("-*",H209:L209))))),0,1)</f>
        <v>#REF!</v>
      </c>
      <c r="Y209" s="12"/>
      <c r="Z209" s="14">
        <f t="array" ref="Z209">IF(AND(E209:G209="-"),0,IF(OR(NOT(ISERROR(SEARCH("+*",H209:L209)))),2,IF(OR(NOT(ISERROR(SEARCH("--*",E209:L209)))),-1,IF(OR(NOT(E209:G209="")),1,0))))</f>
        <v>1</v>
      </c>
      <c r="AA209" s="14">
        <v>373</v>
      </c>
      <c r="AB209" s="12"/>
    </row>
    <row r="210" spans="1:28" ht="51">
      <c r="A210" s="41">
        <v>339</v>
      </c>
      <c r="B210" s="66" t="s">
        <v>874</v>
      </c>
      <c r="C210" s="66" t="s">
        <v>875</v>
      </c>
      <c r="D210" s="42" t="s">
        <v>876</v>
      </c>
      <c r="E210" s="43"/>
      <c r="F210" s="44" t="s">
        <v>42</v>
      </c>
      <c r="G210" s="53"/>
      <c r="H210" s="46"/>
      <c r="I210" s="47"/>
      <c r="J210" s="48"/>
      <c r="K210" s="49"/>
      <c r="L210" s="46"/>
      <c r="M210" s="56" t="s">
        <v>437</v>
      </c>
      <c r="N210" s="66" t="s">
        <v>877</v>
      </c>
      <c r="O210" s="68">
        <v>0</v>
      </c>
      <c r="P210" s="50" t="e">
        <v>#REF!</v>
      </c>
      <c r="Q210" s="62"/>
      <c r="R210" s="51"/>
      <c r="S210" s="51"/>
      <c r="T210" s="12"/>
      <c r="U210" s="12"/>
      <c r="V210" s="12"/>
      <c r="W210" s="12"/>
      <c r="X210" s="14" t="e">
        <f t="array" ref="X210">IF(OR(AND(#REF!=""),AND(#REF!="-"),OR(NOT(ISERROR(SEARCH("-*",H210:L210))))),0,1)</f>
        <v>#REF!</v>
      </c>
      <c r="Y210" s="12"/>
      <c r="Z210" s="14">
        <f t="array" ref="Z210">IF(AND(E210:G210="-"),0,IF(OR(NOT(ISERROR(SEARCH("+*",H210:L210)))),2,IF(OR(NOT(ISERROR(SEARCH("--*",E210:L210)))),-1,IF(OR(NOT(E210:G210="")),1,0))))</f>
        <v>1</v>
      </c>
      <c r="AA210" s="14">
        <v>376</v>
      </c>
      <c r="AB210" s="12"/>
    </row>
    <row r="211" spans="1:28" ht="38.25">
      <c r="A211" s="41">
        <v>341</v>
      </c>
      <c r="B211" s="66" t="s">
        <v>878</v>
      </c>
      <c r="C211" s="66" t="s">
        <v>879</v>
      </c>
      <c r="D211" s="66" t="s">
        <v>880</v>
      </c>
      <c r="E211" s="43" t="s">
        <v>74</v>
      </c>
      <c r="F211" s="44" t="s">
        <v>74</v>
      </c>
      <c r="G211" s="53"/>
      <c r="H211" s="46"/>
      <c r="I211" s="47"/>
      <c r="J211" s="48"/>
      <c r="K211" s="49"/>
      <c r="L211" s="46"/>
      <c r="M211" s="56" t="s">
        <v>43</v>
      </c>
      <c r="N211" s="66"/>
      <c r="O211" s="68">
        <v>2</v>
      </c>
      <c r="P211" s="50" t="e">
        <v>#REF!</v>
      </c>
      <c r="Q211" s="62" t="s">
        <v>62</v>
      </c>
      <c r="R211" s="51"/>
      <c r="S211" s="51"/>
      <c r="T211" s="12"/>
      <c r="U211" s="12"/>
      <c r="V211" s="12"/>
      <c r="W211" s="12"/>
      <c r="X211" s="14" t="e">
        <f t="array" ref="X211">IF(OR(AND(#REF!=""),AND(#REF!="-"),OR(NOT(ISERROR(SEARCH("-*",H211:L211))))),0,1)</f>
        <v>#REF!</v>
      </c>
      <c r="Y211" s="12"/>
      <c r="Z211" s="14">
        <f t="array" ref="Z211">IF(AND(E211:G211="-"),0,IF(OR(NOT(ISERROR(SEARCH("+*",H211:L211)))),2,IF(OR(NOT(ISERROR(SEARCH("--*",E211:L211)))),-1,IF(OR(NOT(E211:G211="")),1,0))))</f>
        <v>1</v>
      </c>
      <c r="AA211" s="14">
        <v>378</v>
      </c>
      <c r="AB211" s="12"/>
    </row>
    <row r="212" spans="1:28" ht="51">
      <c r="A212" s="41">
        <v>342</v>
      </c>
      <c r="B212" s="66" t="s">
        <v>881</v>
      </c>
      <c r="C212" s="66" t="s">
        <v>882</v>
      </c>
      <c r="D212" s="66" t="s">
        <v>883</v>
      </c>
      <c r="E212" s="43" t="s">
        <v>74</v>
      </c>
      <c r="F212" s="44" t="s">
        <v>74</v>
      </c>
      <c r="G212" s="53"/>
      <c r="H212" s="46"/>
      <c r="I212" s="47"/>
      <c r="J212" s="48"/>
      <c r="K212" s="49"/>
      <c r="L212" s="46"/>
      <c r="M212" s="56" t="s">
        <v>84</v>
      </c>
      <c r="N212" s="66" t="s">
        <v>856</v>
      </c>
      <c r="O212" s="68">
        <v>0</v>
      </c>
      <c r="P212" s="50" t="e">
        <v>#REF!</v>
      </c>
      <c r="Q212" s="62"/>
      <c r="R212" s="51"/>
      <c r="S212" s="51"/>
      <c r="T212" s="12"/>
      <c r="U212" s="12"/>
      <c r="V212" s="12"/>
      <c r="W212" s="12"/>
      <c r="X212" s="14" t="e">
        <f t="array" ref="X212">IF(OR(AND(#REF!=""),AND(#REF!="-"),OR(NOT(ISERROR(SEARCH("-*",H212:L212))))),0,1)</f>
        <v>#REF!</v>
      </c>
      <c r="Y212" s="12"/>
      <c r="Z212" s="14">
        <f t="array" ref="Z212">IF(AND(E212:G212="-"),0,IF(OR(NOT(ISERROR(SEARCH("+*",H212:L212)))),2,IF(OR(NOT(ISERROR(SEARCH("--*",E212:L212)))),-1,IF(OR(NOT(E212:G212="")),1,0))))</f>
        <v>1</v>
      </c>
      <c r="AA212" s="14">
        <v>379</v>
      </c>
      <c r="AB212" s="12"/>
    </row>
    <row r="213" spans="1:28" ht="102">
      <c r="A213" s="41">
        <v>344</v>
      </c>
      <c r="B213" s="66" t="s">
        <v>884</v>
      </c>
      <c r="C213" s="66" t="s">
        <v>885</v>
      </c>
      <c r="D213" s="66" t="s">
        <v>886</v>
      </c>
      <c r="E213" s="43" t="s">
        <v>42</v>
      </c>
      <c r="F213" s="57"/>
      <c r="G213" s="53"/>
      <c r="H213" s="46"/>
      <c r="I213" s="47"/>
      <c r="J213" s="48"/>
      <c r="K213" s="49"/>
      <c r="L213" s="46"/>
      <c r="M213" s="56" t="s">
        <v>43</v>
      </c>
      <c r="N213" s="66"/>
      <c r="O213" s="68">
        <v>2</v>
      </c>
      <c r="P213" s="50" t="e">
        <v>#REF!</v>
      </c>
      <c r="Q213" s="62"/>
      <c r="R213" s="51" t="s">
        <v>51</v>
      </c>
      <c r="S213" s="51" t="s">
        <v>887</v>
      </c>
      <c r="T213" s="12"/>
      <c r="U213" s="12"/>
      <c r="V213" s="12"/>
      <c r="W213" s="12"/>
      <c r="X213" s="14" t="e">
        <f t="array" ref="X213">IF(OR(AND(#REF!=""),AND(#REF!="-"),OR(NOT(ISERROR(SEARCH("-*",H213:L213))))),0,1)</f>
        <v>#REF!</v>
      </c>
      <c r="Y213" s="12"/>
      <c r="Z213" s="14">
        <f t="array" ref="Z213">IF(AND(E213:G213="-"),0,IF(OR(NOT(ISERROR(SEARCH("+*",H213:L213)))),2,IF(OR(NOT(ISERROR(SEARCH("--*",E213:L213)))),-1,IF(OR(NOT(E213:G213="")),1,0))))</f>
        <v>1</v>
      </c>
      <c r="AA213" s="14">
        <v>381</v>
      </c>
      <c r="AB213" s="12"/>
    </row>
    <row r="214" spans="1:28" ht="51">
      <c r="A214" s="41">
        <v>345</v>
      </c>
      <c r="B214" s="66" t="s">
        <v>888</v>
      </c>
      <c r="C214" s="66" t="s">
        <v>889</v>
      </c>
      <c r="D214" s="66" t="s">
        <v>890</v>
      </c>
      <c r="E214" s="43" t="s">
        <v>42</v>
      </c>
      <c r="F214" s="44" t="s">
        <v>42</v>
      </c>
      <c r="G214" s="53"/>
      <c r="H214" s="46"/>
      <c r="I214" s="47"/>
      <c r="J214" s="48"/>
      <c r="K214" s="49"/>
      <c r="L214" s="46"/>
      <c r="M214" s="56" t="s">
        <v>86</v>
      </c>
      <c r="N214" s="54" t="s">
        <v>891</v>
      </c>
      <c r="O214" s="68">
        <v>0</v>
      </c>
      <c r="P214" s="50" t="e">
        <v>#REF!</v>
      </c>
      <c r="Q214" s="62" t="s">
        <v>86</v>
      </c>
      <c r="R214" s="51"/>
      <c r="S214" s="51"/>
      <c r="T214" s="12"/>
      <c r="U214" s="12"/>
      <c r="V214" s="12"/>
      <c r="W214" s="12"/>
      <c r="X214" s="14" t="e">
        <f t="array" ref="X214">IF(OR(AND(#REF!=""),AND(#REF!="-"),OR(NOT(ISERROR(SEARCH("-*",H214:L214))))),0,1)</f>
        <v>#REF!</v>
      </c>
      <c r="Y214" s="12"/>
      <c r="Z214" s="14">
        <f t="array" ref="Z214">IF(AND(E214:G214="-"),0,IF(OR(NOT(ISERROR(SEARCH("+*",H214:L214)))),2,IF(OR(NOT(ISERROR(SEARCH("--*",E214:L214)))),-1,IF(OR(NOT(E214:G214="")),1,0))))</f>
        <v>1</v>
      </c>
      <c r="AA214" s="14">
        <v>382</v>
      </c>
      <c r="AB214" s="12"/>
    </row>
    <row r="215" spans="1:28" ht="38.25">
      <c r="A215" s="41">
        <v>346</v>
      </c>
      <c r="B215" s="66" t="s">
        <v>892</v>
      </c>
      <c r="C215" s="66" t="s">
        <v>893</v>
      </c>
      <c r="D215" s="66" t="s">
        <v>894</v>
      </c>
      <c r="E215" s="43" t="s">
        <v>42</v>
      </c>
      <c r="F215" s="44" t="s">
        <v>42</v>
      </c>
      <c r="G215" s="53"/>
      <c r="H215" s="46"/>
      <c r="I215" s="47"/>
      <c r="J215" s="48"/>
      <c r="K215" s="49"/>
      <c r="L215" s="46"/>
      <c r="M215" s="56" t="s">
        <v>43</v>
      </c>
      <c r="N215" s="66"/>
      <c r="O215" s="68">
        <v>2</v>
      </c>
      <c r="P215" s="50" t="e">
        <v>#REF!</v>
      </c>
      <c r="Q215" s="62"/>
      <c r="R215" s="51"/>
      <c r="S215" s="51"/>
      <c r="T215" s="12"/>
      <c r="U215" s="12"/>
      <c r="V215" s="12"/>
      <c r="W215" s="12"/>
      <c r="X215" s="14" t="e">
        <f t="array" ref="X215">IF(OR(AND(#REF!=""),AND(#REF!="-"),OR(NOT(ISERROR(SEARCH("-*",H215:L215))))),0,1)</f>
        <v>#REF!</v>
      </c>
      <c r="Y215" s="12"/>
      <c r="Z215" s="14">
        <f t="array" ref="Z215">IF(AND(E215:G215="-"),0,IF(OR(NOT(ISERROR(SEARCH("+*",H215:L215)))),2,IF(OR(NOT(ISERROR(SEARCH("--*",E215:L215)))),-1,IF(OR(NOT(E215:G215="")),1,0))))</f>
        <v>1</v>
      </c>
      <c r="AA215" s="14">
        <v>383</v>
      </c>
      <c r="AB215" s="12"/>
    </row>
    <row r="216" spans="1:28" ht="38.25">
      <c r="A216" s="41">
        <v>347</v>
      </c>
      <c r="B216" s="66" t="s">
        <v>895</v>
      </c>
      <c r="C216" s="66" t="s">
        <v>896</v>
      </c>
      <c r="D216" s="66" t="s">
        <v>897</v>
      </c>
      <c r="E216" s="43" t="s">
        <v>42</v>
      </c>
      <c r="F216" s="44" t="s">
        <v>42</v>
      </c>
      <c r="G216" s="53"/>
      <c r="H216" s="46"/>
      <c r="I216" s="47"/>
      <c r="J216" s="48"/>
      <c r="K216" s="49"/>
      <c r="L216" s="46"/>
      <c r="M216" s="56" t="s">
        <v>43</v>
      </c>
      <c r="N216" s="66"/>
      <c r="O216" s="68">
        <v>3</v>
      </c>
      <c r="P216" s="50" t="e">
        <v>#REF!</v>
      </c>
      <c r="Q216" s="62"/>
      <c r="R216" s="51"/>
      <c r="S216" s="51"/>
      <c r="T216" s="12"/>
      <c r="U216" s="12"/>
      <c r="V216" s="12"/>
      <c r="W216" s="12"/>
      <c r="X216" s="14" t="e">
        <f t="array" ref="X216">IF(OR(AND(#REF!=""),AND(#REF!="-"),OR(NOT(ISERROR(SEARCH("-*",H216:L216))))),0,1)</f>
        <v>#REF!</v>
      </c>
      <c r="Y216" s="12"/>
      <c r="Z216" s="14">
        <f t="array" ref="Z216">IF(AND(E216:G216="-"),0,IF(OR(NOT(ISERROR(SEARCH("+*",H216:L216)))),2,IF(OR(NOT(ISERROR(SEARCH("--*",E216:L216)))),-1,IF(OR(NOT(E216:G216="")),1,0))))</f>
        <v>1</v>
      </c>
      <c r="AA216" s="14">
        <v>384</v>
      </c>
      <c r="AB216" s="12"/>
    </row>
    <row r="217" spans="1:28" ht="25.5">
      <c r="A217" s="41">
        <v>348</v>
      </c>
      <c r="B217" s="66" t="s">
        <v>898</v>
      </c>
      <c r="C217" s="66" t="s">
        <v>899</v>
      </c>
      <c r="D217" s="66" t="s">
        <v>900</v>
      </c>
      <c r="E217" s="43"/>
      <c r="F217" s="44" t="s">
        <v>42</v>
      </c>
      <c r="G217" s="53"/>
      <c r="H217" s="46"/>
      <c r="I217" s="47"/>
      <c r="J217" s="48"/>
      <c r="K217" s="49"/>
      <c r="L217" s="46"/>
      <c r="M217" s="56" t="s">
        <v>84</v>
      </c>
      <c r="N217" s="54" t="s">
        <v>243</v>
      </c>
      <c r="O217" s="56">
        <v>0</v>
      </c>
      <c r="P217" s="50" t="e">
        <v>#REF!</v>
      </c>
      <c r="Q217" s="62"/>
      <c r="R217" s="51"/>
      <c r="S217" s="51"/>
      <c r="T217" s="12"/>
      <c r="U217" s="12"/>
      <c r="V217" s="12"/>
      <c r="W217" s="12"/>
      <c r="X217" s="14" t="e">
        <f t="array" ref="X217">IF(OR(AND(#REF!=""),AND(#REF!="-"),OR(NOT(ISERROR(SEARCH("-*",H217:L217))))),0,1)</f>
        <v>#REF!</v>
      </c>
      <c r="Y217" s="12"/>
      <c r="Z217" s="14">
        <f t="array" ref="Z217">IF(AND(E217:G217="-"),0,IF(OR(NOT(ISERROR(SEARCH("+*",H217:L217)))),2,IF(OR(NOT(ISERROR(SEARCH("--*",E217:L217)))),-1,IF(OR(NOT(E217:G217="")),1,0))))</f>
        <v>1</v>
      </c>
      <c r="AA217" s="14">
        <v>385</v>
      </c>
      <c r="AB217" s="12"/>
    </row>
    <row r="218" spans="1:28" ht="38.25">
      <c r="A218" s="41">
        <v>349</v>
      </c>
      <c r="B218" s="66" t="s">
        <v>901</v>
      </c>
      <c r="C218" s="66" t="s">
        <v>902</v>
      </c>
      <c r="D218" s="66" t="s">
        <v>903</v>
      </c>
      <c r="E218" s="43"/>
      <c r="F218" s="44" t="s">
        <v>42</v>
      </c>
      <c r="G218" s="53"/>
      <c r="H218" s="46"/>
      <c r="I218" s="47"/>
      <c r="J218" s="48"/>
      <c r="K218" s="49"/>
      <c r="L218" s="46"/>
      <c r="M218" s="56" t="s">
        <v>84</v>
      </c>
      <c r="N218" s="54" t="s">
        <v>243</v>
      </c>
      <c r="O218" s="56">
        <v>0</v>
      </c>
      <c r="P218" s="50" t="e">
        <v>#REF!</v>
      </c>
      <c r="Q218" s="62" t="s">
        <v>86</v>
      </c>
      <c r="R218" s="51"/>
      <c r="S218" s="51"/>
      <c r="T218" s="12"/>
      <c r="U218" s="12"/>
      <c r="V218" s="12"/>
      <c r="W218" s="12"/>
      <c r="X218" s="14" t="e">
        <f t="array" ref="X218">IF(OR(AND(#REF!=""),AND(#REF!="-"),OR(NOT(ISERROR(SEARCH("-*",H218:L218))))),0,1)</f>
        <v>#REF!</v>
      </c>
      <c r="Y218" s="12"/>
      <c r="Z218" s="14">
        <f t="array" ref="Z218">IF(AND(E218:G218="-"),0,IF(OR(NOT(ISERROR(SEARCH("+*",H218:L218)))),2,IF(OR(NOT(ISERROR(SEARCH("--*",E218:L218)))),-1,IF(OR(NOT(E218:G218="")),1,0))))</f>
        <v>1</v>
      </c>
      <c r="AA218" s="14">
        <v>386</v>
      </c>
      <c r="AB218" s="12"/>
    </row>
    <row r="219" spans="1:28" ht="25.5">
      <c r="A219" s="41">
        <v>350</v>
      </c>
      <c r="B219" s="66" t="s">
        <v>904</v>
      </c>
      <c r="C219" s="66" t="s">
        <v>905</v>
      </c>
      <c r="D219" s="66" t="s">
        <v>906</v>
      </c>
      <c r="E219" s="43"/>
      <c r="F219" s="44" t="s">
        <v>42</v>
      </c>
      <c r="G219" s="53"/>
      <c r="H219" s="46"/>
      <c r="I219" s="47"/>
      <c r="J219" s="48"/>
      <c r="K219" s="49"/>
      <c r="L219" s="46"/>
      <c r="M219" s="56" t="s">
        <v>84</v>
      </c>
      <c r="N219" s="54" t="s">
        <v>243</v>
      </c>
      <c r="O219" s="56">
        <v>0</v>
      </c>
      <c r="P219" s="50" t="e">
        <v>#REF!</v>
      </c>
      <c r="Q219" s="62" t="s">
        <v>86</v>
      </c>
      <c r="R219" s="51"/>
      <c r="S219" s="51"/>
      <c r="T219" s="12"/>
      <c r="U219" s="12"/>
      <c r="V219" s="12"/>
      <c r="W219" s="12"/>
      <c r="X219" s="14" t="e">
        <f t="array" ref="X219">IF(OR(AND(#REF!=""),AND(#REF!="-"),OR(NOT(ISERROR(SEARCH("-*",H219:L219))))),0,1)</f>
        <v>#REF!</v>
      </c>
      <c r="Y219" s="12"/>
      <c r="Z219" s="14">
        <f t="array" ref="Z219">IF(AND(E219:G219="-"),0,IF(OR(NOT(ISERROR(SEARCH("+*",H219:L219)))),2,IF(OR(NOT(ISERROR(SEARCH("--*",E219:L219)))),-1,IF(OR(NOT(E219:G219="")),1,0))))</f>
        <v>1</v>
      </c>
      <c r="AA219" s="14">
        <v>387</v>
      </c>
      <c r="AB219" s="12"/>
    </row>
    <row r="220" spans="1:28" ht="216.75">
      <c r="A220" s="41">
        <v>357</v>
      </c>
      <c r="B220" s="66" t="s">
        <v>907</v>
      </c>
      <c r="C220" s="66" t="s">
        <v>908</v>
      </c>
      <c r="D220" s="42" t="s">
        <v>909</v>
      </c>
      <c r="E220" s="43" t="s">
        <v>42</v>
      </c>
      <c r="F220" s="44" t="s">
        <v>42</v>
      </c>
      <c r="G220" s="45" t="s">
        <v>42</v>
      </c>
      <c r="H220" s="46"/>
      <c r="I220" s="47"/>
      <c r="J220" s="48"/>
      <c r="K220" s="49"/>
      <c r="L220" s="46"/>
      <c r="M220" s="56" t="s">
        <v>43</v>
      </c>
      <c r="N220" s="54" t="s">
        <v>910</v>
      </c>
      <c r="O220" s="56">
        <v>1</v>
      </c>
      <c r="P220" s="50" t="e">
        <v>#REF!</v>
      </c>
      <c r="Q220" s="62" t="s">
        <v>44</v>
      </c>
      <c r="R220" s="51" t="s">
        <v>43</v>
      </c>
      <c r="S220" s="51" t="s">
        <v>911</v>
      </c>
      <c r="T220" s="12"/>
      <c r="U220" s="12"/>
      <c r="V220" s="12"/>
      <c r="W220" s="12"/>
      <c r="X220" s="14" t="e">
        <f t="array" ref="X220">IF(OR(AND(#REF!=""),AND(#REF!="-"),OR(NOT(ISERROR(SEARCH("-*",H220:L220))))),0,1)</f>
        <v>#REF!</v>
      </c>
      <c r="Y220" s="12"/>
      <c r="Z220" s="14">
        <f t="array" ref="Z220">IF(AND(E220:G220="-"),0,IF(OR(NOT(ISERROR(SEARCH("+*",H220:L220)))),2,IF(OR(NOT(ISERROR(SEARCH("--*",E220:L220)))),-1,IF(OR(NOT(E220:G220="")),1,0))))</f>
        <v>1</v>
      </c>
      <c r="AA220" s="14">
        <v>394</v>
      </c>
      <c r="AB220" s="12"/>
    </row>
    <row r="221" spans="1:28" ht="293.25">
      <c r="A221" s="41">
        <v>358</v>
      </c>
      <c r="B221" s="66" t="s">
        <v>912</v>
      </c>
      <c r="C221" s="66" t="s">
        <v>913</v>
      </c>
      <c r="D221" s="66" t="s">
        <v>914</v>
      </c>
      <c r="E221" s="43" t="s">
        <v>42</v>
      </c>
      <c r="F221" s="44" t="s">
        <v>42</v>
      </c>
      <c r="G221" s="45" t="s">
        <v>42</v>
      </c>
      <c r="H221" s="46"/>
      <c r="I221" s="47"/>
      <c r="J221" s="48"/>
      <c r="K221" s="49"/>
      <c r="L221" s="46"/>
      <c r="M221" s="56" t="s">
        <v>43</v>
      </c>
      <c r="N221" s="54" t="s">
        <v>915</v>
      </c>
      <c r="O221" s="56">
        <v>1</v>
      </c>
      <c r="P221" s="50" t="e">
        <v>#REF!</v>
      </c>
      <c r="Q221" s="62" t="s">
        <v>44</v>
      </c>
      <c r="R221" s="51" t="s">
        <v>43</v>
      </c>
      <c r="S221" s="51" t="s">
        <v>916</v>
      </c>
      <c r="T221" s="12"/>
      <c r="U221" s="12"/>
      <c r="V221" s="12"/>
      <c r="W221" s="12"/>
      <c r="X221" s="14" t="e">
        <f t="array" ref="X221">IF(OR(AND(#REF!=""),AND(#REF!="-"),OR(NOT(ISERROR(SEARCH("-*",H221:L221))))),0,1)</f>
        <v>#REF!</v>
      </c>
      <c r="Y221" s="12"/>
      <c r="Z221" s="14">
        <f t="array" ref="Z221">IF(AND(E221:G221="-"),0,IF(OR(NOT(ISERROR(SEARCH("+*",H221:L221)))),2,IF(OR(NOT(ISERROR(SEARCH("--*",E221:L221)))),-1,IF(OR(NOT(E221:G221="")),1,0))))</f>
        <v>1</v>
      </c>
      <c r="AA221" s="14">
        <v>395</v>
      </c>
      <c r="AB221" s="12"/>
    </row>
    <row r="222" spans="1:28" ht="191.25">
      <c r="A222" s="41">
        <v>361</v>
      </c>
      <c r="B222" s="66" t="s">
        <v>917</v>
      </c>
      <c r="C222" s="66" t="s">
        <v>918</v>
      </c>
      <c r="D222" s="42" t="s">
        <v>919</v>
      </c>
      <c r="E222" s="43" t="s">
        <v>42</v>
      </c>
      <c r="F222" s="44" t="s">
        <v>42</v>
      </c>
      <c r="G222" s="53" t="s">
        <v>42</v>
      </c>
      <c r="H222" s="46"/>
      <c r="I222" s="47"/>
      <c r="J222" s="48"/>
      <c r="K222" s="49"/>
      <c r="L222" s="46"/>
      <c r="M222" s="56" t="s">
        <v>43</v>
      </c>
      <c r="N222" s="66" t="s">
        <v>920</v>
      </c>
      <c r="O222" s="68">
        <v>2</v>
      </c>
      <c r="P222" s="50" t="e">
        <v>#REF!</v>
      </c>
      <c r="Q222" s="62" t="s">
        <v>86</v>
      </c>
      <c r="R222" s="51" t="s">
        <v>51</v>
      </c>
      <c r="S222" s="51" t="s">
        <v>921</v>
      </c>
      <c r="T222" s="12"/>
      <c r="U222" s="12"/>
      <c r="V222" s="12"/>
      <c r="W222" s="12"/>
      <c r="X222" s="14" t="e">
        <f t="array" ref="X222">IF(OR(AND(#REF!=""),AND(#REF!="-"),OR(NOT(ISERROR(SEARCH("-*",H222:L222))))),0,1)</f>
        <v>#REF!</v>
      </c>
      <c r="Y222" s="12"/>
      <c r="Z222" s="14">
        <f t="array" ref="Z222">IF(AND(E222:G222="-"),0,IF(OR(NOT(ISERROR(SEARCH("+*",H222:L222)))),2,IF(OR(NOT(ISERROR(SEARCH("--*",E222:L222)))),-1,IF(OR(NOT(E222:G222="")),1,0))))</f>
        <v>1</v>
      </c>
      <c r="AA222" s="14">
        <v>398</v>
      </c>
      <c r="AB222" s="12"/>
    </row>
    <row r="223" spans="1:28" ht="25.5">
      <c r="A223" s="41">
        <v>363</v>
      </c>
      <c r="B223" s="66" t="s">
        <v>922</v>
      </c>
      <c r="C223" s="66" t="s">
        <v>923</v>
      </c>
      <c r="D223" s="66" t="s">
        <v>924</v>
      </c>
      <c r="E223" s="43" t="s">
        <v>42</v>
      </c>
      <c r="F223" s="44" t="s">
        <v>42</v>
      </c>
      <c r="G223" s="53" t="s">
        <v>42</v>
      </c>
      <c r="H223" s="46"/>
      <c r="I223" s="47"/>
      <c r="J223" s="48"/>
      <c r="K223" s="49"/>
      <c r="L223" s="46"/>
      <c r="M223" s="56" t="s">
        <v>43</v>
      </c>
      <c r="N223" s="66" t="s">
        <v>925</v>
      </c>
      <c r="O223" s="68">
        <v>1</v>
      </c>
      <c r="P223" s="50" t="e">
        <v>#REF!</v>
      </c>
      <c r="Q223" s="62"/>
      <c r="R223" s="51"/>
      <c r="S223" s="51"/>
      <c r="T223" s="12"/>
      <c r="U223" s="12"/>
      <c r="V223" s="12"/>
      <c r="W223" s="12"/>
      <c r="X223" s="14" t="e">
        <f t="array" ref="X223">IF(OR(AND(#REF!=""),AND(#REF!="-"),OR(NOT(ISERROR(SEARCH("-*",H223:L223))))),0,1)</f>
        <v>#REF!</v>
      </c>
      <c r="Y223" s="12"/>
      <c r="Z223" s="14">
        <f t="array" ref="Z223">IF(AND(E223:G223="-"),0,IF(OR(NOT(ISERROR(SEARCH("+*",H223:L223)))),2,IF(OR(NOT(ISERROR(SEARCH("--*",E223:L223)))),-1,IF(OR(NOT(E223:G223="")),1,0))))</f>
        <v>1</v>
      </c>
      <c r="AA223" s="14">
        <v>400</v>
      </c>
      <c r="AB223" s="12"/>
    </row>
    <row r="224" spans="1:28" ht="153">
      <c r="A224" s="41">
        <v>364</v>
      </c>
      <c r="B224" s="66" t="s">
        <v>926</v>
      </c>
      <c r="C224" s="66" t="s">
        <v>927</v>
      </c>
      <c r="D224" s="66" t="s">
        <v>928</v>
      </c>
      <c r="E224" s="43" t="s">
        <v>42</v>
      </c>
      <c r="F224" s="44" t="s">
        <v>42</v>
      </c>
      <c r="G224" s="53" t="s">
        <v>42</v>
      </c>
      <c r="H224" s="46"/>
      <c r="I224" s="47"/>
      <c r="J224" s="48"/>
      <c r="K224" s="49"/>
      <c r="L224" s="46"/>
      <c r="M224" s="56" t="s">
        <v>43</v>
      </c>
      <c r="N224" s="66" t="s">
        <v>929</v>
      </c>
      <c r="O224" s="68">
        <v>2</v>
      </c>
      <c r="P224" s="50" t="e">
        <v>#REF!</v>
      </c>
      <c r="Q224" s="62" t="s">
        <v>86</v>
      </c>
      <c r="R224" s="51" t="s">
        <v>43</v>
      </c>
      <c r="S224" s="51" t="s">
        <v>930</v>
      </c>
      <c r="T224" s="12"/>
      <c r="U224" s="12"/>
      <c r="V224" s="12"/>
      <c r="W224" s="12"/>
      <c r="X224" s="14" t="e">
        <f t="array" ref="X224">IF(OR(AND(#REF!=""),AND(#REF!="-"),OR(NOT(ISERROR(SEARCH("-*",H224:L224))))),0,1)</f>
        <v>#REF!</v>
      </c>
      <c r="Y224" s="12"/>
      <c r="Z224" s="14">
        <f t="array" ref="Z224">IF(AND(E224:G224="-"),0,IF(OR(NOT(ISERROR(SEARCH("+*",H224:L224)))),2,IF(OR(NOT(ISERROR(SEARCH("--*",E224:L224)))),-1,IF(OR(NOT(E224:G224="")),1,0))))</f>
        <v>1</v>
      </c>
      <c r="AA224" s="14">
        <v>401</v>
      </c>
      <c r="AB224" s="12"/>
    </row>
    <row r="225" spans="1:28" ht="25.5">
      <c r="A225" s="41">
        <v>365</v>
      </c>
      <c r="B225" s="66" t="s">
        <v>931</v>
      </c>
      <c r="C225" s="66" t="s">
        <v>932</v>
      </c>
      <c r="D225" s="66" t="s">
        <v>933</v>
      </c>
      <c r="E225" s="43" t="s">
        <v>42</v>
      </c>
      <c r="F225" s="44" t="s">
        <v>42</v>
      </c>
      <c r="G225" s="53" t="s">
        <v>42</v>
      </c>
      <c r="H225" s="46"/>
      <c r="I225" s="58" t="s">
        <v>111</v>
      </c>
      <c r="J225" s="48"/>
      <c r="K225" s="49"/>
      <c r="L225" s="46"/>
      <c r="M225" s="56" t="s">
        <v>437</v>
      </c>
      <c r="N225" s="66"/>
      <c r="O225" s="68">
        <v>0</v>
      </c>
      <c r="P225" s="50" t="e">
        <v>#REF!</v>
      </c>
      <c r="Q225" s="62"/>
      <c r="R225" s="51"/>
      <c r="S225" s="51"/>
      <c r="T225" s="12"/>
      <c r="U225" s="12"/>
      <c r="V225" s="12"/>
      <c r="W225" s="12"/>
      <c r="X225" s="14" t="e">
        <f t="array" ref="X225">IF(OR(AND(#REF!=""),AND(#REF!="-"),OR(NOT(ISERROR(SEARCH("-*",H225:L225))))),0,1)</f>
        <v>#REF!</v>
      </c>
      <c r="Y225" s="12"/>
      <c r="Z225" s="14">
        <f t="array" ref="Z225">IF(AND(E225:G225="-"),0,IF(OR(NOT(ISERROR(SEARCH("+*",H225:L225)))),2,IF(OR(NOT(ISERROR(SEARCH("--*",E225:L225)))),-1,IF(OR(NOT(E225:G225="")),1,0))))</f>
        <v>2</v>
      </c>
      <c r="AA225" s="14">
        <v>402</v>
      </c>
      <c r="AB225" s="12"/>
    </row>
    <row r="226" spans="1:28" ht="63.75">
      <c r="A226" s="41">
        <v>367</v>
      </c>
      <c r="B226" s="66" t="s">
        <v>934</v>
      </c>
      <c r="C226" s="66" t="s">
        <v>935</v>
      </c>
      <c r="D226" s="42" t="s">
        <v>936</v>
      </c>
      <c r="E226" s="43" t="s">
        <v>74</v>
      </c>
      <c r="F226" s="44" t="s">
        <v>74</v>
      </c>
      <c r="G226" s="53" t="s">
        <v>74</v>
      </c>
      <c r="H226" s="46"/>
      <c r="I226" s="58" t="s">
        <v>111</v>
      </c>
      <c r="J226" s="48"/>
      <c r="K226" s="49"/>
      <c r="L226" s="46"/>
      <c r="M226" s="56" t="s">
        <v>43</v>
      </c>
      <c r="N226" s="66" t="s">
        <v>937</v>
      </c>
      <c r="O226" s="68">
        <v>1</v>
      </c>
      <c r="P226" s="50" t="e">
        <v>#REF!</v>
      </c>
      <c r="Q226" s="62" t="s">
        <v>44</v>
      </c>
      <c r="R226" s="51"/>
      <c r="S226" s="51"/>
      <c r="T226" s="12"/>
      <c r="U226" s="12"/>
      <c r="V226" s="12"/>
      <c r="W226" s="12"/>
      <c r="X226" s="14" t="e">
        <f t="array" ref="X226">IF(OR(AND(#REF!=""),AND(#REF!="-"),OR(NOT(ISERROR(SEARCH("-*",H226:L226))))),0,1)</f>
        <v>#REF!</v>
      </c>
      <c r="Y226" s="12"/>
      <c r="Z226" s="14">
        <f t="array" ref="Z226">IF(AND(E226:G226="-"),0,IF(OR(NOT(ISERROR(SEARCH("+*",H226:L226)))),2,IF(OR(NOT(ISERROR(SEARCH("--*",E226:L226)))),-1,IF(OR(NOT(E226:G226="")),1,0))))</f>
        <v>2</v>
      </c>
      <c r="AA226" s="14">
        <v>404</v>
      </c>
      <c r="AB226" s="12"/>
    </row>
    <row r="227" spans="1:28" ht="102">
      <c r="A227" s="41">
        <v>368</v>
      </c>
      <c r="B227" s="66" t="s">
        <v>938</v>
      </c>
      <c r="C227" s="66" t="s">
        <v>939</v>
      </c>
      <c r="D227" s="66" t="s">
        <v>940</v>
      </c>
      <c r="E227" s="43" t="s">
        <v>74</v>
      </c>
      <c r="F227" s="44" t="s">
        <v>74</v>
      </c>
      <c r="G227" s="53" t="s">
        <v>74</v>
      </c>
      <c r="H227" s="46"/>
      <c r="I227" s="47"/>
      <c r="J227" s="48"/>
      <c r="K227" s="49"/>
      <c r="L227" s="46"/>
      <c r="M227" s="56" t="s">
        <v>43</v>
      </c>
      <c r="N227" s="66"/>
      <c r="O227" s="68">
        <v>1</v>
      </c>
      <c r="P227" s="50" t="e">
        <v>#REF!</v>
      </c>
      <c r="Q227" s="62" t="s">
        <v>86</v>
      </c>
      <c r="R227" s="51" t="s">
        <v>43</v>
      </c>
      <c r="S227" s="51" t="s">
        <v>941</v>
      </c>
      <c r="T227" s="12"/>
      <c r="U227" s="12"/>
      <c r="V227" s="12"/>
      <c r="W227" s="12"/>
      <c r="X227" s="14" t="e">
        <f t="array" ref="X227">IF(OR(AND(#REF!=""),AND(#REF!="-"),OR(NOT(ISERROR(SEARCH("-*",H227:L227))))),0,1)</f>
        <v>#REF!</v>
      </c>
      <c r="Y227" s="12"/>
      <c r="Z227" s="14">
        <f t="array" ref="Z227">IF(AND(E227:G227="-"),0,IF(OR(NOT(ISERROR(SEARCH("+*",H227:L227)))),2,IF(OR(NOT(ISERROR(SEARCH("--*",E227:L227)))),-1,IF(OR(NOT(E227:G227="")),1,0))))</f>
        <v>1</v>
      </c>
      <c r="AA227" s="14">
        <v>405</v>
      </c>
      <c r="AB227" s="12"/>
    </row>
    <row r="228" spans="1:28" ht="204">
      <c r="A228" s="41">
        <v>370</v>
      </c>
      <c r="B228" s="66" t="s">
        <v>942</v>
      </c>
      <c r="C228" s="66" t="s">
        <v>943</v>
      </c>
      <c r="D228" s="66" t="s">
        <v>944</v>
      </c>
      <c r="E228" s="43" t="s">
        <v>74</v>
      </c>
      <c r="F228" s="44" t="s">
        <v>74</v>
      </c>
      <c r="G228" s="53" t="s">
        <v>74</v>
      </c>
      <c r="H228" s="46"/>
      <c r="I228" s="47"/>
      <c r="J228" s="48"/>
      <c r="K228" s="49"/>
      <c r="L228" s="46"/>
      <c r="M228" s="56" t="s">
        <v>43</v>
      </c>
      <c r="N228" s="66" t="s">
        <v>945</v>
      </c>
      <c r="O228" s="68">
        <v>2</v>
      </c>
      <c r="P228" s="50" t="e">
        <v>#REF!</v>
      </c>
      <c r="Q228" s="62"/>
      <c r="R228" s="51" t="s">
        <v>43</v>
      </c>
      <c r="S228" s="51" t="s">
        <v>946</v>
      </c>
      <c r="T228" s="12"/>
      <c r="U228" s="12"/>
      <c r="V228" s="12"/>
      <c r="W228" s="12"/>
      <c r="X228" s="14" t="e">
        <f t="array" ref="X228">IF(OR(AND(#REF!=""),AND(#REF!="-"),OR(NOT(ISERROR(SEARCH("-*",H228:L228))))),0,1)</f>
        <v>#REF!</v>
      </c>
      <c r="Y228" s="12"/>
      <c r="Z228" s="14">
        <f t="array" ref="Z228">IF(AND(E228:G228="-"),0,IF(OR(NOT(ISERROR(SEARCH("+*",H228:L228)))),2,IF(OR(NOT(ISERROR(SEARCH("--*",E228:L228)))),-1,IF(OR(NOT(E228:G228="")),1,0))))</f>
        <v>1</v>
      </c>
      <c r="AA228" s="14">
        <v>407</v>
      </c>
      <c r="AB228" s="12"/>
    </row>
    <row r="229" spans="1:28" ht="127.5">
      <c r="A229" s="41">
        <v>371</v>
      </c>
      <c r="B229" s="66" t="s">
        <v>947</v>
      </c>
      <c r="C229" s="66" t="s">
        <v>948</v>
      </c>
      <c r="D229" s="42" t="s">
        <v>949</v>
      </c>
      <c r="E229" s="43" t="s">
        <v>74</v>
      </c>
      <c r="F229" s="44" t="s">
        <v>74</v>
      </c>
      <c r="G229" s="53" t="s">
        <v>74</v>
      </c>
      <c r="H229" s="46"/>
      <c r="I229" s="47"/>
      <c r="J229" s="48"/>
      <c r="K229" s="49"/>
      <c r="L229" s="46"/>
      <c r="M229" s="56" t="s">
        <v>43</v>
      </c>
      <c r="N229" s="66" t="s">
        <v>950</v>
      </c>
      <c r="O229" s="68">
        <v>2</v>
      </c>
      <c r="P229" s="50" t="e">
        <v>#REF!</v>
      </c>
      <c r="Q229" s="62"/>
      <c r="R229" s="51" t="s">
        <v>43</v>
      </c>
      <c r="S229" s="51" t="s">
        <v>951</v>
      </c>
      <c r="T229" s="12"/>
      <c r="U229" s="12"/>
      <c r="V229" s="12"/>
      <c r="W229" s="12"/>
      <c r="X229" s="14" t="e">
        <f t="array" ref="X229">IF(OR(AND(#REF!=""),AND(#REF!="-"),OR(NOT(ISERROR(SEARCH("-*",H229:L229))))),0,1)</f>
        <v>#REF!</v>
      </c>
      <c r="Y229" s="12"/>
      <c r="Z229" s="14">
        <f t="array" ref="Z229">IF(AND(E229:G229="-"),0,IF(OR(NOT(ISERROR(SEARCH("+*",H229:L229)))),2,IF(OR(NOT(ISERROR(SEARCH("--*",E229:L229)))),-1,IF(OR(NOT(E229:G229="")),1,0))))</f>
        <v>1</v>
      </c>
      <c r="AA229" s="14">
        <v>408</v>
      </c>
      <c r="AB229" s="12"/>
    </row>
    <row r="230" spans="1:28" ht="178.5">
      <c r="A230" s="41">
        <v>372</v>
      </c>
      <c r="B230" s="66" t="s">
        <v>952</v>
      </c>
      <c r="C230" s="66" t="s">
        <v>953</v>
      </c>
      <c r="D230" s="42" t="s">
        <v>954</v>
      </c>
      <c r="E230" s="43" t="s">
        <v>74</v>
      </c>
      <c r="F230" s="44" t="s">
        <v>74</v>
      </c>
      <c r="G230" s="53" t="s">
        <v>74</v>
      </c>
      <c r="H230" s="46"/>
      <c r="I230" s="47"/>
      <c r="J230" s="48"/>
      <c r="K230" s="49"/>
      <c r="L230" s="46"/>
      <c r="M230" s="56" t="s">
        <v>43</v>
      </c>
      <c r="N230" s="66" t="s">
        <v>955</v>
      </c>
      <c r="O230" s="68">
        <v>1</v>
      </c>
      <c r="P230" s="50" t="e">
        <v>#REF!</v>
      </c>
      <c r="Q230" s="62" t="s">
        <v>86</v>
      </c>
      <c r="R230" s="51" t="s">
        <v>43</v>
      </c>
      <c r="S230" s="51" t="s">
        <v>956</v>
      </c>
      <c r="T230" s="12"/>
      <c r="U230" s="12"/>
      <c r="V230" s="12"/>
      <c r="W230" s="12"/>
      <c r="X230" s="14" t="e">
        <f t="array" ref="X230">IF(OR(AND(#REF!=""),AND(#REF!="-"),OR(NOT(ISERROR(SEARCH("-*",H230:L230))))),0,1)</f>
        <v>#REF!</v>
      </c>
      <c r="Y230" s="12"/>
      <c r="Z230" s="14">
        <f t="array" ref="Z230">IF(AND(E230:G230="-"),0,IF(OR(NOT(ISERROR(SEARCH("+*",H230:L230)))),2,IF(OR(NOT(ISERROR(SEARCH("--*",E230:L230)))),-1,IF(OR(NOT(E230:G230="")),1,0))))</f>
        <v>1</v>
      </c>
      <c r="AA230" s="14">
        <v>409</v>
      </c>
      <c r="AB230" s="12"/>
    </row>
    <row r="231" spans="1:28" ht="25.5">
      <c r="A231" s="41">
        <v>374</v>
      </c>
      <c r="B231" s="66" t="s">
        <v>957</v>
      </c>
      <c r="C231" s="66" t="s">
        <v>958</v>
      </c>
      <c r="D231" s="66" t="s">
        <v>959</v>
      </c>
      <c r="E231" s="43"/>
      <c r="F231" s="44"/>
      <c r="G231" s="53"/>
      <c r="H231" s="46"/>
      <c r="I231" s="58" t="s">
        <v>125</v>
      </c>
      <c r="J231" s="48"/>
      <c r="K231" s="61"/>
      <c r="L231" s="46"/>
      <c r="M231" s="56" t="s">
        <v>43</v>
      </c>
      <c r="N231" s="66" t="s">
        <v>960</v>
      </c>
      <c r="O231" s="68">
        <v>2</v>
      </c>
      <c r="P231" s="50" t="e">
        <v>#REF!</v>
      </c>
      <c r="Q231" s="62"/>
      <c r="R231" s="51"/>
      <c r="S231" s="51"/>
      <c r="T231" s="12"/>
      <c r="U231" s="12"/>
      <c r="V231" s="12"/>
      <c r="W231" s="12"/>
      <c r="X231" s="14" t="e">
        <f t="array" ref="X231">IF(OR(AND(#REF!=""),AND(#REF!="-"),OR(NOT(ISERROR(SEARCH("-*",H231:L231))))),0,1)</f>
        <v>#REF!</v>
      </c>
      <c r="Y231" s="12"/>
      <c r="Z231" s="14">
        <f t="array" ref="Z231">IF(AND(E231:G231="-"),0,IF(OR(NOT(ISERROR(SEARCH("+*",H231:L231)))),2,IF(OR(NOT(ISERROR(SEARCH("--*",E231:L231)))),-1,IF(OR(NOT(E231:G231="")),1,0))))</f>
        <v>2</v>
      </c>
      <c r="AA231" s="14">
        <v>411</v>
      </c>
      <c r="AB231" s="12"/>
    </row>
    <row r="232" spans="1:28" ht="127.5">
      <c r="A232" s="41">
        <v>375</v>
      </c>
      <c r="B232" s="66" t="s">
        <v>961</v>
      </c>
      <c r="C232" s="66" t="s">
        <v>962</v>
      </c>
      <c r="D232" s="66" t="s">
        <v>963</v>
      </c>
      <c r="E232" s="43" t="s">
        <v>42</v>
      </c>
      <c r="F232" s="44" t="s">
        <v>42</v>
      </c>
      <c r="G232" s="53" t="s">
        <v>42</v>
      </c>
      <c r="H232" s="46"/>
      <c r="I232" s="47"/>
      <c r="J232" s="48"/>
      <c r="K232" s="49"/>
      <c r="L232" s="46"/>
      <c r="M232" s="56" t="s">
        <v>43</v>
      </c>
      <c r="N232" s="66" t="s">
        <v>964</v>
      </c>
      <c r="O232" s="68">
        <v>1</v>
      </c>
      <c r="P232" s="50" t="e">
        <v>#REF!</v>
      </c>
      <c r="Q232" s="62" t="s">
        <v>86</v>
      </c>
      <c r="R232" s="51" t="s">
        <v>295</v>
      </c>
      <c r="S232" s="51" t="s">
        <v>965</v>
      </c>
      <c r="T232" s="12"/>
      <c r="U232" s="12"/>
      <c r="V232" s="12"/>
      <c r="W232" s="12"/>
      <c r="X232" s="14" t="e">
        <f t="array" ref="X232">IF(OR(AND(#REF!=""),AND(#REF!="-"),OR(NOT(ISERROR(SEARCH("-*",H232:L232))))),0,1)</f>
        <v>#REF!</v>
      </c>
      <c r="Y232" s="12"/>
      <c r="Z232" s="14">
        <f t="array" ref="Z232">IF(AND(E232:G232="-"),0,IF(OR(NOT(ISERROR(SEARCH("+*",H232:L232)))),2,IF(OR(NOT(ISERROR(SEARCH("--*",E232:L232)))),-1,IF(OR(NOT(E232:G232="")),1,0))))</f>
        <v>1</v>
      </c>
      <c r="AA232" s="14">
        <v>412</v>
      </c>
      <c r="AB232" s="12"/>
    </row>
    <row r="233" spans="1:28" ht="51">
      <c r="A233" s="41">
        <v>376</v>
      </c>
      <c r="B233" s="66" t="s">
        <v>966</v>
      </c>
      <c r="C233" s="66" t="s">
        <v>967</v>
      </c>
      <c r="D233" s="66" t="s">
        <v>968</v>
      </c>
      <c r="E233" s="43"/>
      <c r="F233" s="57"/>
      <c r="G233" s="53"/>
      <c r="H233" s="46"/>
      <c r="I233" s="58" t="s">
        <v>111</v>
      </c>
      <c r="J233" s="48"/>
      <c r="K233" s="49"/>
      <c r="L233" s="46"/>
      <c r="M233" s="56" t="s">
        <v>56</v>
      </c>
      <c r="N233" s="66" t="s">
        <v>969</v>
      </c>
      <c r="O233" s="68">
        <v>2</v>
      </c>
      <c r="P233" s="50" t="e">
        <v>#REF!</v>
      </c>
      <c r="Q233" s="62"/>
      <c r="R233" s="51"/>
      <c r="S233" s="51"/>
      <c r="T233" s="12"/>
      <c r="U233" s="12"/>
      <c r="V233" s="12"/>
      <c r="W233" s="12"/>
      <c r="X233" s="14" t="e">
        <f t="array" ref="X233">IF(OR(AND(#REF!=""),AND(#REF!="-"),OR(NOT(ISERROR(SEARCH("-*",H233:L233))))),0,1)</f>
        <v>#REF!</v>
      </c>
      <c r="Y233" s="12"/>
      <c r="Z233" s="14">
        <f t="array" ref="Z233">IF(AND(E233:G233="-"),0,IF(OR(NOT(ISERROR(SEARCH("+*",H233:L233)))),2,IF(OR(NOT(ISERROR(SEARCH("--*",E233:L233)))),-1,IF(OR(NOT(E233:G233="")),1,0))))</f>
        <v>2</v>
      </c>
      <c r="AA233" s="14">
        <v>413</v>
      </c>
      <c r="AB233" s="12"/>
    </row>
    <row r="234" spans="1:28" ht="127.5">
      <c r="A234" s="41">
        <v>377</v>
      </c>
      <c r="B234" s="66" t="s">
        <v>970</v>
      </c>
      <c r="C234" s="66" t="s">
        <v>971</v>
      </c>
      <c r="D234" s="66" t="s">
        <v>972</v>
      </c>
      <c r="E234" s="43" t="s">
        <v>42</v>
      </c>
      <c r="F234" s="44" t="s">
        <v>42</v>
      </c>
      <c r="G234" s="53" t="s">
        <v>42</v>
      </c>
      <c r="H234" s="46"/>
      <c r="I234" s="47"/>
      <c r="J234" s="48"/>
      <c r="K234" s="49"/>
      <c r="L234" s="46"/>
      <c r="M234" s="56" t="s">
        <v>43</v>
      </c>
      <c r="N234" s="66" t="s">
        <v>973</v>
      </c>
      <c r="O234" s="68">
        <v>1</v>
      </c>
      <c r="P234" s="50" t="e">
        <v>#REF!</v>
      </c>
      <c r="Q234" s="62" t="s">
        <v>44</v>
      </c>
      <c r="R234" s="51" t="s">
        <v>295</v>
      </c>
      <c r="S234" s="51" t="s">
        <v>974</v>
      </c>
      <c r="T234" s="12"/>
      <c r="U234" s="12"/>
      <c r="V234" s="12"/>
      <c r="W234" s="12"/>
      <c r="X234" s="14" t="e">
        <f t="array" ref="X234">IF(OR(AND(#REF!=""),AND(#REF!="-"),OR(NOT(ISERROR(SEARCH("-*",H234:L234))))),0,1)</f>
        <v>#REF!</v>
      </c>
      <c r="Y234" s="12"/>
      <c r="Z234" s="14">
        <f t="array" ref="Z234">IF(AND(E234:G234="-"),0,IF(OR(NOT(ISERROR(SEARCH("+*",H234:L234)))),2,IF(OR(NOT(ISERROR(SEARCH("--*",E234:L234)))),-1,IF(OR(NOT(E234:G234="")),1,0))))</f>
        <v>1</v>
      </c>
      <c r="AA234" s="14">
        <v>414</v>
      </c>
      <c r="AB234" s="12"/>
    </row>
    <row r="235" spans="1:28" ht="25.5">
      <c r="A235" s="41">
        <v>378</v>
      </c>
      <c r="B235" s="66" t="s">
        <v>975</v>
      </c>
      <c r="C235" s="66" t="s">
        <v>976</v>
      </c>
      <c r="D235" s="66" t="s">
        <v>977</v>
      </c>
      <c r="E235" s="43" t="s">
        <v>42</v>
      </c>
      <c r="F235" s="44" t="s">
        <v>42</v>
      </c>
      <c r="G235" s="53" t="s">
        <v>42</v>
      </c>
      <c r="H235" s="46"/>
      <c r="I235" s="47"/>
      <c r="J235" s="48"/>
      <c r="K235" s="49"/>
      <c r="L235" s="46"/>
      <c r="M235" s="56" t="s">
        <v>56</v>
      </c>
      <c r="N235" s="66" t="s">
        <v>978</v>
      </c>
      <c r="O235" s="68">
        <v>2</v>
      </c>
      <c r="P235" s="50" t="e">
        <v>#REF!</v>
      </c>
      <c r="Q235" s="62" t="s">
        <v>86</v>
      </c>
      <c r="R235" s="51"/>
      <c r="S235" s="51"/>
      <c r="T235" s="12"/>
      <c r="U235" s="12"/>
      <c r="V235" s="12"/>
      <c r="W235" s="12"/>
      <c r="X235" s="14" t="e">
        <f t="array" ref="X235">IF(OR(AND(#REF!=""),AND(#REF!="-"),OR(NOT(ISERROR(SEARCH("-*",H235:L235))))),0,1)</f>
        <v>#REF!</v>
      </c>
      <c r="Y235" s="12"/>
      <c r="Z235" s="14">
        <f t="array" ref="Z235">IF(AND(E235:G235="-"),0,IF(OR(NOT(ISERROR(SEARCH("+*",H235:L235)))),2,IF(OR(NOT(ISERROR(SEARCH("--*",E235:L235)))),-1,IF(OR(NOT(E235:G235="")),1,0))))</f>
        <v>1</v>
      </c>
      <c r="AA235" s="14">
        <v>415</v>
      </c>
      <c r="AB235" s="12"/>
    </row>
    <row r="236" spans="1:28" ht="89.25">
      <c r="A236" s="41">
        <v>379</v>
      </c>
      <c r="B236" s="66" t="s">
        <v>979</v>
      </c>
      <c r="C236" s="66" t="s">
        <v>980</v>
      </c>
      <c r="D236" s="42" t="s">
        <v>981</v>
      </c>
      <c r="E236" s="43" t="s">
        <v>74</v>
      </c>
      <c r="F236" s="44" t="s">
        <v>74</v>
      </c>
      <c r="G236" s="53" t="s">
        <v>74</v>
      </c>
      <c r="H236" s="46"/>
      <c r="I236" s="47"/>
      <c r="J236" s="48"/>
      <c r="K236" s="49"/>
      <c r="L236" s="46"/>
      <c r="M236" s="56" t="s">
        <v>43</v>
      </c>
      <c r="N236" s="66" t="s">
        <v>982</v>
      </c>
      <c r="O236" s="68">
        <v>2</v>
      </c>
      <c r="P236" s="50" t="e">
        <v>#REF!</v>
      </c>
      <c r="Q236" s="62" t="s">
        <v>86</v>
      </c>
      <c r="R236" s="51" t="s">
        <v>43</v>
      </c>
      <c r="S236" s="51" t="s">
        <v>983</v>
      </c>
      <c r="T236" s="12"/>
      <c r="U236" s="12"/>
      <c r="V236" s="12"/>
      <c r="W236" s="12"/>
      <c r="X236" s="14" t="e">
        <f t="array" ref="X236">IF(OR(AND(#REF!=""),AND(#REF!="-"),OR(NOT(ISERROR(SEARCH("-*",H236:L236))))),0,1)</f>
        <v>#REF!</v>
      </c>
      <c r="Y236" s="12"/>
      <c r="Z236" s="14">
        <f t="array" ref="Z236">IF(AND(E236:G236="-"),0,IF(OR(NOT(ISERROR(SEARCH("+*",H236:L236)))),2,IF(OR(NOT(ISERROR(SEARCH("--*",E236:L236)))),-1,IF(OR(NOT(E236:G236="")),1,0))))</f>
        <v>1</v>
      </c>
      <c r="AA236" s="14">
        <v>416</v>
      </c>
      <c r="AB236" s="12"/>
    </row>
    <row r="237" spans="1:28" ht="153">
      <c r="A237" s="41">
        <v>381</v>
      </c>
      <c r="B237" s="66" t="s">
        <v>984</v>
      </c>
      <c r="C237" s="66" t="s">
        <v>985</v>
      </c>
      <c r="D237" s="66" t="s">
        <v>986</v>
      </c>
      <c r="E237" s="43" t="s">
        <v>42</v>
      </c>
      <c r="F237" s="44" t="s">
        <v>42</v>
      </c>
      <c r="G237" s="53" t="s">
        <v>42</v>
      </c>
      <c r="H237" s="46"/>
      <c r="I237" s="47"/>
      <c r="J237" s="48"/>
      <c r="K237" s="49"/>
      <c r="L237" s="46"/>
      <c r="M237" s="56" t="s">
        <v>437</v>
      </c>
      <c r="N237" s="66" t="s">
        <v>987</v>
      </c>
      <c r="O237" s="68">
        <v>2</v>
      </c>
      <c r="P237" s="50" t="e">
        <v>#REF!</v>
      </c>
      <c r="Q237" s="62" t="s">
        <v>86</v>
      </c>
      <c r="R237" s="51" t="s">
        <v>51</v>
      </c>
      <c r="S237" s="51" t="s">
        <v>988</v>
      </c>
      <c r="T237" s="12"/>
      <c r="U237" s="12"/>
      <c r="V237" s="12"/>
      <c r="W237" s="12"/>
      <c r="X237" s="14" t="e">
        <f t="array" ref="X237">IF(OR(AND(#REF!=""),AND(#REF!="-"),OR(NOT(ISERROR(SEARCH("-*",H237:L237))))),0,1)</f>
        <v>#REF!</v>
      </c>
      <c r="Y237" s="12"/>
      <c r="Z237" s="14">
        <f t="array" ref="Z237">IF(AND(E237:G237="-"),0,IF(OR(NOT(ISERROR(SEARCH("+*",H237:L237)))),2,IF(OR(NOT(ISERROR(SEARCH("--*",E237:L237)))),-1,IF(OR(NOT(E237:G237="")),1,0))))</f>
        <v>1</v>
      </c>
      <c r="AA237" s="14">
        <v>418</v>
      </c>
      <c r="AB237" s="12"/>
    </row>
    <row r="238" spans="1:28" ht="51">
      <c r="A238" s="41">
        <v>382</v>
      </c>
      <c r="B238" s="66" t="s">
        <v>989</v>
      </c>
      <c r="C238" s="66" t="s">
        <v>990</v>
      </c>
      <c r="D238" s="66" t="s">
        <v>991</v>
      </c>
      <c r="E238" s="43" t="s">
        <v>42</v>
      </c>
      <c r="F238" s="44" t="s">
        <v>42</v>
      </c>
      <c r="G238" s="53" t="s">
        <v>42</v>
      </c>
      <c r="H238" s="46"/>
      <c r="I238" s="47"/>
      <c r="J238" s="48"/>
      <c r="K238" s="49"/>
      <c r="L238" s="46"/>
      <c r="M238" s="56" t="s">
        <v>437</v>
      </c>
      <c r="N238" s="75" t="s">
        <v>992</v>
      </c>
      <c r="O238" s="68">
        <v>2</v>
      </c>
      <c r="P238" s="50" t="e">
        <v>#REF!</v>
      </c>
      <c r="Q238" s="62" t="s">
        <v>86</v>
      </c>
      <c r="R238" s="51"/>
      <c r="S238" s="51"/>
      <c r="T238" s="12"/>
      <c r="U238" s="12"/>
      <c r="V238" s="12"/>
      <c r="W238" s="12"/>
      <c r="X238" s="14" t="e">
        <f t="array" ref="X238">IF(OR(AND(#REF!=""),AND(#REF!="-"),OR(NOT(ISERROR(SEARCH("-*",H238:L238))))),0,1)</f>
        <v>#REF!</v>
      </c>
      <c r="Y238" s="12"/>
      <c r="Z238" s="14">
        <f t="array" ref="Z238">IF(AND(E238:G238="-"),0,IF(OR(NOT(ISERROR(SEARCH("+*",H238:L238)))),2,IF(OR(NOT(ISERROR(SEARCH("--*",E238:L238)))),-1,IF(OR(NOT(E238:G238="")),1,0))))</f>
        <v>1</v>
      </c>
      <c r="AA238" s="14">
        <v>419</v>
      </c>
      <c r="AB238" s="12"/>
    </row>
    <row r="239" spans="1:28" ht="76.5">
      <c r="A239" s="41">
        <v>383</v>
      </c>
      <c r="B239" s="66" t="s">
        <v>993</v>
      </c>
      <c r="C239" s="66" t="s">
        <v>994</v>
      </c>
      <c r="D239" s="66" t="s">
        <v>995</v>
      </c>
      <c r="E239" s="43" t="s">
        <v>74</v>
      </c>
      <c r="F239" s="44" t="s">
        <v>74</v>
      </c>
      <c r="G239" s="53" t="s">
        <v>74</v>
      </c>
      <c r="H239" s="46"/>
      <c r="I239" s="47"/>
      <c r="J239" s="48"/>
      <c r="K239" s="49"/>
      <c r="L239" s="46"/>
      <c r="M239" s="56" t="s">
        <v>84</v>
      </c>
      <c r="N239" s="66"/>
      <c r="O239" s="68">
        <v>2</v>
      </c>
      <c r="P239" s="50" t="e">
        <v>#REF!</v>
      </c>
      <c r="Q239" s="62" t="s">
        <v>86</v>
      </c>
      <c r="R239" s="51"/>
      <c r="S239" s="51"/>
      <c r="T239" s="12"/>
      <c r="U239" s="12"/>
      <c r="V239" s="12"/>
      <c r="W239" s="12"/>
      <c r="X239" s="14" t="e">
        <f t="array" ref="X239">IF(OR(AND(#REF!=""),AND(#REF!="-"),OR(NOT(ISERROR(SEARCH("-*",H239:L239))))),0,1)</f>
        <v>#REF!</v>
      </c>
      <c r="Y239" s="12"/>
      <c r="Z239" s="14">
        <f t="array" ref="Z239">IF(AND(E239:G239="-"),0,IF(OR(NOT(ISERROR(SEARCH("+*",H239:L239)))),2,IF(OR(NOT(ISERROR(SEARCH("--*",E239:L239)))),-1,IF(OR(NOT(E239:G239="")),1,0))))</f>
        <v>1</v>
      </c>
      <c r="AA239" s="14">
        <v>420</v>
      </c>
      <c r="AB239" s="12"/>
    </row>
    <row r="240" spans="1:28" ht="344.25">
      <c r="A240" s="41">
        <v>384</v>
      </c>
      <c r="B240" s="66" t="s">
        <v>996</v>
      </c>
      <c r="C240" s="66" t="s">
        <v>997</v>
      </c>
      <c r="D240" s="42" t="s">
        <v>998</v>
      </c>
      <c r="E240" s="43" t="s">
        <v>42</v>
      </c>
      <c r="F240" s="44" t="s">
        <v>42</v>
      </c>
      <c r="G240" s="53" t="s">
        <v>42</v>
      </c>
      <c r="H240" s="46"/>
      <c r="I240" s="47"/>
      <c r="J240" s="48"/>
      <c r="K240" s="49"/>
      <c r="L240" s="46"/>
      <c r="M240" s="56" t="s">
        <v>43</v>
      </c>
      <c r="N240" s="76" t="s">
        <v>999</v>
      </c>
      <c r="O240" s="68">
        <v>1</v>
      </c>
      <c r="P240" s="50" t="e">
        <v>#REF!</v>
      </c>
      <c r="Q240" s="62" t="s">
        <v>44</v>
      </c>
      <c r="R240" s="51" t="s">
        <v>43</v>
      </c>
      <c r="S240" s="51" t="s">
        <v>1000</v>
      </c>
      <c r="T240" s="12"/>
      <c r="U240" s="12"/>
      <c r="V240" s="12"/>
      <c r="W240" s="12"/>
      <c r="X240" s="14" t="e">
        <f t="array" ref="X240">IF(OR(AND(#REF!=""),AND(#REF!="-"),OR(NOT(ISERROR(SEARCH("-*",H240:L240))))),0,1)</f>
        <v>#REF!</v>
      </c>
      <c r="Y240" s="12"/>
      <c r="Z240" s="14">
        <f t="array" ref="Z240">IF(AND(E240:G240="-"),0,IF(OR(NOT(ISERROR(SEARCH("+*",H240:L240)))),2,IF(OR(NOT(ISERROR(SEARCH("--*",E240:L240)))),-1,IF(OR(NOT(E240:G240="")),1,0))))</f>
        <v>1</v>
      </c>
      <c r="AA240" s="14">
        <v>421</v>
      </c>
      <c r="AB240" s="12"/>
    </row>
    <row r="241" spans="1:28" ht="255">
      <c r="A241" s="41">
        <v>385</v>
      </c>
      <c r="B241" s="66" t="s">
        <v>1001</v>
      </c>
      <c r="C241" s="66" t="s">
        <v>1002</v>
      </c>
      <c r="D241" s="42" t="s">
        <v>1003</v>
      </c>
      <c r="E241" s="43" t="s">
        <v>74</v>
      </c>
      <c r="F241" s="44"/>
      <c r="G241" s="53"/>
      <c r="H241" s="46"/>
      <c r="I241" s="58" t="s">
        <v>111</v>
      </c>
      <c r="J241" s="48"/>
      <c r="K241" s="59" t="s">
        <v>111</v>
      </c>
      <c r="L241" s="46"/>
      <c r="M241" s="56" t="s">
        <v>43</v>
      </c>
      <c r="N241" s="76" t="s">
        <v>1004</v>
      </c>
      <c r="O241" s="68">
        <v>1</v>
      </c>
      <c r="P241" s="50" t="e">
        <v>#REF!</v>
      </c>
      <c r="Q241" s="62"/>
      <c r="R241" s="51" t="s">
        <v>43</v>
      </c>
      <c r="S241" s="51" t="s">
        <v>1005</v>
      </c>
      <c r="T241" s="12"/>
      <c r="U241" s="12"/>
      <c r="V241" s="12"/>
      <c r="W241" s="12"/>
      <c r="X241" s="14" t="e">
        <f t="array" ref="X241">IF(OR(AND(#REF!=""),AND(#REF!="-"),OR(NOT(ISERROR(SEARCH("-*",H241:L241))))),0,1)</f>
        <v>#REF!</v>
      </c>
      <c r="Y241" s="12"/>
      <c r="Z241" s="14">
        <f t="array" ref="Z241">IF(AND(E241:G241="-"),0,IF(OR(NOT(ISERROR(SEARCH("+*",H241:L241)))),2,IF(OR(NOT(ISERROR(SEARCH("--*",E241:L241)))),-1,IF(OR(NOT(E241:G241="")),1,0))))</f>
        <v>2</v>
      </c>
      <c r="AA241" s="14">
        <v>422</v>
      </c>
      <c r="AB241" s="12"/>
    </row>
    <row r="242" spans="1:28" ht="153">
      <c r="A242" s="41">
        <v>386</v>
      </c>
      <c r="B242" s="66" t="s">
        <v>1006</v>
      </c>
      <c r="C242" s="66" t="s">
        <v>1007</v>
      </c>
      <c r="D242" s="42" t="s">
        <v>1008</v>
      </c>
      <c r="E242" s="43" t="s">
        <v>74</v>
      </c>
      <c r="F242" s="44"/>
      <c r="G242" s="53"/>
      <c r="H242" s="46"/>
      <c r="I242" s="58" t="s">
        <v>111</v>
      </c>
      <c r="J242" s="48"/>
      <c r="K242" s="59" t="s">
        <v>111</v>
      </c>
      <c r="L242" s="46"/>
      <c r="M242" s="56" t="s">
        <v>43</v>
      </c>
      <c r="N242" s="66" t="s">
        <v>1009</v>
      </c>
      <c r="O242" s="68">
        <v>1</v>
      </c>
      <c r="P242" s="50" t="e">
        <v>#REF!</v>
      </c>
      <c r="Q242" s="62"/>
      <c r="R242" s="51" t="s">
        <v>43</v>
      </c>
      <c r="S242" s="51" t="s">
        <v>1010</v>
      </c>
      <c r="T242" s="12"/>
      <c r="U242" s="12"/>
      <c r="V242" s="12"/>
      <c r="W242" s="12"/>
      <c r="X242" s="14" t="e">
        <f t="array" ref="X242">IF(OR(AND(#REF!=""),AND(#REF!="-"),OR(NOT(ISERROR(SEARCH("-*",H242:L242))))),0,1)</f>
        <v>#REF!</v>
      </c>
      <c r="Y242" s="12"/>
      <c r="Z242" s="14">
        <f t="array" ref="Z242">IF(AND(E242:G242="-"),0,IF(OR(NOT(ISERROR(SEARCH("+*",H242:L242)))),2,IF(OR(NOT(ISERROR(SEARCH("--*",E242:L242)))),-1,IF(OR(NOT(E242:G242="")),1,0))))</f>
        <v>2</v>
      </c>
      <c r="AA242" s="14">
        <v>423</v>
      </c>
      <c r="AB242" s="12"/>
    </row>
    <row r="243" spans="1:28" ht="191.25">
      <c r="A243" s="41">
        <v>387</v>
      </c>
      <c r="B243" s="66" t="s">
        <v>1011</v>
      </c>
      <c r="C243" s="66" t="s">
        <v>1012</v>
      </c>
      <c r="D243" s="66" t="s">
        <v>1013</v>
      </c>
      <c r="E243" s="43" t="s">
        <v>74</v>
      </c>
      <c r="F243" s="44"/>
      <c r="G243" s="53"/>
      <c r="H243" s="46"/>
      <c r="I243" s="58" t="s">
        <v>111</v>
      </c>
      <c r="J243" s="48"/>
      <c r="K243" s="59" t="s">
        <v>111</v>
      </c>
      <c r="L243" s="46"/>
      <c r="M243" s="56" t="s">
        <v>43</v>
      </c>
      <c r="N243" s="66" t="s">
        <v>1014</v>
      </c>
      <c r="O243" s="68">
        <v>2</v>
      </c>
      <c r="P243" s="50" t="e">
        <v>#REF!</v>
      </c>
      <c r="Q243" s="62" t="s">
        <v>62</v>
      </c>
      <c r="R243" s="51" t="s">
        <v>43</v>
      </c>
      <c r="S243" s="51" t="s">
        <v>1015</v>
      </c>
      <c r="T243" s="12"/>
      <c r="U243" s="12"/>
      <c r="V243" s="12"/>
      <c r="W243" s="12"/>
      <c r="X243" s="14" t="e">
        <f t="array" ref="X243">IF(OR(AND(#REF!=""),AND(#REF!="-"),OR(NOT(ISERROR(SEARCH("-*",H243:L243))))),0,1)</f>
        <v>#REF!</v>
      </c>
      <c r="Y243" s="12"/>
      <c r="Z243" s="14">
        <f t="array" ref="Z243">IF(AND(E243:G243="-"),0,IF(OR(NOT(ISERROR(SEARCH("+*",H243:L243)))),2,IF(OR(NOT(ISERROR(SEARCH("--*",E243:L243)))),-1,IF(OR(NOT(E243:G243="")),1,0))))</f>
        <v>2</v>
      </c>
      <c r="AA243" s="14">
        <v>424</v>
      </c>
      <c r="AB243" s="12"/>
    </row>
    <row r="244" spans="1:28" ht="140.25">
      <c r="A244" s="41">
        <v>388</v>
      </c>
      <c r="B244" s="66" t="s">
        <v>1016</v>
      </c>
      <c r="C244" s="66" t="s">
        <v>1017</v>
      </c>
      <c r="D244" s="66" t="s">
        <v>1018</v>
      </c>
      <c r="E244" s="43"/>
      <c r="F244" s="44"/>
      <c r="G244" s="53" t="s">
        <v>74</v>
      </c>
      <c r="H244" s="46"/>
      <c r="I244" s="47"/>
      <c r="J244" s="48"/>
      <c r="K244" s="49"/>
      <c r="L244" s="46"/>
      <c r="M244" s="56" t="s">
        <v>43</v>
      </c>
      <c r="N244" s="66" t="s">
        <v>1019</v>
      </c>
      <c r="O244" s="68">
        <v>2</v>
      </c>
      <c r="P244" s="50" t="e">
        <v>#REF!</v>
      </c>
      <c r="Q244" s="62"/>
      <c r="R244" s="51" t="s">
        <v>43</v>
      </c>
      <c r="S244" s="51" t="s">
        <v>1020</v>
      </c>
      <c r="T244" s="12"/>
      <c r="U244" s="12"/>
      <c r="V244" s="12"/>
      <c r="W244" s="12"/>
      <c r="X244" s="14" t="e">
        <f t="array" ref="X244">IF(OR(AND(#REF!=""),AND(#REF!="-"),OR(NOT(ISERROR(SEARCH("-*",H244:L244))))),0,1)</f>
        <v>#REF!</v>
      </c>
      <c r="Y244" s="12"/>
      <c r="Z244" s="14">
        <f t="array" ref="Z244">IF(AND(E244:G244="-"),0,IF(OR(NOT(ISERROR(SEARCH("+*",H244:L244)))),2,IF(OR(NOT(ISERROR(SEARCH("--*",E244:L244)))),-1,IF(OR(NOT(E244:G244="")),1,0))))</f>
        <v>1</v>
      </c>
      <c r="AA244" s="14">
        <v>425</v>
      </c>
      <c r="AB244" s="12"/>
    </row>
    <row r="245" spans="1:28" ht="280.5">
      <c r="A245" s="41">
        <v>389</v>
      </c>
      <c r="B245" s="66" t="s">
        <v>1021</v>
      </c>
      <c r="C245" s="66" t="s">
        <v>1022</v>
      </c>
      <c r="D245" s="42" t="s">
        <v>1023</v>
      </c>
      <c r="E245" s="43" t="s">
        <v>74</v>
      </c>
      <c r="F245" s="44"/>
      <c r="G245" s="53"/>
      <c r="H245" s="46"/>
      <c r="I245" s="58" t="s">
        <v>111</v>
      </c>
      <c r="J245" s="48"/>
      <c r="K245" s="59" t="s">
        <v>111</v>
      </c>
      <c r="L245" s="46"/>
      <c r="M245" s="56" t="s">
        <v>43</v>
      </c>
      <c r="N245" s="66" t="s">
        <v>1024</v>
      </c>
      <c r="O245" s="68">
        <v>1</v>
      </c>
      <c r="P245" s="50" t="e">
        <v>#REF!</v>
      </c>
      <c r="Q245" s="62"/>
      <c r="R245" s="51" t="s">
        <v>295</v>
      </c>
      <c r="S245" s="51" t="s">
        <v>1025</v>
      </c>
      <c r="T245" s="12"/>
      <c r="U245" s="12"/>
      <c r="V245" s="12"/>
      <c r="W245" s="12"/>
      <c r="X245" s="14" t="e">
        <f t="array" ref="X245">IF(OR(AND(#REF!=""),AND(#REF!="-"),OR(NOT(ISERROR(SEARCH("-*",H245:L245))))),0,1)</f>
        <v>#REF!</v>
      </c>
      <c r="Y245" s="12"/>
      <c r="Z245" s="14">
        <f t="array" ref="Z245">IF(AND(E245:G245="-"),0,IF(OR(NOT(ISERROR(SEARCH("+*",H245:L245)))),2,IF(OR(NOT(ISERROR(SEARCH("--*",E245:L245)))),-1,IF(OR(NOT(E245:G245="")),1,0))))</f>
        <v>2</v>
      </c>
      <c r="AA245" s="14">
        <v>426</v>
      </c>
      <c r="AB245" s="12"/>
    </row>
    <row r="246" spans="1:28" ht="102">
      <c r="A246" s="41">
        <v>390</v>
      </c>
      <c r="B246" s="66" t="s">
        <v>1026</v>
      </c>
      <c r="C246" s="66" t="s">
        <v>1027</v>
      </c>
      <c r="D246" s="66" t="s">
        <v>1028</v>
      </c>
      <c r="E246" s="43" t="s">
        <v>74</v>
      </c>
      <c r="F246" s="44" t="s">
        <v>74</v>
      </c>
      <c r="G246" s="45" t="s">
        <v>74</v>
      </c>
      <c r="H246" s="46"/>
      <c r="I246" s="47"/>
      <c r="J246" s="48"/>
      <c r="K246" s="74"/>
      <c r="L246" s="46"/>
      <c r="M246" s="56" t="s">
        <v>437</v>
      </c>
      <c r="N246" s="66" t="s">
        <v>1029</v>
      </c>
      <c r="O246" s="68">
        <v>2</v>
      </c>
      <c r="P246" s="50" t="e">
        <v>#REF!</v>
      </c>
      <c r="Q246" s="65"/>
      <c r="R246" s="51" t="s">
        <v>51</v>
      </c>
      <c r="S246" s="51" t="s">
        <v>1030</v>
      </c>
      <c r="T246" s="12"/>
      <c r="U246" s="12"/>
      <c r="V246" s="12"/>
      <c r="W246" s="12"/>
      <c r="X246" s="14" t="e">
        <f t="array" ref="X246">IF(OR(AND(#REF!=""),AND(#REF!="-"),OR(NOT(ISERROR(SEARCH("-*",H246:L246))))),0,1)</f>
        <v>#REF!</v>
      </c>
      <c r="Y246" s="12"/>
      <c r="Z246" s="14">
        <f t="array" ref="Z246">IF(AND(E246:G246="-"),0,IF(OR(NOT(ISERROR(SEARCH("+*",H246:L246)))),2,IF(OR(NOT(ISERROR(SEARCH("--*",E246:L246)))),-1,IF(OR(NOT(E246:G246="")),1,0))))</f>
        <v>1</v>
      </c>
      <c r="AA246" s="14">
        <v>427</v>
      </c>
      <c r="AB246" s="12"/>
    </row>
    <row r="247" spans="1:28" ht="191.25">
      <c r="A247" s="41">
        <v>391</v>
      </c>
      <c r="B247" s="66" t="s">
        <v>1031</v>
      </c>
      <c r="C247" s="66" t="s">
        <v>1032</v>
      </c>
      <c r="D247" s="42" t="s">
        <v>1033</v>
      </c>
      <c r="E247" s="43" t="s">
        <v>42</v>
      </c>
      <c r="F247" s="44" t="s">
        <v>42</v>
      </c>
      <c r="G247" s="45" t="s">
        <v>42</v>
      </c>
      <c r="H247" s="46"/>
      <c r="I247" s="47"/>
      <c r="J247" s="48"/>
      <c r="K247" s="49"/>
      <c r="L247" s="46"/>
      <c r="M247" s="56" t="s">
        <v>43</v>
      </c>
      <c r="N247" s="54" t="s">
        <v>1034</v>
      </c>
      <c r="O247" s="68">
        <v>1</v>
      </c>
      <c r="P247" s="50" t="e">
        <v>#REF!</v>
      </c>
      <c r="Q247" s="62" t="s">
        <v>44</v>
      </c>
      <c r="R247" s="51" t="s">
        <v>43</v>
      </c>
      <c r="S247" s="51" t="s">
        <v>1035</v>
      </c>
      <c r="T247" s="12"/>
      <c r="U247" s="12"/>
      <c r="V247" s="12"/>
      <c r="W247" s="12"/>
      <c r="X247" s="14" t="e">
        <f t="array" ref="X247">IF(OR(AND(#REF!=""),AND(#REF!="-"),OR(NOT(ISERROR(SEARCH("-*",H247:L247))))),0,1)</f>
        <v>#REF!</v>
      </c>
      <c r="Y247" s="12"/>
      <c r="Z247" s="14">
        <f t="array" ref="Z247">IF(AND(E247:G247="-"),0,IF(OR(NOT(ISERROR(SEARCH("+*",H247:L247)))),2,IF(OR(NOT(ISERROR(SEARCH("--*",E247:L247)))),-1,IF(OR(NOT(E247:G247="")),1,0))))</f>
        <v>1</v>
      </c>
      <c r="AA247" s="14">
        <v>428</v>
      </c>
      <c r="AB247" s="12"/>
    </row>
    <row r="248" spans="1:28" ht="306">
      <c r="A248" s="41">
        <v>392</v>
      </c>
      <c r="B248" s="66" t="s">
        <v>1036</v>
      </c>
      <c r="C248" s="66" t="s">
        <v>1037</v>
      </c>
      <c r="D248" s="42" t="s">
        <v>1038</v>
      </c>
      <c r="E248" s="43" t="s">
        <v>42</v>
      </c>
      <c r="F248" s="44" t="s">
        <v>42</v>
      </c>
      <c r="G248" s="53" t="s">
        <v>42</v>
      </c>
      <c r="H248" s="46"/>
      <c r="I248" s="47"/>
      <c r="J248" s="48"/>
      <c r="K248" s="49"/>
      <c r="L248" s="46"/>
      <c r="M248" s="56" t="s">
        <v>43</v>
      </c>
      <c r="N248" s="54" t="s">
        <v>1039</v>
      </c>
      <c r="O248" s="68">
        <v>2</v>
      </c>
      <c r="P248" s="50" t="e">
        <v>#REF!</v>
      </c>
      <c r="Q248" s="62" t="s">
        <v>44</v>
      </c>
      <c r="R248" s="51" t="s">
        <v>43</v>
      </c>
      <c r="S248" s="51" t="s">
        <v>1040</v>
      </c>
      <c r="T248" s="12"/>
      <c r="U248" s="12"/>
      <c r="V248" s="12"/>
      <c r="W248" s="12"/>
      <c r="X248" s="14" t="e">
        <f t="array" ref="X248">IF(OR(AND(#REF!=""),AND(#REF!="-"),OR(NOT(ISERROR(SEARCH("-*",H248:L248))))),0,1)</f>
        <v>#REF!</v>
      </c>
      <c r="Y248" s="12"/>
      <c r="Z248" s="14">
        <f t="array" ref="Z248">IF(AND(E248:G248="-"),0,IF(OR(NOT(ISERROR(SEARCH("+*",H248:L248)))),2,IF(OR(NOT(ISERROR(SEARCH("--*",E248:L248)))),-1,IF(OR(NOT(E248:G248="")),1,0))))</f>
        <v>1</v>
      </c>
      <c r="AA248" s="14">
        <v>429</v>
      </c>
      <c r="AB248" s="12"/>
    </row>
    <row r="249" spans="1:28" ht="204">
      <c r="A249" s="41">
        <v>394</v>
      </c>
      <c r="B249" s="66" t="s">
        <v>1041</v>
      </c>
      <c r="C249" s="66" t="s">
        <v>1042</v>
      </c>
      <c r="D249" s="66" t="s">
        <v>1043</v>
      </c>
      <c r="E249" s="43"/>
      <c r="F249" s="44" t="s">
        <v>42</v>
      </c>
      <c r="G249" s="53"/>
      <c r="H249" s="46"/>
      <c r="I249" s="47"/>
      <c r="J249" s="48"/>
      <c r="K249" s="49"/>
      <c r="L249" s="46"/>
      <c r="M249" s="56" t="s">
        <v>86</v>
      </c>
      <c r="N249" s="54" t="s">
        <v>1044</v>
      </c>
      <c r="O249" s="68">
        <v>0</v>
      </c>
      <c r="P249" s="50" t="e">
        <v>#REF!</v>
      </c>
      <c r="Q249" s="62" t="s">
        <v>86</v>
      </c>
      <c r="R249" s="51" t="s">
        <v>43</v>
      </c>
      <c r="S249" s="51" t="s">
        <v>1045</v>
      </c>
      <c r="T249" s="12"/>
      <c r="U249" s="12"/>
      <c r="V249" s="12"/>
      <c r="W249" s="12"/>
      <c r="X249" s="14" t="e">
        <f t="array" ref="X249">IF(OR(AND(#REF!=""),AND(#REF!="-"),OR(NOT(ISERROR(SEARCH("-*",H249:L249))))),0,1)</f>
        <v>#REF!</v>
      </c>
      <c r="Y249" s="12"/>
      <c r="Z249" s="14">
        <f t="array" ref="Z249">IF(AND(E249:G249="-"),0,IF(OR(NOT(ISERROR(SEARCH("+*",H249:L249)))),2,IF(OR(NOT(ISERROR(SEARCH("--*",E249:L249)))),-1,IF(OR(NOT(E249:G249="")),1,0))))</f>
        <v>1</v>
      </c>
      <c r="AA249" s="14">
        <v>432</v>
      </c>
      <c r="AB249" s="12"/>
    </row>
    <row r="250" spans="1:28" ht="89.25">
      <c r="A250" s="41">
        <v>395</v>
      </c>
      <c r="B250" s="66" t="s">
        <v>1046</v>
      </c>
      <c r="C250" s="66" t="s">
        <v>1047</v>
      </c>
      <c r="D250" s="66" t="s">
        <v>1048</v>
      </c>
      <c r="E250" s="43"/>
      <c r="F250" s="44" t="s">
        <v>42</v>
      </c>
      <c r="G250" s="53"/>
      <c r="H250" s="46"/>
      <c r="I250" s="47"/>
      <c r="J250" s="48"/>
      <c r="K250" s="49"/>
      <c r="L250" s="46"/>
      <c r="M250" s="56" t="s">
        <v>86</v>
      </c>
      <c r="N250" s="54" t="s">
        <v>1044</v>
      </c>
      <c r="O250" s="68">
        <v>0</v>
      </c>
      <c r="P250" s="50" t="e">
        <v>#REF!</v>
      </c>
      <c r="Q250" s="62"/>
      <c r="R250" s="51" t="s">
        <v>295</v>
      </c>
      <c r="S250" s="51" t="s">
        <v>1049</v>
      </c>
      <c r="T250" s="12"/>
      <c r="U250" s="12"/>
      <c r="V250" s="12"/>
      <c r="W250" s="12"/>
      <c r="X250" s="14" t="e">
        <f t="array" ref="X250">IF(OR(AND(#REF!=""),AND(#REF!="-"),OR(NOT(ISERROR(SEARCH("-*",H250:L250))))),0,1)</f>
        <v>#REF!</v>
      </c>
      <c r="Y250" s="12"/>
      <c r="Z250" s="14">
        <f t="array" ref="Z250">IF(AND(E250:G250="-"),0,IF(OR(NOT(ISERROR(SEARCH("+*",H250:L250)))),2,IF(OR(NOT(ISERROR(SEARCH("--*",E250:L250)))),-1,IF(OR(NOT(E250:G250="")),1,0))))</f>
        <v>1</v>
      </c>
      <c r="AA250" s="14">
        <v>433</v>
      </c>
      <c r="AB250" s="12"/>
    </row>
    <row r="251" spans="1:28" ht="165.75">
      <c r="A251" s="41">
        <v>396</v>
      </c>
      <c r="B251" s="66" t="s">
        <v>1050</v>
      </c>
      <c r="C251" s="66" t="s">
        <v>1051</v>
      </c>
      <c r="D251" s="66" t="s">
        <v>1052</v>
      </c>
      <c r="E251" s="43"/>
      <c r="F251" s="44" t="s">
        <v>42</v>
      </c>
      <c r="G251" s="53"/>
      <c r="H251" s="46"/>
      <c r="I251" s="47"/>
      <c r="J251" s="48"/>
      <c r="K251" s="49"/>
      <c r="L251" s="46"/>
      <c r="M251" s="56" t="s">
        <v>86</v>
      </c>
      <c r="N251" s="54" t="s">
        <v>1044</v>
      </c>
      <c r="O251" s="68">
        <v>0</v>
      </c>
      <c r="P251" s="50" t="e">
        <v>#REF!</v>
      </c>
      <c r="Q251" s="62" t="s">
        <v>62</v>
      </c>
      <c r="R251" s="51" t="s">
        <v>43</v>
      </c>
      <c r="S251" s="51" t="s">
        <v>1053</v>
      </c>
      <c r="T251" s="12"/>
      <c r="U251" s="12"/>
      <c r="V251" s="12"/>
      <c r="W251" s="12"/>
      <c r="X251" s="14" t="e">
        <f t="array" ref="X251">IF(OR(AND(#REF!=""),AND(#REF!="-"),OR(NOT(ISERROR(SEARCH("-*",H251:L251))))),0,1)</f>
        <v>#REF!</v>
      </c>
      <c r="Y251" s="12"/>
      <c r="Z251" s="14">
        <f t="array" ref="Z251">IF(AND(E251:G251="-"),0,IF(OR(NOT(ISERROR(SEARCH("+*",H251:L251)))),2,IF(OR(NOT(ISERROR(SEARCH("--*",E251:L251)))),-1,IF(OR(NOT(E251:G251="")),1,0))))</f>
        <v>1</v>
      </c>
      <c r="AA251" s="14">
        <v>434</v>
      </c>
      <c r="AB251" s="12"/>
    </row>
    <row r="252" spans="1:28" ht="216.75">
      <c r="A252" s="41">
        <v>397</v>
      </c>
      <c r="B252" s="66" t="s">
        <v>1054</v>
      </c>
      <c r="C252" s="66" t="s">
        <v>1055</v>
      </c>
      <c r="D252" s="66" t="s">
        <v>1056</v>
      </c>
      <c r="E252" s="43" t="s">
        <v>74</v>
      </c>
      <c r="F252" s="44"/>
      <c r="G252" s="53"/>
      <c r="H252" s="46"/>
      <c r="I252" s="58" t="s">
        <v>111</v>
      </c>
      <c r="J252" s="48"/>
      <c r="K252" s="59" t="s">
        <v>111</v>
      </c>
      <c r="L252" s="46"/>
      <c r="M252" s="56" t="s">
        <v>86</v>
      </c>
      <c r="N252" s="54" t="s">
        <v>1044</v>
      </c>
      <c r="O252" s="68">
        <v>0</v>
      </c>
      <c r="P252" s="50" t="e">
        <v>#REF!</v>
      </c>
      <c r="Q252" s="62" t="s">
        <v>44</v>
      </c>
      <c r="R252" s="51" t="s">
        <v>295</v>
      </c>
      <c r="S252" s="51" t="s">
        <v>1057</v>
      </c>
      <c r="T252" s="12"/>
      <c r="U252" s="12"/>
      <c r="V252" s="12"/>
      <c r="W252" s="12"/>
      <c r="X252" s="14" t="e">
        <f t="array" ref="X252">IF(OR(AND(#REF!=""),AND(#REF!="-"),OR(NOT(ISERROR(SEARCH("-*",H252:L252))))),0,1)</f>
        <v>#REF!</v>
      </c>
      <c r="Y252" s="12"/>
      <c r="Z252" s="14">
        <f t="array" ref="Z252">IF(AND(E252:G252="-"),0,IF(OR(NOT(ISERROR(SEARCH("+*",H252:L252)))),2,IF(OR(NOT(ISERROR(SEARCH("--*",E252:L252)))),-1,IF(OR(NOT(E252:G252="")),1,0))))</f>
        <v>2</v>
      </c>
      <c r="AA252" s="14">
        <v>435</v>
      </c>
      <c r="AB252" s="12"/>
    </row>
    <row r="253" spans="1:28" ht="76.5">
      <c r="A253" s="41">
        <v>398</v>
      </c>
      <c r="B253" s="66" t="s">
        <v>1058</v>
      </c>
      <c r="C253" s="66" t="s">
        <v>1059</v>
      </c>
      <c r="D253" s="66" t="s">
        <v>1060</v>
      </c>
      <c r="E253" s="43"/>
      <c r="F253" s="44"/>
      <c r="G253" s="53"/>
      <c r="H253" s="46"/>
      <c r="I253" s="58" t="s">
        <v>111</v>
      </c>
      <c r="J253" s="48"/>
      <c r="K253" s="61"/>
      <c r="L253" s="46"/>
      <c r="M253" s="56" t="s">
        <v>86</v>
      </c>
      <c r="N253" s="54" t="s">
        <v>1044</v>
      </c>
      <c r="O253" s="68">
        <v>0</v>
      </c>
      <c r="P253" s="50" t="e">
        <v>#REF!</v>
      </c>
      <c r="Q253" s="62"/>
      <c r="R253" s="51" t="s">
        <v>51</v>
      </c>
      <c r="S253" s="51" t="s">
        <v>1061</v>
      </c>
      <c r="T253" s="12"/>
      <c r="U253" s="12"/>
      <c r="V253" s="12"/>
      <c r="W253" s="12"/>
      <c r="X253" s="14" t="e">
        <f t="array" ref="X253">IF(OR(AND(#REF!=""),AND(#REF!="-"),OR(NOT(ISERROR(SEARCH("-*",H253:L253))))),0,1)</f>
        <v>#REF!</v>
      </c>
      <c r="Y253" s="12"/>
      <c r="Z253" s="14">
        <f t="array" ref="Z253">IF(AND(E253:G253="-"),0,IF(OR(NOT(ISERROR(SEARCH("+*",H253:L253)))),2,IF(OR(NOT(ISERROR(SEARCH("--*",E253:L253)))),-1,IF(OR(NOT(E253:G253="")),1,0))))</f>
        <v>2</v>
      </c>
      <c r="AA253" s="14">
        <v>436</v>
      </c>
      <c r="AB253" s="12"/>
    </row>
    <row r="254" spans="1:28" ht="357">
      <c r="A254" s="41">
        <v>399</v>
      </c>
      <c r="B254" s="66" t="s">
        <v>1062</v>
      </c>
      <c r="C254" s="66" t="s">
        <v>1063</v>
      </c>
      <c r="D254" s="66" t="s">
        <v>1064</v>
      </c>
      <c r="E254" s="43"/>
      <c r="F254" s="44" t="s">
        <v>42</v>
      </c>
      <c r="G254" s="53"/>
      <c r="H254" s="46"/>
      <c r="I254" s="47"/>
      <c r="J254" s="48"/>
      <c r="K254" s="49"/>
      <c r="L254" s="46"/>
      <c r="M254" s="56" t="s">
        <v>43</v>
      </c>
      <c r="N254" s="54" t="s">
        <v>1065</v>
      </c>
      <c r="O254" s="68">
        <v>1</v>
      </c>
      <c r="P254" s="50" t="e">
        <v>#REF!</v>
      </c>
      <c r="Q254" s="62" t="s">
        <v>86</v>
      </c>
      <c r="R254" s="51" t="s">
        <v>43</v>
      </c>
      <c r="S254" s="51" t="s">
        <v>1066</v>
      </c>
      <c r="T254" s="12"/>
      <c r="U254" s="12"/>
      <c r="V254" s="12"/>
      <c r="W254" s="12"/>
      <c r="X254" s="14" t="e">
        <f t="array" ref="X254">IF(OR(AND(#REF!=""),AND(#REF!="-"),OR(NOT(ISERROR(SEARCH("-*",H254:L254))))),0,1)</f>
        <v>#REF!</v>
      </c>
      <c r="Y254" s="12"/>
      <c r="Z254" s="14">
        <f t="array" ref="Z254">IF(AND(E254:G254="-"),0,IF(OR(NOT(ISERROR(SEARCH("+*",H254:L254)))),2,IF(OR(NOT(ISERROR(SEARCH("--*",E254:L254)))),-1,IF(OR(NOT(E254:G254="")),1,0))))</f>
        <v>1</v>
      </c>
      <c r="AA254" s="14">
        <v>437</v>
      </c>
      <c r="AB254" s="12"/>
    </row>
    <row r="255" spans="1:28" ht="51">
      <c r="A255" s="41">
        <v>400</v>
      </c>
      <c r="B255" s="66" t="s">
        <v>1067</v>
      </c>
      <c r="C255" s="66" t="s">
        <v>1068</v>
      </c>
      <c r="D255" s="66" t="s">
        <v>1069</v>
      </c>
      <c r="E255" s="43"/>
      <c r="F255" s="44" t="s">
        <v>74</v>
      </c>
      <c r="G255" s="53"/>
      <c r="H255" s="46"/>
      <c r="I255" s="58" t="s">
        <v>111</v>
      </c>
      <c r="J255" s="48"/>
      <c r="K255" s="49"/>
      <c r="L255" s="46"/>
      <c r="M255" s="56" t="s">
        <v>43</v>
      </c>
      <c r="N255" s="54" t="s">
        <v>1070</v>
      </c>
      <c r="O255" s="68">
        <v>3</v>
      </c>
      <c r="P255" s="50" t="e">
        <v>#REF!</v>
      </c>
      <c r="Q255" s="62" t="s">
        <v>62</v>
      </c>
      <c r="R255" s="51" t="s">
        <v>51</v>
      </c>
      <c r="S255" s="51" t="s">
        <v>1071</v>
      </c>
      <c r="T255" s="12"/>
      <c r="U255" s="12"/>
      <c r="V255" s="12"/>
      <c r="W255" s="12"/>
      <c r="X255" s="14" t="e">
        <f t="array" ref="X255">IF(OR(AND(#REF!=""),AND(#REF!="-"),OR(NOT(ISERROR(SEARCH("-*",H255:L255))))),0,1)</f>
        <v>#REF!</v>
      </c>
      <c r="Y255" s="12"/>
      <c r="Z255" s="14">
        <f t="array" ref="Z255">IF(AND(E255:G255="-"),0,IF(OR(NOT(ISERROR(SEARCH("+*",H255:L255)))),2,IF(OR(NOT(ISERROR(SEARCH("--*",E255:L255)))),-1,IF(OR(NOT(E255:G255="")),1,0))))</f>
        <v>2</v>
      </c>
      <c r="AA255" s="14">
        <v>438</v>
      </c>
      <c r="AB255" s="12"/>
    </row>
    <row r="256" spans="1:28" ht="51">
      <c r="A256" s="41">
        <v>401</v>
      </c>
      <c r="B256" s="66" t="s">
        <v>1072</v>
      </c>
      <c r="C256" s="66" t="s">
        <v>1073</v>
      </c>
      <c r="D256" s="66" t="s">
        <v>1074</v>
      </c>
      <c r="E256" s="43"/>
      <c r="F256" s="57" t="s">
        <v>42</v>
      </c>
      <c r="G256" s="53"/>
      <c r="H256" s="46"/>
      <c r="I256" s="58" t="s">
        <v>111</v>
      </c>
      <c r="J256" s="48"/>
      <c r="K256" s="49"/>
      <c r="L256" s="46"/>
      <c r="M256" s="56" t="s">
        <v>43</v>
      </c>
      <c r="N256" s="54" t="s">
        <v>1075</v>
      </c>
      <c r="O256" s="68">
        <v>2</v>
      </c>
      <c r="P256" s="50" t="e">
        <v>#REF!</v>
      </c>
      <c r="Q256" s="62"/>
      <c r="R256" s="51" t="s">
        <v>51</v>
      </c>
      <c r="S256" s="51" t="s">
        <v>1076</v>
      </c>
      <c r="T256" s="12"/>
      <c r="U256" s="12"/>
      <c r="V256" s="12"/>
      <c r="W256" s="12"/>
      <c r="X256" s="14" t="e">
        <f t="array" ref="X256">IF(OR(AND(#REF!=""),AND(#REF!="-"),OR(NOT(ISERROR(SEARCH("-*",H256:L256))))),0,1)</f>
        <v>#REF!</v>
      </c>
      <c r="Y256" s="12"/>
      <c r="Z256" s="14">
        <f t="array" ref="Z256">IF(AND(E256:G256="-"),0,IF(OR(NOT(ISERROR(SEARCH("+*",H256:L256)))),2,IF(OR(NOT(ISERROR(SEARCH("--*",E256:L256)))),-1,IF(OR(NOT(E256:G256="")),1,0))))</f>
        <v>2</v>
      </c>
      <c r="AA256" s="14">
        <v>439</v>
      </c>
      <c r="AB256" s="12"/>
    </row>
    <row r="257" spans="1:28" ht="255">
      <c r="A257" s="41">
        <v>402</v>
      </c>
      <c r="B257" s="66" t="s">
        <v>1077</v>
      </c>
      <c r="C257" s="66" t="s">
        <v>1078</v>
      </c>
      <c r="D257" s="66" t="s">
        <v>1079</v>
      </c>
      <c r="E257" s="43" t="s">
        <v>74</v>
      </c>
      <c r="F257" s="44" t="s">
        <v>74</v>
      </c>
      <c r="G257" s="53"/>
      <c r="H257" s="46"/>
      <c r="I257" s="47"/>
      <c r="J257" s="48"/>
      <c r="K257" s="49"/>
      <c r="L257" s="46"/>
      <c r="M257" s="56" t="s">
        <v>457</v>
      </c>
      <c r="N257" s="54" t="s">
        <v>1080</v>
      </c>
      <c r="O257" s="68">
        <v>1</v>
      </c>
      <c r="P257" s="50" t="e">
        <v>#REF!</v>
      </c>
      <c r="Q257" s="62" t="s">
        <v>86</v>
      </c>
      <c r="R257" s="51" t="s">
        <v>43</v>
      </c>
      <c r="S257" s="51" t="s">
        <v>1081</v>
      </c>
      <c r="T257" s="12"/>
      <c r="U257" s="12"/>
      <c r="V257" s="12"/>
      <c r="W257" s="12"/>
      <c r="X257" s="14" t="e">
        <f t="array" ref="X257">IF(OR(AND(#REF!=""),AND(#REF!="-"),OR(NOT(ISERROR(SEARCH("-*",H257:L257))))),0,1)</f>
        <v>#REF!</v>
      </c>
      <c r="Y257" s="12"/>
      <c r="Z257" s="14">
        <f t="array" ref="Z257">IF(AND(E257:G257="-"),0,IF(OR(NOT(ISERROR(SEARCH("+*",H257:L257)))),2,IF(OR(NOT(ISERROR(SEARCH("--*",E257:L257)))),-1,IF(OR(NOT(E257:G257="")),1,0))))</f>
        <v>1</v>
      </c>
      <c r="AA257" s="14">
        <v>440</v>
      </c>
      <c r="AB257" s="12"/>
    </row>
    <row r="258" spans="1:28" ht="76.5">
      <c r="A258" s="41">
        <v>403</v>
      </c>
      <c r="B258" s="66" t="s">
        <v>1082</v>
      </c>
      <c r="C258" s="66" t="s">
        <v>1083</v>
      </c>
      <c r="D258" s="42" t="s">
        <v>1084</v>
      </c>
      <c r="E258" s="43"/>
      <c r="F258" s="57"/>
      <c r="G258" s="53"/>
      <c r="H258" s="46"/>
      <c r="I258" s="58" t="s">
        <v>111</v>
      </c>
      <c r="J258" s="48"/>
      <c r="K258" s="61"/>
      <c r="L258" s="46"/>
      <c r="M258" s="56" t="s">
        <v>86</v>
      </c>
      <c r="N258" s="54" t="s">
        <v>1085</v>
      </c>
      <c r="O258" s="68">
        <v>0</v>
      </c>
      <c r="P258" s="50" t="e">
        <v>#REF!</v>
      </c>
      <c r="Q258" s="62"/>
      <c r="R258" s="51"/>
      <c r="S258" s="51"/>
      <c r="T258" s="12"/>
      <c r="U258" s="12"/>
      <c r="V258" s="12"/>
      <c r="W258" s="12"/>
      <c r="X258" s="14" t="e">
        <f t="array" ref="X258">IF(OR(AND(#REF!=""),AND(#REF!="-"),OR(NOT(ISERROR(SEARCH("-*",H258:L258))))),0,1)</f>
        <v>#REF!</v>
      </c>
      <c r="Y258" s="12"/>
      <c r="Z258" s="14">
        <f t="array" ref="Z258">IF(AND(E258:G258="-"),0,IF(OR(NOT(ISERROR(SEARCH("+*",H258:L258)))),2,IF(OR(NOT(ISERROR(SEARCH("--*",E258:L258)))),-1,IF(OR(NOT(E258:G258="")),1,0))))</f>
        <v>2</v>
      </c>
      <c r="AA258" s="14">
        <v>441</v>
      </c>
      <c r="AB258" s="12"/>
    </row>
    <row r="259" spans="1:28" ht="216.75">
      <c r="A259" s="41">
        <v>404</v>
      </c>
      <c r="B259" s="66" t="s">
        <v>1086</v>
      </c>
      <c r="C259" s="66" t="s">
        <v>1087</v>
      </c>
      <c r="D259" s="42" t="s">
        <v>1088</v>
      </c>
      <c r="E259" s="43"/>
      <c r="F259" s="57"/>
      <c r="G259" s="53"/>
      <c r="H259" s="46"/>
      <c r="I259" s="58" t="s">
        <v>111</v>
      </c>
      <c r="J259" s="48"/>
      <c r="K259" s="61"/>
      <c r="L259" s="46"/>
      <c r="M259" s="56" t="s">
        <v>43</v>
      </c>
      <c r="N259" s="54" t="s">
        <v>1089</v>
      </c>
      <c r="O259" s="68">
        <v>1</v>
      </c>
      <c r="P259" s="50" t="e">
        <v>#REF!</v>
      </c>
      <c r="Q259" s="62"/>
      <c r="R259" s="51" t="s">
        <v>43</v>
      </c>
      <c r="S259" s="51" t="s">
        <v>1090</v>
      </c>
      <c r="T259" s="12"/>
      <c r="U259" s="12"/>
      <c r="V259" s="12"/>
      <c r="W259" s="12"/>
      <c r="X259" s="14" t="e">
        <f t="array" ref="X259">IF(OR(AND(#REF!=""),AND(#REF!="-"),OR(NOT(ISERROR(SEARCH("-*",H259:L259))))),0,1)</f>
        <v>#REF!</v>
      </c>
      <c r="Y259" s="12"/>
      <c r="Z259" s="14">
        <f t="array" ref="Z259">IF(AND(E259:G259="-"),0,IF(OR(NOT(ISERROR(SEARCH("+*",H259:L259)))),2,IF(OR(NOT(ISERROR(SEARCH("--*",E259:L259)))),-1,IF(OR(NOT(E259:G259="")),1,0))))</f>
        <v>2</v>
      </c>
      <c r="AA259" s="14">
        <v>442</v>
      </c>
      <c r="AB259" s="12"/>
    </row>
    <row r="260" spans="1:28" ht="38.25">
      <c r="A260" s="41">
        <v>405</v>
      </c>
      <c r="B260" s="66" t="s">
        <v>1091</v>
      </c>
      <c r="C260" s="66" t="s">
        <v>1092</v>
      </c>
      <c r="D260" s="66" t="s">
        <v>1093</v>
      </c>
      <c r="E260" s="43" t="s">
        <v>74</v>
      </c>
      <c r="F260" s="64" t="s">
        <v>74</v>
      </c>
      <c r="G260" s="53"/>
      <c r="H260" s="46"/>
      <c r="I260" s="47"/>
      <c r="J260" s="48"/>
      <c r="K260" s="49"/>
      <c r="L260" s="46"/>
      <c r="M260" s="56" t="s">
        <v>86</v>
      </c>
      <c r="N260" s="54" t="s">
        <v>1085</v>
      </c>
      <c r="O260" s="68">
        <v>0</v>
      </c>
      <c r="P260" s="50" t="e">
        <v>#REF!</v>
      </c>
      <c r="Q260" s="62"/>
      <c r="R260" s="51"/>
      <c r="S260" s="51"/>
      <c r="T260" s="12"/>
      <c r="U260" s="12"/>
      <c r="V260" s="12"/>
      <c r="W260" s="12"/>
      <c r="X260" s="14" t="e">
        <f t="array" ref="X260">IF(OR(AND(#REF!=""),AND(#REF!="-"),OR(NOT(ISERROR(SEARCH("-*",H260:L260))))),0,1)</f>
        <v>#REF!</v>
      </c>
      <c r="Y260" s="12"/>
      <c r="Z260" s="14">
        <f t="array" ref="Z260">IF(AND(E260:G260="-"),0,IF(OR(NOT(ISERROR(SEARCH("+*",H260:L260)))),2,IF(OR(NOT(ISERROR(SEARCH("--*",E260:L260)))),-1,IF(OR(NOT(E260:G260="")),1,0))))</f>
        <v>1</v>
      </c>
      <c r="AA260" s="14">
        <v>443</v>
      </c>
      <c r="AB260" s="12"/>
    </row>
    <row r="261" spans="1:28" ht="76.5">
      <c r="A261" s="41">
        <v>406</v>
      </c>
      <c r="B261" s="66" t="s">
        <v>1094</v>
      </c>
      <c r="C261" s="66" t="s">
        <v>1095</v>
      </c>
      <c r="D261" s="66" t="s">
        <v>1096</v>
      </c>
      <c r="E261" s="43"/>
      <c r="F261" s="44" t="s">
        <v>74</v>
      </c>
      <c r="G261" s="53"/>
      <c r="H261" s="46"/>
      <c r="I261" s="47"/>
      <c r="J261" s="48"/>
      <c r="K261" s="49"/>
      <c r="L261" s="46"/>
      <c r="M261" s="56" t="s">
        <v>43</v>
      </c>
      <c r="N261" s="54" t="s">
        <v>1097</v>
      </c>
      <c r="O261" s="68">
        <v>2</v>
      </c>
      <c r="P261" s="50" t="e">
        <v>#REF!</v>
      </c>
      <c r="Q261" s="62"/>
      <c r="R261" s="51" t="s">
        <v>51</v>
      </c>
      <c r="S261" s="51" t="s">
        <v>1098</v>
      </c>
      <c r="T261" s="12"/>
      <c r="U261" s="12"/>
      <c r="V261" s="12"/>
      <c r="W261" s="12"/>
      <c r="X261" s="14" t="e">
        <f t="array" ref="X261">IF(OR(AND(#REF!=""),AND(#REF!="-"),OR(NOT(ISERROR(SEARCH("-*",H261:L261))))),0,1)</f>
        <v>#REF!</v>
      </c>
      <c r="Y261" s="12"/>
      <c r="Z261" s="14">
        <f t="array" ref="Z261">IF(AND(E261:G261="-"),0,IF(OR(NOT(ISERROR(SEARCH("+*",H261:L261)))),2,IF(OR(NOT(ISERROR(SEARCH("--*",E261:L261)))),-1,IF(OR(NOT(E261:G261="")),1,0))))</f>
        <v>1</v>
      </c>
      <c r="AA261" s="14">
        <v>444</v>
      </c>
      <c r="AB261" s="12"/>
    </row>
    <row r="262" spans="1:28" ht="229.5">
      <c r="A262" s="41">
        <v>407</v>
      </c>
      <c r="B262" s="66" t="s">
        <v>1099</v>
      </c>
      <c r="C262" s="66" t="s">
        <v>1100</v>
      </c>
      <c r="D262" s="66" t="s">
        <v>1101</v>
      </c>
      <c r="E262" s="43" t="s">
        <v>42</v>
      </c>
      <c r="F262" s="44" t="s">
        <v>42</v>
      </c>
      <c r="G262" s="53" t="s">
        <v>42</v>
      </c>
      <c r="H262" s="46"/>
      <c r="I262" s="47"/>
      <c r="J262" s="48"/>
      <c r="K262" s="49"/>
      <c r="L262" s="46"/>
      <c r="M262" s="56" t="s">
        <v>43</v>
      </c>
      <c r="N262" s="54" t="s">
        <v>1102</v>
      </c>
      <c r="O262" s="68">
        <v>1</v>
      </c>
      <c r="P262" s="50" t="e">
        <v>#REF!</v>
      </c>
      <c r="Q262" s="62"/>
      <c r="R262" s="51" t="s">
        <v>43</v>
      </c>
      <c r="S262" s="51" t="s">
        <v>1103</v>
      </c>
      <c r="T262" s="12"/>
      <c r="U262" s="12"/>
      <c r="V262" s="12"/>
      <c r="W262" s="12"/>
      <c r="X262" s="14" t="e">
        <f t="array" ref="X262">IF(OR(AND(#REF!=""),AND(#REF!="-"),OR(NOT(ISERROR(SEARCH("-*",H262:L262))))),0,1)</f>
        <v>#REF!</v>
      </c>
      <c r="Y262" s="12"/>
      <c r="Z262" s="14">
        <f t="array" ref="Z262">IF(AND(E262:G262="-"),0,IF(OR(NOT(ISERROR(SEARCH("+*",H262:L262)))),2,IF(OR(NOT(ISERROR(SEARCH("--*",E262:L262)))),-1,IF(OR(NOT(E262:G262="")),1,0))))</f>
        <v>1</v>
      </c>
      <c r="AA262" s="14">
        <v>445</v>
      </c>
      <c r="AB262" s="12"/>
    </row>
    <row r="263" spans="1:28" ht="242.25">
      <c r="A263" s="41">
        <v>408</v>
      </c>
      <c r="B263" s="66" t="s">
        <v>1104</v>
      </c>
      <c r="C263" s="66" t="s">
        <v>1105</v>
      </c>
      <c r="D263" s="66" t="s">
        <v>1106</v>
      </c>
      <c r="E263" s="19"/>
      <c r="F263" s="57"/>
      <c r="G263" s="53"/>
      <c r="H263" s="46"/>
      <c r="I263" s="58" t="s">
        <v>1107</v>
      </c>
      <c r="J263" s="48"/>
      <c r="K263" s="59" t="s">
        <v>111</v>
      </c>
      <c r="L263" s="46"/>
      <c r="M263" s="56" t="s">
        <v>457</v>
      </c>
      <c r="N263" s="54" t="s">
        <v>1108</v>
      </c>
      <c r="O263" s="68">
        <v>0</v>
      </c>
      <c r="P263" s="50" t="e">
        <v>#REF!</v>
      </c>
      <c r="Q263" s="62" t="s">
        <v>86</v>
      </c>
      <c r="R263" s="51" t="s">
        <v>43</v>
      </c>
      <c r="S263" s="51" t="s">
        <v>1109</v>
      </c>
      <c r="T263" s="12"/>
      <c r="U263" s="12"/>
      <c r="V263" s="12"/>
      <c r="W263" s="12"/>
      <c r="X263" s="14" t="e">
        <f t="array" ref="X263">IF(OR(AND(#REF!=""),AND(#REF!="-"),OR(NOT(ISERROR(SEARCH("-*",H263:L263))))),0,1)</f>
        <v>#REF!</v>
      </c>
      <c r="Y263" s="12"/>
      <c r="Z263" s="14">
        <f t="array" ref="Z263">IF(AND(E263:G263="-"),0,IF(OR(NOT(ISERROR(SEARCH("+*",H263:L263)))),2,IF(OR(NOT(ISERROR(SEARCH("--*",E263:L263)))),-1,IF(OR(NOT(E263:G263="")),1,0))))</f>
        <v>2</v>
      </c>
      <c r="AA263" s="14">
        <v>446</v>
      </c>
      <c r="AB263" s="12"/>
    </row>
    <row r="264" spans="1:28" ht="204">
      <c r="A264" s="41">
        <v>409</v>
      </c>
      <c r="B264" s="66" t="s">
        <v>1110</v>
      </c>
      <c r="C264" s="66" t="s">
        <v>1111</v>
      </c>
      <c r="D264" s="66" t="s">
        <v>1112</v>
      </c>
      <c r="E264" s="43"/>
      <c r="F264" s="44"/>
      <c r="G264" s="53"/>
      <c r="H264" s="46"/>
      <c r="I264" s="58" t="s">
        <v>111</v>
      </c>
      <c r="J264" s="48"/>
      <c r="K264" s="61"/>
      <c r="L264" s="46"/>
      <c r="M264" s="56" t="s">
        <v>43</v>
      </c>
      <c r="N264" s="54" t="s">
        <v>1113</v>
      </c>
      <c r="O264" s="68">
        <v>0</v>
      </c>
      <c r="P264" s="50" t="e">
        <v>#REF!</v>
      </c>
      <c r="Q264" s="62" t="s">
        <v>86</v>
      </c>
      <c r="R264" s="51" t="s">
        <v>295</v>
      </c>
      <c r="S264" s="51" t="s">
        <v>1114</v>
      </c>
      <c r="T264" s="12"/>
      <c r="U264" s="12"/>
      <c r="V264" s="12"/>
      <c r="W264" s="12"/>
      <c r="X264" s="14" t="e">
        <f t="array" ref="X264">IF(OR(AND(#REF!=""),AND(#REF!="-"),OR(NOT(ISERROR(SEARCH("-*",H264:L264))))),0,1)</f>
        <v>#REF!</v>
      </c>
      <c r="Y264" s="12"/>
      <c r="Z264" s="14">
        <f t="array" ref="Z264">IF(AND(E264:G264="-"),0,IF(OR(NOT(ISERROR(SEARCH("+*",H264:L264)))),2,IF(OR(NOT(ISERROR(SEARCH("--*",E264:L264)))),-1,IF(OR(NOT(E264:G264="")),1,0))))</f>
        <v>2</v>
      </c>
      <c r="AA264" s="14">
        <v>447</v>
      </c>
      <c r="AB264" s="12"/>
    </row>
    <row r="265" spans="1:28" ht="318.75">
      <c r="A265" s="41">
        <v>411</v>
      </c>
      <c r="B265" s="66" t="s">
        <v>1115</v>
      </c>
      <c r="C265" s="66" t="s">
        <v>1116</v>
      </c>
      <c r="D265" s="66" t="s">
        <v>1117</v>
      </c>
      <c r="E265" s="43"/>
      <c r="F265" s="44"/>
      <c r="G265" s="53"/>
      <c r="H265" s="46"/>
      <c r="I265" s="58" t="s">
        <v>111</v>
      </c>
      <c r="J265" s="48"/>
      <c r="K265" s="61"/>
      <c r="L265" s="46"/>
      <c r="M265" s="56" t="s">
        <v>43</v>
      </c>
      <c r="N265" s="54" t="s">
        <v>1118</v>
      </c>
      <c r="O265" s="68">
        <v>0</v>
      </c>
      <c r="P265" s="50" t="e">
        <v>#REF!</v>
      </c>
      <c r="Q265" s="62"/>
      <c r="R265" s="51" t="s">
        <v>295</v>
      </c>
      <c r="S265" s="51" t="s">
        <v>1119</v>
      </c>
      <c r="T265" s="12"/>
      <c r="U265" s="12"/>
      <c r="V265" s="12"/>
      <c r="W265" s="12"/>
      <c r="X265" s="14" t="e">
        <f t="array" ref="X265">IF(OR(AND(#REF!=""),AND(#REF!="-"),OR(NOT(ISERROR(SEARCH("-*",H265:L265))))),0,1)</f>
        <v>#REF!</v>
      </c>
      <c r="Y265" s="12"/>
      <c r="Z265" s="14">
        <f t="array" ref="Z265">IF(AND(E265:G265="-"),0,IF(OR(NOT(ISERROR(SEARCH("+*",H265:L265)))),2,IF(OR(NOT(ISERROR(SEARCH("--*",E265:L265)))),-1,IF(OR(NOT(E265:G265="")),1,0))))</f>
        <v>2</v>
      </c>
      <c r="AA265" s="14">
        <v>449</v>
      </c>
      <c r="AB265" s="12"/>
    </row>
    <row r="266" spans="1:28" ht="280.5">
      <c r="A266" s="41">
        <v>412</v>
      </c>
      <c r="B266" s="66" t="s">
        <v>1120</v>
      </c>
      <c r="C266" s="66" t="s">
        <v>1121</v>
      </c>
      <c r="D266" s="66" t="s">
        <v>1122</v>
      </c>
      <c r="E266" s="43"/>
      <c r="F266" s="44"/>
      <c r="G266" s="53"/>
      <c r="H266" s="46"/>
      <c r="I266" s="58" t="s">
        <v>111</v>
      </c>
      <c r="J266" s="48"/>
      <c r="K266" s="61"/>
      <c r="L266" s="46"/>
      <c r="M266" s="56" t="s">
        <v>86</v>
      </c>
      <c r="N266" s="54" t="s">
        <v>1085</v>
      </c>
      <c r="O266" s="68">
        <v>0</v>
      </c>
      <c r="P266" s="50" t="e">
        <v>#REF!</v>
      </c>
      <c r="Q266" s="62"/>
      <c r="R266" s="51" t="s">
        <v>43</v>
      </c>
      <c r="S266" s="51" t="s">
        <v>1123</v>
      </c>
      <c r="T266" s="12"/>
      <c r="U266" s="12"/>
      <c r="V266" s="12"/>
      <c r="W266" s="12"/>
      <c r="X266" s="14" t="e">
        <f t="array" ref="X266">IF(OR(AND(#REF!=""),AND(#REF!="-"),OR(NOT(ISERROR(SEARCH("-*",H266:L266))))),0,1)</f>
        <v>#REF!</v>
      </c>
      <c r="Y266" s="12"/>
      <c r="Z266" s="14">
        <f t="array" ref="Z266">IF(AND(E266:G266="-"),0,IF(OR(NOT(ISERROR(SEARCH("+*",H266:L266)))),2,IF(OR(NOT(ISERROR(SEARCH("--*",E266:L266)))),-1,IF(OR(NOT(E266:G266="")),1,0))))</f>
        <v>2</v>
      </c>
      <c r="AA266" s="14">
        <v>450</v>
      </c>
      <c r="AB266" s="12"/>
    </row>
    <row r="267" spans="1:28" ht="38.25">
      <c r="A267" s="41">
        <v>413</v>
      </c>
      <c r="B267" s="66" t="s">
        <v>1124</v>
      </c>
      <c r="C267" s="66" t="s">
        <v>1125</v>
      </c>
      <c r="D267" s="66" t="s">
        <v>1126</v>
      </c>
      <c r="E267" s="43"/>
      <c r="F267" s="44"/>
      <c r="G267" s="53" t="s">
        <v>42</v>
      </c>
      <c r="H267" s="46"/>
      <c r="I267" s="47"/>
      <c r="J267" s="48"/>
      <c r="K267" s="49"/>
      <c r="L267" s="46"/>
      <c r="M267" s="56" t="s">
        <v>86</v>
      </c>
      <c r="N267" s="54" t="s">
        <v>1127</v>
      </c>
      <c r="O267" s="68">
        <v>0</v>
      </c>
      <c r="P267" s="50" t="e">
        <v>#REF!</v>
      </c>
      <c r="Q267" s="62"/>
      <c r="R267" s="51"/>
      <c r="S267" s="51"/>
      <c r="T267" s="12"/>
      <c r="U267" s="12"/>
      <c r="V267" s="12"/>
      <c r="W267" s="12"/>
      <c r="X267" s="14" t="e">
        <f t="array" ref="X267">IF(OR(AND(#REF!=""),AND(#REF!="-"),OR(NOT(ISERROR(SEARCH("-*",H267:L267))))),0,1)</f>
        <v>#REF!</v>
      </c>
      <c r="Y267" s="12"/>
      <c r="Z267" s="14">
        <f t="array" ref="Z267">IF(AND(E267:G267="-"),0,IF(OR(NOT(ISERROR(SEARCH("+*",H267:L267)))),2,IF(OR(NOT(ISERROR(SEARCH("--*",E267:L267)))),-1,IF(OR(NOT(E267:G267="")),1,0))))</f>
        <v>1</v>
      </c>
      <c r="AA267" s="14">
        <v>451</v>
      </c>
      <c r="AB267" s="12"/>
    </row>
    <row r="268" spans="1:28" ht="255">
      <c r="A268" s="41">
        <v>417</v>
      </c>
      <c r="B268" s="66" t="s">
        <v>1128</v>
      </c>
      <c r="C268" s="66" t="s">
        <v>1129</v>
      </c>
      <c r="D268" s="42" t="s">
        <v>1130</v>
      </c>
      <c r="E268" s="43" t="s">
        <v>42</v>
      </c>
      <c r="F268" s="44" t="s">
        <v>42</v>
      </c>
      <c r="G268" s="53"/>
      <c r="H268" s="46"/>
      <c r="I268" s="58" t="s">
        <v>548</v>
      </c>
      <c r="J268" s="48"/>
      <c r="K268" s="59" t="s">
        <v>548</v>
      </c>
      <c r="L268" s="46"/>
      <c r="M268" s="56" t="s">
        <v>84</v>
      </c>
      <c r="N268" s="66" t="s">
        <v>1131</v>
      </c>
      <c r="O268" s="68">
        <v>0</v>
      </c>
      <c r="P268" s="50" t="e">
        <v>#REF!</v>
      </c>
      <c r="Q268" s="62" t="s">
        <v>44</v>
      </c>
      <c r="R268" s="51" t="s">
        <v>295</v>
      </c>
      <c r="S268" s="51" t="s">
        <v>1132</v>
      </c>
      <c r="T268" s="12"/>
      <c r="U268" s="12"/>
      <c r="V268" s="12"/>
      <c r="W268" s="12"/>
      <c r="X268" s="14" t="e">
        <f t="array" ref="X268">IF(OR(AND(#REF!=""),AND(#REF!="-"),OR(NOT(ISERROR(SEARCH("-*",H268:L268))))),0,1)</f>
        <v>#REF!</v>
      </c>
      <c r="Y268" s="12"/>
      <c r="Z268" s="14">
        <f t="array" ref="Z268">IF(AND(E268:G268="-"),0,IF(OR(NOT(ISERROR(SEARCH("+*",H268:L268)))),2,IF(OR(NOT(ISERROR(SEARCH("--*",E268:L268)))),-1,IF(OR(NOT(E268:G268="")),1,0))))</f>
        <v>2</v>
      </c>
      <c r="AA268" s="14">
        <v>455</v>
      </c>
      <c r="AB268" s="12"/>
    </row>
    <row r="269" spans="1:28" ht="216.75">
      <c r="A269" s="41">
        <v>418</v>
      </c>
      <c r="B269" s="66" t="s">
        <v>1133</v>
      </c>
      <c r="C269" s="66" t="s">
        <v>1134</v>
      </c>
      <c r="D269" s="42" t="s">
        <v>1135</v>
      </c>
      <c r="E269" s="43" t="s">
        <v>42</v>
      </c>
      <c r="F269" s="57" t="s">
        <v>42</v>
      </c>
      <c r="G269" s="53"/>
      <c r="H269" s="46"/>
      <c r="I269" s="58" t="s">
        <v>111</v>
      </c>
      <c r="J269" s="48"/>
      <c r="K269" s="59" t="s">
        <v>111</v>
      </c>
      <c r="L269" s="46"/>
      <c r="M269" s="56" t="s">
        <v>84</v>
      </c>
      <c r="N269" s="66" t="s">
        <v>1131</v>
      </c>
      <c r="O269" s="68">
        <v>0</v>
      </c>
      <c r="P269" s="50" t="e">
        <v>#REF!</v>
      </c>
      <c r="Q269" s="62" t="s">
        <v>44</v>
      </c>
      <c r="R269" s="51" t="s">
        <v>295</v>
      </c>
      <c r="S269" s="51" t="s">
        <v>1136</v>
      </c>
      <c r="T269" s="12"/>
      <c r="U269" s="12"/>
      <c r="V269" s="12"/>
      <c r="W269" s="12"/>
      <c r="X269" s="14" t="e">
        <f t="array" ref="X269">IF(OR(AND(#REF!=""),AND(#REF!="-"),OR(NOT(ISERROR(SEARCH("-*",H269:L269))))),0,1)</f>
        <v>#REF!</v>
      </c>
      <c r="Y269" s="12"/>
      <c r="Z269" s="14">
        <f t="array" ref="Z269">IF(AND(E269:G269="-"),0,IF(OR(NOT(ISERROR(SEARCH("+*",H269:L269)))),2,IF(OR(NOT(ISERROR(SEARCH("--*",E269:L269)))),-1,IF(OR(NOT(E269:G269="")),1,0))))</f>
        <v>2</v>
      </c>
      <c r="AA269" s="14">
        <v>456</v>
      </c>
      <c r="AB269" s="12"/>
    </row>
    <row r="270" spans="1:28" ht="153">
      <c r="A270" s="41">
        <v>419</v>
      </c>
      <c r="B270" s="66" t="s">
        <v>1137</v>
      </c>
      <c r="C270" s="66" t="s">
        <v>1138</v>
      </c>
      <c r="D270" s="42" t="s">
        <v>1139</v>
      </c>
      <c r="E270" s="43" t="s">
        <v>42</v>
      </c>
      <c r="F270" s="57"/>
      <c r="G270" s="53"/>
      <c r="H270" s="46"/>
      <c r="I270" s="58" t="s">
        <v>111</v>
      </c>
      <c r="J270" s="48"/>
      <c r="K270" s="59" t="s">
        <v>111</v>
      </c>
      <c r="L270" s="46"/>
      <c r="M270" s="56" t="s">
        <v>84</v>
      </c>
      <c r="N270" s="66" t="s">
        <v>1131</v>
      </c>
      <c r="O270" s="68">
        <v>0</v>
      </c>
      <c r="P270" s="50" t="e">
        <v>#REF!</v>
      </c>
      <c r="Q270" s="62" t="s">
        <v>44</v>
      </c>
      <c r="R270" s="51" t="s">
        <v>295</v>
      </c>
      <c r="S270" s="51" t="s">
        <v>1140</v>
      </c>
      <c r="T270" s="12"/>
      <c r="U270" s="12"/>
      <c r="V270" s="12"/>
      <c r="W270" s="12"/>
      <c r="X270" s="14" t="e">
        <f t="array" ref="X270">IF(OR(AND(#REF!=""),AND(#REF!="-"),OR(NOT(ISERROR(SEARCH("-*",H270:L270))))),0,1)</f>
        <v>#REF!</v>
      </c>
      <c r="Y270" s="12"/>
      <c r="Z270" s="14">
        <f t="array" ref="Z270">IF(AND(E270:G270="-"),0,IF(OR(NOT(ISERROR(SEARCH("+*",H270:L270)))),2,IF(OR(NOT(ISERROR(SEARCH("--*",E270:L270)))),-1,IF(OR(NOT(E270:G270="")),1,0))))</f>
        <v>2</v>
      </c>
      <c r="AA270" s="14">
        <v>459</v>
      </c>
      <c r="AB270" s="12"/>
    </row>
    <row r="271" spans="1:28" ht="267.75">
      <c r="A271" s="41">
        <v>420</v>
      </c>
      <c r="B271" s="66" t="s">
        <v>1141</v>
      </c>
      <c r="C271" s="66" t="s">
        <v>1142</v>
      </c>
      <c r="D271" s="66" t="s">
        <v>1143</v>
      </c>
      <c r="E271" s="43" t="s">
        <v>42</v>
      </c>
      <c r="F271" s="57" t="s">
        <v>42</v>
      </c>
      <c r="G271" s="53"/>
      <c r="H271" s="46"/>
      <c r="I271" s="58" t="s">
        <v>106</v>
      </c>
      <c r="J271" s="48"/>
      <c r="K271" s="59" t="s">
        <v>106</v>
      </c>
      <c r="L271" s="46"/>
      <c r="M271" s="56" t="s">
        <v>84</v>
      </c>
      <c r="N271" s="66" t="s">
        <v>1131</v>
      </c>
      <c r="O271" s="68">
        <v>0</v>
      </c>
      <c r="P271" s="50" t="e">
        <v>#REF!</v>
      </c>
      <c r="Q271" s="62" t="s">
        <v>44</v>
      </c>
      <c r="R271" s="51" t="s">
        <v>295</v>
      </c>
      <c r="S271" s="51" t="s">
        <v>1144</v>
      </c>
      <c r="T271" s="12"/>
      <c r="U271" s="12"/>
      <c r="V271" s="12"/>
      <c r="W271" s="12"/>
      <c r="X271" s="14" t="e">
        <f t="array" ref="X271">IF(OR(AND(#REF!=""),AND(#REF!="-"),OR(NOT(ISERROR(SEARCH("-*",H271:L271))))),0,1)</f>
        <v>#REF!</v>
      </c>
      <c r="Y271" s="12"/>
      <c r="Z271" s="14">
        <f t="array" ref="Z271">IF(AND(E271:G271="-"),0,IF(OR(NOT(ISERROR(SEARCH("+*",H271:L271)))),2,IF(OR(NOT(ISERROR(SEARCH("--*",E271:L271)))),-1,IF(OR(NOT(E271:G271="")),1,0))))</f>
        <v>2</v>
      </c>
      <c r="AA271" s="14">
        <v>460</v>
      </c>
      <c r="AB271" s="12"/>
    </row>
    <row r="272" spans="1:28" ht="153">
      <c r="A272" s="41">
        <v>422</v>
      </c>
      <c r="B272" s="66" t="s">
        <v>1145</v>
      </c>
      <c r="C272" s="66" t="s">
        <v>1146</v>
      </c>
      <c r="D272" s="66" t="s">
        <v>1147</v>
      </c>
      <c r="E272" s="43" t="s">
        <v>42</v>
      </c>
      <c r="F272" s="44" t="s">
        <v>42</v>
      </c>
      <c r="G272" s="53"/>
      <c r="H272" s="46"/>
      <c r="I272" s="58" t="s">
        <v>186</v>
      </c>
      <c r="J272" s="48"/>
      <c r="K272" s="59" t="s">
        <v>186</v>
      </c>
      <c r="L272" s="46"/>
      <c r="M272" s="56" t="s">
        <v>84</v>
      </c>
      <c r="N272" s="66" t="s">
        <v>1131</v>
      </c>
      <c r="O272" s="68">
        <v>0</v>
      </c>
      <c r="P272" s="50" t="e">
        <v>#REF!</v>
      </c>
      <c r="Q272" s="62" t="s">
        <v>44</v>
      </c>
      <c r="R272" s="51" t="s">
        <v>295</v>
      </c>
      <c r="S272" s="51" t="s">
        <v>1148</v>
      </c>
      <c r="T272" s="12"/>
      <c r="U272" s="12"/>
      <c r="V272" s="12"/>
      <c r="W272" s="12"/>
      <c r="X272" s="14" t="e">
        <f t="array" ref="X272">IF(OR(AND(#REF!=""),AND(#REF!="-"),OR(NOT(ISERROR(SEARCH("-*",H272:L272))))),0,1)</f>
        <v>#REF!</v>
      </c>
      <c r="Y272" s="12"/>
      <c r="Z272" s="14">
        <f t="array" ref="Z272">IF(AND(E272:G272="-"),0,IF(OR(NOT(ISERROR(SEARCH("+*",H272:L272)))),2,IF(OR(NOT(ISERROR(SEARCH("--*",E272:L272)))),-1,IF(OR(NOT(E272:G272="")),1,0))))</f>
        <v>2</v>
      </c>
      <c r="AA272" s="14">
        <v>463</v>
      </c>
      <c r="AB272" s="12"/>
    </row>
    <row r="273" spans="1:28" ht="242.25">
      <c r="A273" s="41">
        <v>423</v>
      </c>
      <c r="B273" s="66" t="s">
        <v>1149</v>
      </c>
      <c r="C273" s="66" t="s">
        <v>1150</v>
      </c>
      <c r="D273" s="66" t="s">
        <v>1151</v>
      </c>
      <c r="E273" s="43"/>
      <c r="F273" s="57"/>
      <c r="G273" s="53"/>
      <c r="H273" s="46"/>
      <c r="I273" s="58" t="s">
        <v>300</v>
      </c>
      <c r="J273" s="48"/>
      <c r="K273" s="59" t="s">
        <v>548</v>
      </c>
      <c r="L273" s="46"/>
      <c r="M273" s="56" t="s">
        <v>84</v>
      </c>
      <c r="N273" s="66" t="s">
        <v>1131</v>
      </c>
      <c r="O273" s="68">
        <v>0</v>
      </c>
      <c r="P273" s="50" t="e">
        <v>#REF!</v>
      </c>
      <c r="Q273" s="62" t="s">
        <v>86</v>
      </c>
      <c r="R273" s="51" t="s">
        <v>295</v>
      </c>
      <c r="S273" s="51" t="s">
        <v>1152</v>
      </c>
      <c r="T273" s="12"/>
      <c r="U273" s="12"/>
      <c r="V273" s="12"/>
      <c r="W273" s="12"/>
      <c r="X273" s="14" t="e">
        <f t="array" ref="X273">IF(OR(AND(#REF!=""),AND(#REF!="-"),OR(NOT(ISERROR(SEARCH("-*",H273:L273))))),0,1)</f>
        <v>#REF!</v>
      </c>
      <c r="Y273" s="12"/>
      <c r="Z273" s="14">
        <f t="array" ref="Z273">IF(AND(E273:G273="-"),0,IF(OR(NOT(ISERROR(SEARCH("+*",H273:L273)))),2,IF(OR(NOT(ISERROR(SEARCH("--*",E273:L273)))),-1,IF(OR(NOT(E273:G273="")),1,0))))</f>
        <v>2</v>
      </c>
      <c r="AA273" s="14">
        <v>466</v>
      </c>
      <c r="AB273" s="12"/>
    </row>
    <row r="274" spans="1:28" ht="89.25">
      <c r="A274" s="41">
        <v>424</v>
      </c>
      <c r="B274" s="66" t="s">
        <v>1153</v>
      </c>
      <c r="C274" s="66" t="s">
        <v>1092</v>
      </c>
      <c r="D274" s="66" t="s">
        <v>1154</v>
      </c>
      <c r="E274" s="43" t="s">
        <v>42</v>
      </c>
      <c r="F274" s="57" t="s">
        <v>42</v>
      </c>
      <c r="G274" s="53"/>
      <c r="H274" s="46"/>
      <c r="I274" s="58" t="s">
        <v>548</v>
      </c>
      <c r="J274" s="48"/>
      <c r="K274" s="59" t="s">
        <v>548</v>
      </c>
      <c r="L274" s="46"/>
      <c r="M274" s="56" t="s">
        <v>84</v>
      </c>
      <c r="N274" s="66" t="s">
        <v>1131</v>
      </c>
      <c r="O274" s="68">
        <v>0</v>
      </c>
      <c r="P274" s="50" t="e">
        <v>#REF!</v>
      </c>
      <c r="Q274" s="62" t="s">
        <v>86</v>
      </c>
      <c r="R274" s="51" t="s">
        <v>51</v>
      </c>
      <c r="S274" s="51" t="s">
        <v>1155</v>
      </c>
      <c r="T274" s="12"/>
      <c r="U274" s="12"/>
      <c r="V274" s="12"/>
      <c r="W274" s="12"/>
      <c r="X274" s="14" t="e">
        <f t="array" ref="X274">IF(OR(AND(#REF!=""),AND(#REF!="-"),OR(NOT(ISERROR(SEARCH("-*",H274:L274))))),0,1)</f>
        <v>#REF!</v>
      </c>
      <c r="Y274" s="12"/>
      <c r="Z274" s="14">
        <f t="array" ref="Z274">IF(AND(E274:G274="-"),0,IF(OR(NOT(ISERROR(SEARCH("+*",H274:L274)))),2,IF(OR(NOT(ISERROR(SEARCH("--*",E274:L274)))),-1,IF(OR(NOT(E274:G274="")),1,0))))</f>
        <v>2</v>
      </c>
      <c r="AA274" s="14">
        <v>467</v>
      </c>
      <c r="AB274" s="12"/>
    </row>
    <row r="275" spans="1:28" ht="242.25">
      <c r="A275" s="41">
        <v>425</v>
      </c>
      <c r="B275" s="66" t="s">
        <v>1156</v>
      </c>
      <c r="C275" s="66" t="s">
        <v>1157</v>
      </c>
      <c r="D275" s="66" t="s">
        <v>1158</v>
      </c>
      <c r="E275" s="43" t="s">
        <v>42</v>
      </c>
      <c r="F275" s="57"/>
      <c r="G275" s="53"/>
      <c r="H275" s="46"/>
      <c r="I275" s="77" t="s">
        <v>1159</v>
      </c>
      <c r="J275" s="48"/>
      <c r="K275" s="59" t="s">
        <v>106</v>
      </c>
      <c r="L275" s="46"/>
      <c r="M275" s="56" t="s">
        <v>84</v>
      </c>
      <c r="N275" s="66" t="s">
        <v>1131</v>
      </c>
      <c r="O275" s="68">
        <v>0</v>
      </c>
      <c r="P275" s="50" t="e">
        <v>#REF!</v>
      </c>
      <c r="Q275" s="62" t="s">
        <v>44</v>
      </c>
      <c r="R275" s="51" t="s">
        <v>43</v>
      </c>
      <c r="S275" s="51" t="s">
        <v>1160</v>
      </c>
      <c r="T275" s="12"/>
      <c r="U275" s="12"/>
      <c r="V275" s="12"/>
      <c r="W275" s="12"/>
      <c r="X275" s="14" t="e">
        <f t="array" ref="X275">IF(OR(AND(#REF!=""),AND(#REF!="-"),OR(NOT(ISERROR(SEARCH("-*",H275:L275))))),0,1)</f>
        <v>#REF!</v>
      </c>
      <c r="Y275" s="12"/>
      <c r="Z275" s="14">
        <f t="array" ref="Z275">IF(AND(E275:G275="-"),0,IF(OR(NOT(ISERROR(SEARCH("+*",H275:L275)))),2,IF(OR(NOT(ISERROR(SEARCH("--*",E275:L275)))),-1,IF(OR(NOT(E275:G275="")),1,0))))</f>
        <v>2</v>
      </c>
      <c r="AA275" s="14">
        <v>468</v>
      </c>
      <c r="AB275" s="12"/>
    </row>
    <row r="276" spans="1:28" ht="114.75">
      <c r="A276" s="41">
        <v>426</v>
      </c>
      <c r="B276" s="66" t="s">
        <v>1161</v>
      </c>
      <c r="C276" s="66" t="s">
        <v>1162</v>
      </c>
      <c r="D276" s="66" t="s">
        <v>1163</v>
      </c>
      <c r="E276" s="19"/>
      <c r="F276" s="57"/>
      <c r="G276" s="53"/>
      <c r="H276" s="46"/>
      <c r="I276" s="58" t="s">
        <v>125</v>
      </c>
      <c r="J276" s="48"/>
      <c r="K276" s="59" t="s">
        <v>111</v>
      </c>
      <c r="L276" s="46"/>
      <c r="M276" s="56" t="s">
        <v>84</v>
      </c>
      <c r="N276" s="66" t="s">
        <v>1131</v>
      </c>
      <c r="O276" s="68">
        <v>0</v>
      </c>
      <c r="P276" s="50" t="e">
        <v>#REF!</v>
      </c>
      <c r="Q276" s="62"/>
      <c r="R276" s="51" t="s">
        <v>43</v>
      </c>
      <c r="S276" s="51" t="s">
        <v>1164</v>
      </c>
      <c r="T276" s="12"/>
      <c r="U276" s="12"/>
      <c r="V276" s="12"/>
      <c r="W276" s="12"/>
      <c r="X276" s="14" t="e">
        <f t="array" ref="X276">IF(OR(AND(#REF!=""),AND(#REF!="-"),OR(NOT(ISERROR(SEARCH("-*",H276:L276))))),0,1)</f>
        <v>#REF!</v>
      </c>
      <c r="Y276" s="12"/>
      <c r="Z276" s="14">
        <f t="array" ref="Z276">IF(AND(E276:G276="-"),0,IF(OR(NOT(ISERROR(SEARCH("+*",H276:L276)))),2,IF(OR(NOT(ISERROR(SEARCH("--*",E276:L276)))),-1,IF(OR(NOT(E276:G276="")),1,0))))</f>
        <v>2</v>
      </c>
      <c r="AA276" s="14">
        <v>469</v>
      </c>
      <c r="AB276" s="12"/>
    </row>
    <row r="277" spans="1:28" ht="204">
      <c r="A277" s="41">
        <v>427</v>
      </c>
      <c r="B277" s="66" t="s">
        <v>1165</v>
      </c>
      <c r="C277" s="66" t="s">
        <v>1166</v>
      </c>
      <c r="D277" s="66" t="s">
        <v>1167</v>
      </c>
      <c r="E277" s="19"/>
      <c r="F277" s="57"/>
      <c r="G277" s="53"/>
      <c r="H277" s="46"/>
      <c r="I277" s="58" t="s">
        <v>125</v>
      </c>
      <c r="J277" s="48"/>
      <c r="K277" s="59" t="s">
        <v>111</v>
      </c>
      <c r="L277" s="46"/>
      <c r="M277" s="56" t="s">
        <v>84</v>
      </c>
      <c r="N277" s="66" t="s">
        <v>1131</v>
      </c>
      <c r="O277" s="68">
        <v>0</v>
      </c>
      <c r="P277" s="50" t="e">
        <v>#REF!</v>
      </c>
      <c r="Q277" s="62" t="s">
        <v>44</v>
      </c>
      <c r="R277" s="51" t="s">
        <v>43</v>
      </c>
      <c r="S277" s="51" t="s">
        <v>1168</v>
      </c>
      <c r="T277" s="12"/>
      <c r="U277" s="12"/>
      <c r="V277" s="12"/>
      <c r="W277" s="12"/>
      <c r="X277" s="14" t="e">
        <f t="array" ref="X277">IF(OR(AND(#REF!=""),AND(#REF!="-"),OR(NOT(ISERROR(SEARCH("-*",H277:L277))))),0,1)</f>
        <v>#REF!</v>
      </c>
      <c r="Y277" s="12"/>
      <c r="Z277" s="14">
        <f t="array" ref="Z277">IF(AND(E277:G277="-"),0,IF(OR(NOT(ISERROR(SEARCH("+*",H277:L277)))),2,IF(OR(NOT(ISERROR(SEARCH("--*",E277:L277)))),-1,IF(OR(NOT(E277:G277="")),1,0))))</f>
        <v>2</v>
      </c>
      <c r="AA277" s="14">
        <v>470</v>
      </c>
      <c r="AB277" s="12"/>
    </row>
    <row r="278" spans="1:28" ht="165.75">
      <c r="A278" s="41">
        <v>428</v>
      </c>
      <c r="B278" s="66" t="s">
        <v>1169</v>
      </c>
      <c r="C278" s="66" t="s">
        <v>1170</v>
      </c>
      <c r="D278" s="42" t="s">
        <v>1171</v>
      </c>
      <c r="E278" s="19"/>
      <c r="F278" s="57"/>
      <c r="G278" s="53"/>
      <c r="H278" s="46"/>
      <c r="I278" s="58" t="s">
        <v>125</v>
      </c>
      <c r="J278" s="48"/>
      <c r="K278" s="59" t="s">
        <v>111</v>
      </c>
      <c r="L278" s="46"/>
      <c r="M278" s="56" t="s">
        <v>84</v>
      </c>
      <c r="N278" s="66" t="s">
        <v>1131</v>
      </c>
      <c r="O278" s="68">
        <v>0</v>
      </c>
      <c r="P278" s="50" t="e">
        <v>#REF!</v>
      </c>
      <c r="Q278" s="62" t="s">
        <v>86</v>
      </c>
      <c r="R278" s="51" t="s">
        <v>51</v>
      </c>
      <c r="S278" s="51" t="s">
        <v>1172</v>
      </c>
      <c r="T278" s="12"/>
      <c r="U278" s="12"/>
      <c r="V278" s="12"/>
      <c r="W278" s="12"/>
      <c r="X278" s="14" t="e">
        <f t="array" ref="X278">IF(OR(AND(#REF!=""),AND(#REF!="-"),OR(NOT(ISERROR(SEARCH("-*",H278:L278))))),0,1)</f>
        <v>#REF!</v>
      </c>
      <c r="Y278" s="12"/>
      <c r="Z278" s="14">
        <f t="array" ref="Z278">IF(AND(E278:G278="-"),0,IF(OR(NOT(ISERROR(SEARCH("+*",H278:L278)))),2,IF(OR(NOT(ISERROR(SEARCH("--*",E278:L278)))),-1,IF(OR(NOT(E278:G278="")),1,0))))</f>
        <v>2</v>
      </c>
      <c r="AA278" s="14">
        <v>471</v>
      </c>
      <c r="AB278" s="12"/>
    </row>
    <row r="279" spans="1:28" ht="204">
      <c r="A279" s="41">
        <v>431</v>
      </c>
      <c r="B279" s="66" t="s">
        <v>1173</v>
      </c>
      <c r="C279" s="66" t="s">
        <v>1174</v>
      </c>
      <c r="D279" s="42" t="s">
        <v>1175</v>
      </c>
      <c r="E279" s="43" t="s">
        <v>42</v>
      </c>
      <c r="F279" s="57" t="s">
        <v>42</v>
      </c>
      <c r="G279" s="53"/>
      <c r="H279" s="46"/>
      <c r="I279" s="58" t="s">
        <v>111</v>
      </c>
      <c r="J279" s="48"/>
      <c r="K279" s="59" t="s">
        <v>111</v>
      </c>
      <c r="L279" s="46"/>
      <c r="M279" s="56" t="s">
        <v>84</v>
      </c>
      <c r="N279" s="66" t="s">
        <v>1131</v>
      </c>
      <c r="O279" s="68">
        <v>0</v>
      </c>
      <c r="P279" s="50" t="e">
        <v>#REF!</v>
      </c>
      <c r="Q279" s="62" t="s">
        <v>86</v>
      </c>
      <c r="R279" s="51" t="s">
        <v>43</v>
      </c>
      <c r="S279" s="51" t="s">
        <v>1176</v>
      </c>
      <c r="T279" s="12"/>
      <c r="U279" s="12"/>
      <c r="V279" s="12"/>
      <c r="W279" s="12"/>
      <c r="X279" s="14" t="e">
        <f t="array" ref="X279">IF(OR(AND(#REF!=""),AND(#REF!="-"),OR(NOT(ISERROR(SEARCH("-*",H279:L279))))),0,1)</f>
        <v>#REF!</v>
      </c>
      <c r="Y279" s="12"/>
      <c r="Z279" s="14">
        <f t="array" ref="Z279">IF(AND(E279:G279="-"),0,IF(OR(NOT(ISERROR(SEARCH("+*",H279:L279)))),2,IF(OR(NOT(ISERROR(SEARCH("--*",E279:L279)))),-1,IF(OR(NOT(E279:G279="")),1,0))))</f>
        <v>2</v>
      </c>
      <c r="AA279" s="14">
        <v>477</v>
      </c>
      <c r="AB279" s="12"/>
    </row>
    <row r="280" spans="1:28" ht="242.25">
      <c r="A280" s="41">
        <v>432</v>
      </c>
      <c r="B280" s="66" t="s">
        <v>1177</v>
      </c>
      <c r="C280" s="66" t="s">
        <v>1178</v>
      </c>
      <c r="D280" s="66" t="s">
        <v>1179</v>
      </c>
      <c r="E280" s="43"/>
      <c r="F280" s="57" t="s">
        <v>42</v>
      </c>
      <c r="G280" s="53"/>
      <c r="H280" s="46"/>
      <c r="I280" s="47"/>
      <c r="J280" s="48"/>
      <c r="K280" s="49"/>
      <c r="L280" s="46"/>
      <c r="M280" s="56" t="s">
        <v>84</v>
      </c>
      <c r="N280" s="66" t="s">
        <v>1131</v>
      </c>
      <c r="O280" s="68">
        <v>0</v>
      </c>
      <c r="P280" s="50" t="e">
        <v>#REF!</v>
      </c>
      <c r="Q280" s="62"/>
      <c r="R280" s="51" t="s">
        <v>295</v>
      </c>
      <c r="S280" s="51" t="s">
        <v>1180</v>
      </c>
      <c r="T280" s="12"/>
      <c r="U280" s="12"/>
      <c r="V280" s="12"/>
      <c r="W280" s="12"/>
      <c r="X280" s="14" t="e">
        <f t="array" ref="X280">IF(OR(AND(#REF!=""),AND(#REF!="-"),OR(NOT(ISERROR(SEARCH("-*",H280:L280))))),0,1)</f>
        <v>#REF!</v>
      </c>
      <c r="Y280" s="12"/>
      <c r="Z280" s="14">
        <f t="array" ref="Z280">IF(AND(E280:G280="-"),0,IF(OR(NOT(ISERROR(SEARCH("+*",H280:L280)))),2,IF(OR(NOT(ISERROR(SEARCH("--*",E280:L280)))),-1,IF(OR(NOT(E280:G280="")),1,0))))</f>
        <v>1</v>
      </c>
      <c r="AA280" s="14">
        <v>478</v>
      </c>
      <c r="AB280" s="12"/>
    </row>
    <row r="281" spans="1:28" ht="306">
      <c r="A281" s="41">
        <v>434</v>
      </c>
      <c r="B281" s="66" t="s">
        <v>1181</v>
      </c>
      <c r="C281" s="66" t="s">
        <v>1182</v>
      </c>
      <c r="D281" s="42" t="s">
        <v>1183</v>
      </c>
      <c r="E281" s="43"/>
      <c r="F281" s="57"/>
      <c r="G281" s="53"/>
      <c r="H281" s="46"/>
      <c r="I281" s="58" t="s">
        <v>125</v>
      </c>
      <c r="J281" s="48"/>
      <c r="K281" s="59" t="s">
        <v>125</v>
      </c>
      <c r="L281" s="46"/>
      <c r="M281" s="56" t="s">
        <v>86</v>
      </c>
      <c r="N281" s="54" t="s">
        <v>1127</v>
      </c>
      <c r="O281" s="68">
        <v>0</v>
      </c>
      <c r="P281" s="50" t="e">
        <v>#REF!</v>
      </c>
      <c r="Q281" s="62"/>
      <c r="R281" s="51" t="s">
        <v>43</v>
      </c>
      <c r="S281" s="51" t="s">
        <v>1184</v>
      </c>
      <c r="T281" s="12"/>
      <c r="U281" s="12"/>
      <c r="V281" s="12"/>
      <c r="W281" s="12"/>
      <c r="X281" s="14" t="e">
        <f t="array" ref="X281">IF(OR(AND(#REF!=""),AND(#REF!="-"),OR(NOT(ISERROR(SEARCH("-*",H281:L281))))),0,1)</f>
        <v>#REF!</v>
      </c>
      <c r="Y281" s="12"/>
      <c r="Z281" s="14">
        <f t="array" ref="Z281">IF(AND(E281:G281="-"),0,IF(OR(NOT(ISERROR(SEARCH("+*",H281:L281)))),2,IF(OR(NOT(ISERROR(SEARCH("--*",E281:L281)))),-1,IF(OR(NOT(E281:G281="")),1,0))))</f>
        <v>2</v>
      </c>
      <c r="AA281" s="14">
        <v>480</v>
      </c>
      <c r="AB281" s="12"/>
    </row>
    <row r="282" spans="1:28" ht="89.25">
      <c r="A282" s="41">
        <v>435</v>
      </c>
      <c r="B282" s="66" t="s">
        <v>1185</v>
      </c>
      <c r="C282" s="66" t="s">
        <v>1186</v>
      </c>
      <c r="D282" s="66" t="s">
        <v>1187</v>
      </c>
      <c r="E282" s="43"/>
      <c r="F282" s="57"/>
      <c r="G282" s="53"/>
      <c r="H282" s="46"/>
      <c r="I282" s="58" t="s">
        <v>125</v>
      </c>
      <c r="J282" s="48"/>
      <c r="K282" s="59" t="s">
        <v>125</v>
      </c>
      <c r="L282" s="46"/>
      <c r="M282" s="56" t="s">
        <v>86</v>
      </c>
      <c r="N282" s="54" t="s">
        <v>1127</v>
      </c>
      <c r="O282" s="68">
        <v>0</v>
      </c>
      <c r="P282" s="50" t="e">
        <v>#REF!</v>
      </c>
      <c r="Q282" s="62"/>
      <c r="R282" s="51" t="s">
        <v>43</v>
      </c>
      <c r="S282" s="51" t="s">
        <v>1188</v>
      </c>
      <c r="T282" s="12"/>
      <c r="U282" s="12"/>
      <c r="V282" s="12"/>
      <c r="W282" s="12"/>
      <c r="X282" s="14" t="e">
        <f t="array" ref="X282">IF(OR(AND(#REF!=""),AND(#REF!="-"),OR(NOT(ISERROR(SEARCH("-*",H282:L282))))),0,1)</f>
        <v>#REF!</v>
      </c>
      <c r="Y282" s="12"/>
      <c r="Z282" s="14">
        <f t="array" ref="Z282">IF(AND(E282:G282="-"),0,IF(OR(NOT(ISERROR(SEARCH("+*",H282:L282)))),2,IF(OR(NOT(ISERROR(SEARCH("--*",E282:L282)))),-1,IF(OR(NOT(E282:G282="")),1,0))))</f>
        <v>2</v>
      </c>
      <c r="AA282" s="14">
        <v>481</v>
      </c>
      <c r="AB282" s="12"/>
    </row>
    <row r="283" spans="1:28" ht="204">
      <c r="A283" s="41">
        <v>436</v>
      </c>
      <c r="B283" s="66" t="s">
        <v>1189</v>
      </c>
      <c r="C283" s="66" t="s">
        <v>1166</v>
      </c>
      <c r="D283" s="42" t="s">
        <v>1190</v>
      </c>
      <c r="E283" s="43"/>
      <c r="F283" s="57"/>
      <c r="G283" s="53"/>
      <c r="H283" s="46"/>
      <c r="I283" s="58" t="s">
        <v>125</v>
      </c>
      <c r="J283" s="48"/>
      <c r="K283" s="59" t="s">
        <v>125</v>
      </c>
      <c r="L283" s="46"/>
      <c r="M283" s="56" t="s">
        <v>86</v>
      </c>
      <c r="N283" s="54" t="s">
        <v>1127</v>
      </c>
      <c r="O283" s="68">
        <v>0</v>
      </c>
      <c r="P283" s="50" t="e">
        <v>#REF!</v>
      </c>
      <c r="Q283" s="62"/>
      <c r="R283" s="51" t="s">
        <v>51</v>
      </c>
      <c r="S283" s="51" t="s">
        <v>1191</v>
      </c>
      <c r="T283" s="12"/>
      <c r="U283" s="12"/>
      <c r="V283" s="12"/>
      <c r="W283" s="12"/>
      <c r="X283" s="14" t="e">
        <f t="array" ref="X283">IF(OR(AND(#REF!=""),AND(#REF!="-"),OR(NOT(ISERROR(SEARCH("-*",H283:L283))))),0,1)</f>
        <v>#REF!</v>
      </c>
      <c r="Y283" s="12"/>
      <c r="Z283" s="14">
        <f t="array" ref="Z283">IF(AND(E283:G283="-"),0,IF(OR(NOT(ISERROR(SEARCH("+*",H283:L283)))),2,IF(OR(NOT(ISERROR(SEARCH("--*",E283:L283)))),-1,IF(OR(NOT(E283:G283="")),1,0))))</f>
        <v>2</v>
      </c>
      <c r="AA283" s="14">
        <v>482</v>
      </c>
      <c r="AB283" s="12"/>
    </row>
    <row r="284" spans="1:28" ht="165.75">
      <c r="A284" s="41">
        <v>438</v>
      </c>
      <c r="B284" s="66" t="s">
        <v>1192</v>
      </c>
      <c r="C284" s="66" t="s">
        <v>1193</v>
      </c>
      <c r="D284" s="66" t="s">
        <v>1194</v>
      </c>
      <c r="E284" s="43"/>
      <c r="F284" s="57"/>
      <c r="G284" s="53"/>
      <c r="H284" s="46"/>
      <c r="I284" s="71" t="s">
        <v>125</v>
      </c>
      <c r="J284" s="48"/>
      <c r="K284" s="72" t="s">
        <v>125</v>
      </c>
      <c r="L284" s="46"/>
      <c r="M284" s="56" t="s">
        <v>86</v>
      </c>
      <c r="N284" s="54" t="s">
        <v>1127</v>
      </c>
      <c r="O284" s="68">
        <v>0</v>
      </c>
      <c r="P284" s="50" t="e">
        <v>#REF!</v>
      </c>
      <c r="Q284" s="65"/>
      <c r="R284" s="51" t="s">
        <v>43</v>
      </c>
      <c r="S284" s="51" t="s">
        <v>1195</v>
      </c>
      <c r="T284" s="12"/>
      <c r="U284" s="12"/>
      <c r="V284" s="12"/>
      <c r="W284" s="12"/>
      <c r="X284" s="14" t="e">
        <f t="array" ref="X284">IF(OR(AND(#REF!=""),AND(#REF!="-"),OR(NOT(ISERROR(SEARCH("-*",H284:L284))))),0,1)</f>
        <v>#REF!</v>
      </c>
      <c r="Y284" s="12"/>
      <c r="Z284" s="14">
        <f t="array" ref="Z284">IF(AND(E284:G284="-"),0,IF(OR(NOT(ISERROR(SEARCH("+*",H284:L284)))),2,IF(OR(NOT(ISERROR(SEARCH("--*",E284:L284)))),-1,IF(OR(NOT(E284:G284="")),1,0))))</f>
        <v>2</v>
      </c>
      <c r="AA284" s="14">
        <v>484</v>
      </c>
      <c r="AB284" s="12"/>
    </row>
    <row r="285" spans="1:28" ht="331.5">
      <c r="A285" s="41">
        <v>439</v>
      </c>
      <c r="B285" s="66" t="s">
        <v>1196</v>
      </c>
      <c r="C285" s="66" t="s">
        <v>1197</v>
      </c>
      <c r="D285" s="42" t="s">
        <v>1198</v>
      </c>
      <c r="E285" s="43" t="s">
        <v>42</v>
      </c>
      <c r="F285" s="44" t="s">
        <v>42</v>
      </c>
      <c r="G285" s="45" t="s">
        <v>42</v>
      </c>
      <c r="H285" s="46"/>
      <c r="I285" s="47"/>
      <c r="J285" s="48"/>
      <c r="K285" s="49"/>
      <c r="L285" s="46"/>
      <c r="M285" s="56" t="s">
        <v>86</v>
      </c>
      <c r="N285" s="54" t="s">
        <v>1199</v>
      </c>
      <c r="O285" s="56">
        <v>0</v>
      </c>
      <c r="P285" s="50" t="e">
        <v>#REF!</v>
      </c>
      <c r="Q285" s="62" t="s">
        <v>44</v>
      </c>
      <c r="R285" s="51" t="s">
        <v>43</v>
      </c>
      <c r="S285" s="51" t="s">
        <v>1200</v>
      </c>
      <c r="T285" s="12"/>
      <c r="U285" s="12"/>
      <c r="V285" s="12"/>
      <c r="W285" s="12"/>
      <c r="X285" s="14" t="e">
        <f t="array" ref="X285">IF(OR(AND(#REF!=""),AND(#REF!="-"),OR(NOT(ISERROR(SEARCH("-*",H285:L285))))),0,1)</f>
        <v>#REF!</v>
      </c>
      <c r="Y285" s="12"/>
      <c r="Z285" s="14">
        <f t="array" ref="Z285">IF(AND(E285:G285="-"),0,IF(OR(NOT(ISERROR(SEARCH("+*",H285:L285)))),2,IF(OR(NOT(ISERROR(SEARCH("--*",E285:L285)))),-1,IF(OR(NOT(E285:G285="")),1,0))))</f>
        <v>1</v>
      </c>
      <c r="AA285" s="14">
        <v>485</v>
      </c>
      <c r="AB285" s="12"/>
    </row>
    <row r="286" spans="1:28" ht="357">
      <c r="A286" s="41">
        <v>440</v>
      </c>
      <c r="B286" s="66" t="s">
        <v>1201</v>
      </c>
      <c r="C286" s="66" t="s">
        <v>1202</v>
      </c>
      <c r="D286" s="66" t="s">
        <v>1203</v>
      </c>
      <c r="E286" s="43" t="s">
        <v>42</v>
      </c>
      <c r="F286" s="44" t="s">
        <v>42</v>
      </c>
      <c r="G286" s="45" t="s">
        <v>42</v>
      </c>
      <c r="H286" s="46"/>
      <c r="I286" s="47"/>
      <c r="J286" s="48"/>
      <c r="K286" s="49"/>
      <c r="L286" s="46"/>
      <c r="M286" s="56" t="s">
        <v>86</v>
      </c>
      <c r="N286" s="54" t="s">
        <v>1199</v>
      </c>
      <c r="O286" s="56">
        <v>0</v>
      </c>
      <c r="P286" s="50" t="e">
        <v>#REF!</v>
      </c>
      <c r="Q286" s="62" t="s">
        <v>44</v>
      </c>
      <c r="R286" s="51" t="s">
        <v>295</v>
      </c>
      <c r="S286" s="51" t="s">
        <v>1204</v>
      </c>
      <c r="T286" s="12"/>
      <c r="U286" s="12"/>
      <c r="V286" s="12"/>
      <c r="W286" s="12"/>
      <c r="X286" s="14" t="e">
        <f t="array" ref="X286">IF(OR(AND(#REF!=""),AND(#REF!="-"),OR(NOT(ISERROR(SEARCH("-*",H286:L286))))),0,1)</f>
        <v>#REF!</v>
      </c>
      <c r="Y286" s="12"/>
      <c r="Z286" s="14">
        <f t="array" ref="Z286">IF(AND(E286:G286="-"),0,IF(OR(NOT(ISERROR(SEARCH("+*",H286:L286)))),2,IF(OR(NOT(ISERROR(SEARCH("--*",E286:L286)))),-1,IF(OR(NOT(E286:G286="")),1,0))))</f>
        <v>1</v>
      </c>
      <c r="AA286" s="14">
        <v>486</v>
      </c>
      <c r="AB286" s="12"/>
    </row>
    <row r="287" spans="1:28" ht="204">
      <c r="A287" s="41">
        <v>443</v>
      </c>
      <c r="B287" s="66" t="s">
        <v>1205</v>
      </c>
      <c r="C287" s="66" t="s">
        <v>1206</v>
      </c>
      <c r="D287" s="66" t="s">
        <v>1207</v>
      </c>
      <c r="E287" s="19"/>
      <c r="F287" s="57"/>
      <c r="G287" s="53"/>
      <c r="H287" s="46"/>
      <c r="I287" s="58" t="s">
        <v>125</v>
      </c>
      <c r="J287" s="48"/>
      <c r="K287" s="78" t="s">
        <v>1159</v>
      </c>
      <c r="L287" s="46"/>
      <c r="M287" s="56" t="s">
        <v>86</v>
      </c>
      <c r="N287" s="54" t="s">
        <v>1199</v>
      </c>
      <c r="O287" s="56">
        <v>0</v>
      </c>
      <c r="P287" s="50" t="e">
        <v>#REF!</v>
      </c>
      <c r="Q287" s="62" t="s">
        <v>44</v>
      </c>
      <c r="R287" s="51" t="s">
        <v>295</v>
      </c>
      <c r="S287" s="51" t="s">
        <v>1208</v>
      </c>
      <c r="T287" s="12"/>
      <c r="U287" s="12"/>
      <c r="V287" s="12"/>
      <c r="W287" s="12"/>
      <c r="X287" s="14" t="e">
        <f t="array" ref="X287">IF(OR(AND(#REF!=""),AND(#REF!="-"),OR(NOT(ISERROR(SEARCH("-*",H287:L287))))),0,1)</f>
        <v>#REF!</v>
      </c>
      <c r="Y287" s="12"/>
      <c r="Z287" s="14">
        <f t="array" ref="Z287">IF(AND(E287:G287="-"),0,IF(OR(NOT(ISERROR(SEARCH("+*",H287:L287)))),2,IF(OR(NOT(ISERROR(SEARCH("--*",E287:L287)))),-1,IF(OR(NOT(E287:G287="")),1,0))))</f>
        <v>2</v>
      </c>
      <c r="AA287" s="14">
        <v>489</v>
      </c>
      <c r="AB287" s="12"/>
    </row>
    <row r="288" spans="1:28" ht="191.25">
      <c r="A288" s="41">
        <v>444</v>
      </c>
      <c r="B288" s="66" t="s">
        <v>1209</v>
      </c>
      <c r="C288" s="66" t="s">
        <v>1210</v>
      </c>
      <c r="D288" s="42" t="s">
        <v>1211</v>
      </c>
      <c r="E288" s="43" t="s">
        <v>42</v>
      </c>
      <c r="F288" s="44" t="s">
        <v>42</v>
      </c>
      <c r="G288" s="53" t="s">
        <v>42</v>
      </c>
      <c r="H288" s="46"/>
      <c r="I288" s="47"/>
      <c r="J288" s="48"/>
      <c r="K288" s="49"/>
      <c r="L288" s="46"/>
      <c r="M288" s="56" t="s">
        <v>86</v>
      </c>
      <c r="N288" s="54" t="s">
        <v>1199</v>
      </c>
      <c r="O288" s="56">
        <v>0</v>
      </c>
      <c r="P288" s="50" t="e">
        <v>#REF!</v>
      </c>
      <c r="Q288" s="62" t="s">
        <v>44</v>
      </c>
      <c r="R288" s="51" t="s">
        <v>295</v>
      </c>
      <c r="S288" s="51" t="s">
        <v>1212</v>
      </c>
      <c r="T288" s="12"/>
      <c r="U288" s="12"/>
      <c r="V288" s="12"/>
      <c r="W288" s="12"/>
      <c r="X288" s="14" t="e">
        <f t="array" ref="X288">IF(OR(AND(#REF!=""),AND(#REF!="-"),OR(NOT(ISERROR(SEARCH("-*",H288:L288))))),0,1)</f>
        <v>#REF!</v>
      </c>
      <c r="Y288" s="12"/>
      <c r="Z288" s="14">
        <f t="array" ref="Z288">IF(AND(E288:G288="-"),0,IF(OR(NOT(ISERROR(SEARCH("+*",H288:L288)))),2,IF(OR(NOT(ISERROR(SEARCH("--*",E288:L288)))),-1,IF(OR(NOT(E288:G288="")),1,0))))</f>
        <v>1</v>
      </c>
      <c r="AA288" s="14">
        <v>490</v>
      </c>
      <c r="AB288" s="12"/>
    </row>
    <row r="289" spans="1:28" ht="204">
      <c r="A289" s="41">
        <v>445</v>
      </c>
      <c r="B289" s="66" t="s">
        <v>1213</v>
      </c>
      <c r="C289" s="66" t="s">
        <v>1214</v>
      </c>
      <c r="D289" s="42" t="s">
        <v>1215</v>
      </c>
      <c r="E289" s="43" t="s">
        <v>74</v>
      </c>
      <c r="F289" s="57" t="s">
        <v>74</v>
      </c>
      <c r="G289" s="53"/>
      <c r="H289" s="46"/>
      <c r="I289" s="58" t="s">
        <v>548</v>
      </c>
      <c r="J289" s="48"/>
      <c r="K289" s="49"/>
      <c r="L289" s="46"/>
      <c r="M289" s="56" t="s">
        <v>86</v>
      </c>
      <c r="N289" s="54" t="s">
        <v>1199</v>
      </c>
      <c r="O289" s="56">
        <v>0</v>
      </c>
      <c r="P289" s="50" t="e">
        <v>#REF!</v>
      </c>
      <c r="Q289" s="62"/>
      <c r="R289" s="51" t="s">
        <v>43</v>
      </c>
      <c r="S289" s="51" t="s">
        <v>1216</v>
      </c>
      <c r="T289" s="12"/>
      <c r="U289" s="12"/>
      <c r="V289" s="12"/>
      <c r="W289" s="12"/>
      <c r="X289" s="14" t="e">
        <f t="array" ref="X289">IF(OR(AND(#REF!=""),AND(#REF!="-"),OR(NOT(ISERROR(SEARCH("-*",H289:L289))))),0,1)</f>
        <v>#REF!</v>
      </c>
      <c r="Y289" s="12"/>
      <c r="Z289" s="14">
        <f t="array" ref="Z289">IF(AND(E289:G289="-"),0,IF(OR(NOT(ISERROR(SEARCH("+*",H289:L289)))),2,IF(OR(NOT(ISERROR(SEARCH("--*",E289:L289)))),-1,IF(OR(NOT(E289:G289="")),1,0))))</f>
        <v>2</v>
      </c>
      <c r="AA289" s="14">
        <v>491</v>
      </c>
      <c r="AB289" s="12"/>
    </row>
    <row r="290" spans="1:28" ht="293.25">
      <c r="A290" s="41">
        <v>446</v>
      </c>
      <c r="B290" s="66" t="s">
        <v>1217</v>
      </c>
      <c r="C290" s="66" t="s">
        <v>1218</v>
      </c>
      <c r="D290" s="42" t="s">
        <v>1219</v>
      </c>
      <c r="E290" s="19"/>
      <c r="F290" s="57"/>
      <c r="G290" s="53"/>
      <c r="H290" s="46"/>
      <c r="I290" s="58" t="s">
        <v>548</v>
      </c>
      <c r="J290" s="48"/>
      <c r="K290" s="59" t="s">
        <v>548</v>
      </c>
      <c r="L290" s="46"/>
      <c r="M290" s="56" t="s">
        <v>86</v>
      </c>
      <c r="N290" s="54" t="s">
        <v>1199</v>
      </c>
      <c r="O290" s="56">
        <v>0</v>
      </c>
      <c r="P290" s="50" t="e">
        <v>#REF!</v>
      </c>
      <c r="Q290" s="62"/>
      <c r="R290" s="51" t="s">
        <v>43</v>
      </c>
      <c r="S290" s="51" t="s">
        <v>1220</v>
      </c>
      <c r="T290" s="12"/>
      <c r="U290" s="12"/>
      <c r="V290" s="12"/>
      <c r="W290" s="12"/>
      <c r="X290" s="14" t="e">
        <f t="array" ref="X290">IF(OR(AND(#REF!=""),AND(#REF!="-"),OR(NOT(ISERROR(SEARCH("-*",H290:L290))))),0,1)</f>
        <v>#REF!</v>
      </c>
      <c r="Y290" s="12"/>
      <c r="Z290" s="14">
        <f t="array" ref="Z290">IF(AND(E290:G290="-"),0,IF(OR(NOT(ISERROR(SEARCH("+*",H290:L290)))),2,IF(OR(NOT(ISERROR(SEARCH("--*",E290:L290)))),-1,IF(OR(NOT(E290:G290="")),1,0))))</f>
        <v>2</v>
      </c>
      <c r="AA290" s="14">
        <v>492</v>
      </c>
      <c r="AB290" s="12"/>
    </row>
    <row r="291" spans="1:28" ht="127.5">
      <c r="A291" s="41">
        <v>447</v>
      </c>
      <c r="B291" s="66" t="s">
        <v>1221</v>
      </c>
      <c r="C291" s="66" t="s">
        <v>1222</v>
      </c>
      <c r="D291" s="66" t="s">
        <v>1223</v>
      </c>
      <c r="E291" s="19"/>
      <c r="F291" s="57"/>
      <c r="G291" s="53"/>
      <c r="H291" s="46"/>
      <c r="I291" s="58" t="s">
        <v>125</v>
      </c>
      <c r="J291" s="48"/>
      <c r="K291" s="59" t="s">
        <v>111</v>
      </c>
      <c r="L291" s="46"/>
      <c r="M291" s="56" t="s">
        <v>86</v>
      </c>
      <c r="N291" s="54" t="s">
        <v>1199</v>
      </c>
      <c r="O291" s="56">
        <v>0</v>
      </c>
      <c r="P291" s="50" t="e">
        <v>#REF!</v>
      </c>
      <c r="Q291" s="62"/>
      <c r="R291" s="51" t="s">
        <v>295</v>
      </c>
      <c r="S291" s="51" t="s">
        <v>1224</v>
      </c>
      <c r="T291" s="12"/>
      <c r="U291" s="12"/>
      <c r="V291" s="12"/>
      <c r="W291" s="12"/>
      <c r="X291" s="14" t="e">
        <f t="array" ref="X291">IF(OR(AND(#REF!=""),AND(#REF!="-"),OR(NOT(ISERROR(SEARCH("-*",H291:L291))))),0,1)</f>
        <v>#REF!</v>
      </c>
      <c r="Y291" s="12"/>
      <c r="Z291" s="14">
        <f t="array" ref="Z291">IF(AND(E291:G291="-"),0,IF(OR(NOT(ISERROR(SEARCH("+*",H291:L291)))),2,IF(OR(NOT(ISERROR(SEARCH("--*",E291:L291)))),-1,IF(OR(NOT(E291:G291="")),1,0))))</f>
        <v>2</v>
      </c>
      <c r="AA291" s="14">
        <v>493</v>
      </c>
      <c r="AB291" s="12"/>
    </row>
    <row r="292" spans="1:28" ht="382.5">
      <c r="A292" s="41">
        <v>451</v>
      </c>
      <c r="B292" s="66" t="s">
        <v>1225</v>
      </c>
      <c r="C292" s="66" t="s">
        <v>1226</v>
      </c>
      <c r="D292" s="42" t="s">
        <v>1227</v>
      </c>
      <c r="E292" s="43" t="s">
        <v>42</v>
      </c>
      <c r="F292" s="57" t="s">
        <v>42</v>
      </c>
      <c r="G292" s="53"/>
      <c r="H292" s="46"/>
      <c r="I292" s="58" t="s">
        <v>111</v>
      </c>
      <c r="J292" s="48"/>
      <c r="K292" s="59" t="s">
        <v>111</v>
      </c>
      <c r="L292" s="46"/>
      <c r="M292" s="56" t="s">
        <v>86</v>
      </c>
      <c r="N292" s="54" t="s">
        <v>1199</v>
      </c>
      <c r="O292" s="56">
        <v>0</v>
      </c>
      <c r="P292" s="50" t="e">
        <v>#REF!</v>
      </c>
      <c r="Q292" s="62"/>
      <c r="R292" s="51" t="s">
        <v>43</v>
      </c>
      <c r="S292" s="51" t="s">
        <v>1228</v>
      </c>
      <c r="T292" s="12"/>
      <c r="U292" s="12"/>
      <c r="V292" s="12"/>
      <c r="W292" s="12"/>
      <c r="X292" s="14" t="e">
        <f t="array" ref="X292">IF(OR(AND(#REF!=""),AND(#REF!="-"),OR(NOT(ISERROR(SEARCH("-*",H292:L292))))),0,1)</f>
        <v>#REF!</v>
      </c>
      <c r="Y292" s="12"/>
      <c r="Z292" s="14">
        <f t="array" ref="Z292">IF(AND(E292:G292="-"),0,IF(OR(NOT(ISERROR(SEARCH("+*",H292:L292)))),2,IF(OR(NOT(ISERROR(SEARCH("--*",E292:L292)))),-1,IF(OR(NOT(E292:G292="")),1,0))))</f>
        <v>2</v>
      </c>
      <c r="AA292" s="14">
        <v>497</v>
      </c>
      <c r="AB292" s="12"/>
    </row>
    <row r="293" spans="1:28" ht="331.5">
      <c r="A293" s="41">
        <v>452</v>
      </c>
      <c r="B293" s="66" t="s">
        <v>1229</v>
      </c>
      <c r="C293" s="66" t="s">
        <v>1230</v>
      </c>
      <c r="D293" s="66" t="s">
        <v>1231</v>
      </c>
      <c r="E293" s="43" t="s">
        <v>42</v>
      </c>
      <c r="F293" s="57"/>
      <c r="G293" s="53"/>
      <c r="H293" s="46"/>
      <c r="I293" s="58" t="s">
        <v>111</v>
      </c>
      <c r="J293" s="48"/>
      <c r="K293" s="49"/>
      <c r="L293" s="46"/>
      <c r="M293" s="56" t="s">
        <v>86</v>
      </c>
      <c r="N293" s="54" t="s">
        <v>1199</v>
      </c>
      <c r="O293" s="56">
        <v>0</v>
      </c>
      <c r="P293" s="50" t="e">
        <v>#REF!</v>
      </c>
      <c r="Q293" s="62" t="s">
        <v>86</v>
      </c>
      <c r="R293" s="51" t="s">
        <v>43</v>
      </c>
      <c r="S293" s="51" t="s">
        <v>1232</v>
      </c>
      <c r="T293" s="12"/>
      <c r="U293" s="12"/>
      <c r="V293" s="12"/>
      <c r="W293" s="12"/>
      <c r="X293" s="14" t="e">
        <f t="array" ref="X293">IF(OR(AND(#REF!=""),AND(#REF!="-"),OR(NOT(ISERROR(SEARCH("-*",H293:L293))))),0,1)</f>
        <v>#REF!</v>
      </c>
      <c r="Y293" s="12"/>
      <c r="Z293" s="14">
        <f t="array" ref="Z293">IF(AND(E293:G293="-"),0,IF(OR(NOT(ISERROR(SEARCH("+*",H293:L293)))),2,IF(OR(NOT(ISERROR(SEARCH("--*",E293:L293)))),-1,IF(OR(NOT(E293:G293="")),1,0))))</f>
        <v>2</v>
      </c>
      <c r="AA293" s="14">
        <v>498</v>
      </c>
      <c r="AB293" s="12"/>
    </row>
    <row r="294" spans="1:28" ht="280.5">
      <c r="A294" s="41">
        <v>454</v>
      </c>
      <c r="B294" s="66" t="s">
        <v>1233</v>
      </c>
      <c r="C294" s="66" t="s">
        <v>1234</v>
      </c>
      <c r="D294" s="66" t="s">
        <v>1235</v>
      </c>
      <c r="E294" s="43"/>
      <c r="F294" s="44"/>
      <c r="G294" s="53"/>
      <c r="H294" s="46"/>
      <c r="I294" s="47"/>
      <c r="J294" s="60" t="s">
        <v>74</v>
      </c>
      <c r="K294" s="61"/>
      <c r="L294" s="46"/>
      <c r="M294" s="56" t="s">
        <v>86</v>
      </c>
      <c r="N294" s="54" t="s">
        <v>1199</v>
      </c>
      <c r="O294" s="56">
        <v>0</v>
      </c>
      <c r="P294" s="50" t="e">
        <v>#REF!</v>
      </c>
      <c r="Q294" s="62" t="s">
        <v>44</v>
      </c>
      <c r="R294" s="51" t="s">
        <v>43</v>
      </c>
      <c r="S294" s="51" t="s">
        <v>1236</v>
      </c>
      <c r="T294" s="12"/>
      <c r="U294" s="12"/>
      <c r="V294" s="12"/>
      <c r="W294" s="12"/>
      <c r="X294" s="14" t="e">
        <f t="array" ref="X294">IF(OR(AND(#REF!=""),AND(#REF!="-"),OR(NOT(ISERROR(SEARCH("-*",H294:L294))))),0,1)</f>
        <v>#REF!</v>
      </c>
      <c r="Y294" s="12"/>
      <c r="Z294" s="14">
        <f t="array" ref="Z294">IF(AND(E294:G294="-"),0,IF(OR(NOT(ISERROR(SEARCH("+*",H294:L294)))),2,IF(OR(NOT(ISERROR(SEARCH("--*",E294:L294)))),-1,IF(OR(NOT(E294:G294="")),1,0))))</f>
        <v>2</v>
      </c>
      <c r="AA294" s="14">
        <v>500</v>
      </c>
      <c r="AB294" s="12"/>
    </row>
    <row r="295" spans="1:28" ht="216.75">
      <c r="A295" s="41">
        <v>455</v>
      </c>
      <c r="B295" s="66" t="s">
        <v>1237</v>
      </c>
      <c r="C295" s="66" t="s">
        <v>1238</v>
      </c>
      <c r="D295" s="66" t="s">
        <v>1239</v>
      </c>
      <c r="E295" s="43"/>
      <c r="F295" s="44"/>
      <c r="G295" s="53"/>
      <c r="H295" s="46"/>
      <c r="I295" s="58" t="s">
        <v>106</v>
      </c>
      <c r="J295" s="48"/>
      <c r="K295" s="59" t="s">
        <v>106</v>
      </c>
      <c r="L295" s="46"/>
      <c r="M295" s="56" t="s">
        <v>86</v>
      </c>
      <c r="N295" s="54" t="s">
        <v>1199</v>
      </c>
      <c r="O295" s="56">
        <v>0</v>
      </c>
      <c r="P295" s="50" t="e">
        <v>#REF!</v>
      </c>
      <c r="Q295" s="62" t="s">
        <v>44</v>
      </c>
      <c r="R295" s="51" t="s">
        <v>43</v>
      </c>
      <c r="S295" s="51" t="s">
        <v>1240</v>
      </c>
      <c r="T295" s="12"/>
      <c r="U295" s="12"/>
      <c r="V295" s="12"/>
      <c r="W295" s="12"/>
      <c r="X295" s="14" t="e">
        <f t="array" ref="X295">IF(OR(AND(#REF!=""),AND(#REF!="-"),OR(NOT(ISERROR(SEARCH("-*",H295:L295))))),0,1)</f>
        <v>#REF!</v>
      </c>
      <c r="Y295" s="12"/>
      <c r="Z295" s="14">
        <f t="array" ref="Z295">IF(AND(E295:G295="-"),0,IF(OR(NOT(ISERROR(SEARCH("+*",H295:L295)))),2,IF(OR(NOT(ISERROR(SEARCH("--*",E295:L295)))),-1,IF(OR(NOT(E295:G295="")),1,0))))</f>
        <v>2</v>
      </c>
      <c r="AA295" s="14">
        <v>501</v>
      </c>
      <c r="AB295" s="12"/>
    </row>
    <row r="296" spans="1:28" ht="153">
      <c r="A296" s="41">
        <v>456</v>
      </c>
      <c r="B296" s="66" t="s">
        <v>1241</v>
      </c>
      <c r="C296" s="66" t="s">
        <v>1242</v>
      </c>
      <c r="D296" s="42" t="s">
        <v>1243</v>
      </c>
      <c r="E296" s="43" t="s">
        <v>42</v>
      </c>
      <c r="F296" s="44" t="s">
        <v>42</v>
      </c>
      <c r="G296" s="53" t="s">
        <v>42</v>
      </c>
      <c r="H296" s="46"/>
      <c r="I296" s="47"/>
      <c r="J296" s="48"/>
      <c r="K296" s="49"/>
      <c r="L296" s="46"/>
      <c r="M296" s="56" t="s">
        <v>86</v>
      </c>
      <c r="N296" s="54" t="s">
        <v>1199</v>
      </c>
      <c r="O296" s="56">
        <v>0</v>
      </c>
      <c r="P296" s="50" t="e">
        <v>#REF!</v>
      </c>
      <c r="Q296" s="62" t="s">
        <v>62</v>
      </c>
      <c r="R296" s="51" t="s">
        <v>295</v>
      </c>
      <c r="S296" s="51" t="s">
        <v>1244</v>
      </c>
      <c r="T296" s="12"/>
      <c r="U296" s="12"/>
      <c r="V296" s="12"/>
      <c r="W296" s="12"/>
      <c r="X296" s="14" t="e">
        <f t="array" ref="X296">IF(OR(AND(#REF!=""),AND(#REF!="-"),OR(NOT(ISERROR(SEARCH("-*",H296:L296))))),0,1)</f>
        <v>#REF!</v>
      </c>
      <c r="Y296" s="12"/>
      <c r="Z296" s="14">
        <f t="array" ref="Z296">IF(AND(E296:G296="-"),0,IF(OR(NOT(ISERROR(SEARCH("+*",H296:L296)))),2,IF(OR(NOT(ISERROR(SEARCH("--*",E296:L296)))),-1,IF(OR(NOT(E296:G296="")),1,0))))</f>
        <v>1</v>
      </c>
      <c r="AA296" s="14">
        <v>502</v>
      </c>
      <c r="AB296" s="12"/>
    </row>
    <row r="297" spans="1:28" ht="127.5">
      <c r="A297" s="41">
        <v>457</v>
      </c>
      <c r="B297" s="66" t="s">
        <v>1245</v>
      </c>
      <c r="C297" s="66" t="s">
        <v>1246</v>
      </c>
      <c r="D297" s="66" t="s">
        <v>1247</v>
      </c>
      <c r="E297" s="43" t="s">
        <v>42</v>
      </c>
      <c r="F297" s="57" t="s">
        <v>42</v>
      </c>
      <c r="G297" s="53" t="s">
        <v>42</v>
      </c>
      <c r="H297" s="46"/>
      <c r="I297" s="58" t="s">
        <v>125</v>
      </c>
      <c r="J297" s="48"/>
      <c r="K297" s="49"/>
      <c r="L297" s="46"/>
      <c r="M297" s="56" t="s">
        <v>86</v>
      </c>
      <c r="N297" s="54" t="s">
        <v>1199</v>
      </c>
      <c r="O297" s="56">
        <v>0</v>
      </c>
      <c r="P297" s="50" t="e">
        <v>#REF!</v>
      </c>
      <c r="Q297" s="62"/>
      <c r="R297" s="51" t="s">
        <v>295</v>
      </c>
      <c r="S297" s="51" t="s">
        <v>1248</v>
      </c>
      <c r="T297" s="12"/>
      <c r="U297" s="12"/>
      <c r="V297" s="12"/>
      <c r="W297" s="12"/>
      <c r="X297" s="14" t="e">
        <f t="array" ref="X297">IF(OR(AND(#REF!=""),AND(#REF!="-"),OR(NOT(ISERROR(SEARCH("-*",H297:L297))))),0,1)</f>
        <v>#REF!</v>
      </c>
      <c r="Y297" s="12"/>
      <c r="Z297" s="14">
        <f t="array" ref="Z297">IF(AND(E297:G297="-"),0,IF(OR(NOT(ISERROR(SEARCH("+*",H297:L297)))),2,IF(OR(NOT(ISERROR(SEARCH("--*",E297:L297)))),-1,IF(OR(NOT(E297:G297="")),1,0))))</f>
        <v>2</v>
      </c>
      <c r="AA297" s="14">
        <v>503</v>
      </c>
      <c r="AB297" s="12"/>
    </row>
    <row r="298" spans="1:28" ht="140.25">
      <c r="A298" s="41">
        <v>458</v>
      </c>
      <c r="B298" s="66" t="s">
        <v>1249</v>
      </c>
      <c r="C298" s="66" t="s">
        <v>1250</v>
      </c>
      <c r="D298" s="66" t="s">
        <v>1251</v>
      </c>
      <c r="E298" s="43"/>
      <c r="F298" s="57"/>
      <c r="G298" s="53"/>
      <c r="H298" s="46"/>
      <c r="I298" s="58" t="s">
        <v>125</v>
      </c>
      <c r="J298" s="48"/>
      <c r="K298" s="49"/>
      <c r="L298" s="46"/>
      <c r="M298" s="56" t="s">
        <v>86</v>
      </c>
      <c r="N298" s="54" t="s">
        <v>1199</v>
      </c>
      <c r="O298" s="56">
        <v>0</v>
      </c>
      <c r="P298" s="50" t="e">
        <v>#REF!</v>
      </c>
      <c r="Q298" s="62"/>
      <c r="R298" s="51" t="s">
        <v>295</v>
      </c>
      <c r="S298" s="51" t="s">
        <v>1252</v>
      </c>
      <c r="T298" s="12"/>
      <c r="U298" s="12"/>
      <c r="V298" s="12"/>
      <c r="W298" s="12"/>
      <c r="X298" s="14" t="e">
        <f t="array" ref="X298">IF(OR(AND(#REF!=""),AND(#REF!="-"),OR(NOT(ISERROR(SEARCH("-*",H298:L298))))),0,1)</f>
        <v>#REF!</v>
      </c>
      <c r="Y298" s="12"/>
      <c r="Z298" s="14">
        <f t="array" ref="Z298">IF(AND(E298:G298="-"),0,IF(OR(NOT(ISERROR(SEARCH("+*",H298:L298)))),2,IF(OR(NOT(ISERROR(SEARCH("--*",E298:L298)))),-1,IF(OR(NOT(E298:G298="")),1,0))))</f>
        <v>2</v>
      </c>
      <c r="AA298" s="14">
        <v>504</v>
      </c>
      <c r="AB298" s="12"/>
    </row>
    <row r="299" spans="1:28" ht="306">
      <c r="A299" s="41">
        <v>459</v>
      </c>
      <c r="B299" s="66" t="s">
        <v>1253</v>
      </c>
      <c r="C299" s="66" t="s">
        <v>1254</v>
      </c>
      <c r="D299" s="66" t="s">
        <v>1255</v>
      </c>
      <c r="E299" s="43"/>
      <c r="F299" s="44"/>
      <c r="G299" s="53"/>
      <c r="H299" s="46"/>
      <c r="I299" s="77" t="s">
        <v>1159</v>
      </c>
      <c r="J299" s="48"/>
      <c r="K299" s="49"/>
      <c r="L299" s="46"/>
      <c r="M299" s="56" t="s">
        <v>86</v>
      </c>
      <c r="N299" s="54" t="s">
        <v>1199</v>
      </c>
      <c r="O299" s="56">
        <v>0</v>
      </c>
      <c r="P299" s="50" t="e">
        <v>#REF!</v>
      </c>
      <c r="Q299" s="62" t="s">
        <v>62</v>
      </c>
      <c r="R299" s="51" t="s">
        <v>295</v>
      </c>
      <c r="S299" s="51" t="s">
        <v>1256</v>
      </c>
      <c r="T299" s="12"/>
      <c r="U299" s="12"/>
      <c r="V299" s="12"/>
      <c r="W299" s="12"/>
      <c r="X299" s="14" t="e">
        <f t="array" ref="X299">IF(OR(AND(#REF!=""),AND(#REF!="-"),OR(NOT(ISERROR(SEARCH("-*",H299:L299))))),0,1)</f>
        <v>#REF!</v>
      </c>
      <c r="Y299" s="12"/>
      <c r="Z299" s="14">
        <f t="array" ref="Z299">IF(AND(E299:G299="-"),0,IF(OR(NOT(ISERROR(SEARCH("+*",H299:L299)))),2,IF(OR(NOT(ISERROR(SEARCH("--*",E299:L299)))),-1,IF(OR(NOT(E299:G299="")),1,0))))</f>
        <v>2</v>
      </c>
      <c r="AA299" s="14">
        <v>505</v>
      </c>
      <c r="AB299" s="12"/>
    </row>
    <row r="300" spans="1:28" ht="242.25">
      <c r="A300" s="41">
        <v>460</v>
      </c>
      <c r="B300" s="66" t="s">
        <v>1257</v>
      </c>
      <c r="C300" s="66" t="s">
        <v>1258</v>
      </c>
      <c r="D300" s="42" t="s">
        <v>1259</v>
      </c>
      <c r="E300" s="43"/>
      <c r="F300" s="44"/>
      <c r="G300" s="53"/>
      <c r="H300" s="46"/>
      <c r="I300" s="58" t="s">
        <v>106</v>
      </c>
      <c r="J300" s="48"/>
      <c r="K300" s="49"/>
      <c r="L300" s="46"/>
      <c r="M300" s="56" t="s">
        <v>86</v>
      </c>
      <c r="N300" s="54" t="s">
        <v>1199</v>
      </c>
      <c r="O300" s="56">
        <v>0</v>
      </c>
      <c r="P300" s="50" t="e">
        <v>#REF!</v>
      </c>
      <c r="Q300" s="62" t="s">
        <v>86</v>
      </c>
      <c r="R300" s="51" t="s">
        <v>43</v>
      </c>
      <c r="S300" s="51" t="s">
        <v>1260</v>
      </c>
      <c r="T300" s="12"/>
      <c r="U300" s="12"/>
      <c r="V300" s="12"/>
      <c r="W300" s="12"/>
      <c r="X300" s="14" t="e">
        <f t="array" ref="X300">IF(OR(AND(#REF!=""),AND(#REF!="-"),OR(NOT(ISERROR(SEARCH("-*",H300:L300))))),0,1)</f>
        <v>#REF!</v>
      </c>
      <c r="Y300" s="12"/>
      <c r="Z300" s="14">
        <f t="array" ref="Z300">IF(AND(E300:G300="-"),0,IF(OR(NOT(ISERROR(SEARCH("+*",H300:L300)))),2,IF(OR(NOT(ISERROR(SEARCH("--*",E300:L300)))),-1,IF(OR(NOT(E300:G300="")),1,0))))</f>
        <v>2</v>
      </c>
      <c r="AA300" s="14">
        <v>506</v>
      </c>
      <c r="AB300" s="12"/>
    </row>
    <row r="301" spans="1:28" ht="89.25">
      <c r="A301" s="41">
        <v>461</v>
      </c>
      <c r="B301" s="66" t="s">
        <v>1261</v>
      </c>
      <c r="C301" s="66" t="s">
        <v>1262</v>
      </c>
      <c r="D301" s="66" t="s">
        <v>1263</v>
      </c>
      <c r="E301" s="43" t="s">
        <v>42</v>
      </c>
      <c r="F301" s="44" t="s">
        <v>42</v>
      </c>
      <c r="G301" s="53" t="s">
        <v>42</v>
      </c>
      <c r="H301" s="46"/>
      <c r="I301" s="47"/>
      <c r="J301" s="48"/>
      <c r="K301" s="49"/>
      <c r="L301" s="46"/>
      <c r="M301" s="56" t="s">
        <v>86</v>
      </c>
      <c r="N301" s="54" t="s">
        <v>1199</v>
      </c>
      <c r="O301" s="56">
        <v>0</v>
      </c>
      <c r="P301" s="50" t="e">
        <v>#REF!</v>
      </c>
      <c r="Q301" s="62" t="s">
        <v>44</v>
      </c>
      <c r="R301" s="51" t="s">
        <v>295</v>
      </c>
      <c r="S301" s="51" t="s">
        <v>1264</v>
      </c>
      <c r="T301" s="12"/>
      <c r="U301" s="12"/>
      <c r="V301" s="12"/>
      <c r="W301" s="12"/>
      <c r="X301" s="14" t="e">
        <f t="array" ref="X301">IF(OR(AND(#REF!=""),AND(#REF!="-"),OR(NOT(ISERROR(SEARCH("-*",H301:L301))))),0,1)</f>
        <v>#REF!</v>
      </c>
      <c r="Y301" s="12"/>
      <c r="Z301" s="14">
        <f t="array" ref="Z301">IF(AND(E301:G301="-"),0,IF(OR(NOT(ISERROR(SEARCH("+*",H301:L301)))),2,IF(OR(NOT(ISERROR(SEARCH("--*",E301:L301)))),-1,IF(OR(NOT(E301:G301="")),1,0))))</f>
        <v>1</v>
      </c>
      <c r="AA301" s="14">
        <v>510</v>
      </c>
      <c r="AB301" s="12"/>
    </row>
    <row r="302" spans="1:28" ht="25.5">
      <c r="A302" s="41">
        <v>463</v>
      </c>
      <c r="B302" s="66" t="s">
        <v>1265</v>
      </c>
      <c r="C302" s="66" t="s">
        <v>1266</v>
      </c>
      <c r="D302" s="66" t="s">
        <v>1267</v>
      </c>
      <c r="E302" s="43"/>
      <c r="F302" s="57"/>
      <c r="G302" s="53" t="s">
        <v>42</v>
      </c>
      <c r="H302" s="46"/>
      <c r="I302" s="47"/>
      <c r="J302" s="48"/>
      <c r="K302" s="49"/>
      <c r="L302" s="46"/>
      <c r="M302" s="56" t="s">
        <v>86</v>
      </c>
      <c r="N302" s="54" t="s">
        <v>1199</v>
      </c>
      <c r="O302" s="56">
        <v>0</v>
      </c>
      <c r="P302" s="50" t="e">
        <v>#REF!</v>
      </c>
      <c r="Q302" s="62"/>
      <c r="R302" s="51"/>
      <c r="S302" s="51"/>
      <c r="T302" s="12"/>
      <c r="U302" s="12"/>
      <c r="V302" s="12"/>
      <c r="W302" s="12"/>
      <c r="X302" s="14" t="e">
        <f t="array" ref="X302">IF(OR(AND(#REF!=""),AND(#REF!="-"),OR(NOT(ISERROR(SEARCH("-*",H302:L302))))),0,1)</f>
        <v>#REF!</v>
      </c>
      <c r="Y302" s="12"/>
      <c r="Z302" s="14">
        <f t="array" ref="Z302">IF(AND(E302:G302="-"),0,IF(OR(NOT(ISERROR(SEARCH("+*",H302:L302)))),2,IF(OR(NOT(ISERROR(SEARCH("--*",E302:L302)))),-1,IF(OR(NOT(E302:G302="")),1,0))))</f>
        <v>1</v>
      </c>
      <c r="AA302" s="14">
        <v>513</v>
      </c>
      <c r="AB302" s="12"/>
    </row>
    <row r="303" spans="1:28" ht="89.25">
      <c r="A303" s="41">
        <v>466</v>
      </c>
      <c r="B303" s="66" t="s">
        <v>1268</v>
      </c>
      <c r="C303" s="66" t="s">
        <v>1269</v>
      </c>
      <c r="D303" s="66" t="s">
        <v>1270</v>
      </c>
      <c r="E303" s="43"/>
      <c r="F303" s="57"/>
      <c r="G303" s="53" t="s">
        <v>42</v>
      </c>
      <c r="H303" s="46"/>
      <c r="I303" s="47"/>
      <c r="J303" s="48"/>
      <c r="K303" s="49"/>
      <c r="L303" s="46"/>
      <c r="M303" s="56" t="s">
        <v>86</v>
      </c>
      <c r="N303" s="54" t="s">
        <v>1199</v>
      </c>
      <c r="O303" s="56">
        <v>0</v>
      </c>
      <c r="P303" s="50" t="e">
        <v>#REF!</v>
      </c>
      <c r="Q303" s="62"/>
      <c r="R303" s="51"/>
      <c r="S303" s="51"/>
      <c r="T303" s="12"/>
      <c r="U303" s="12"/>
      <c r="V303" s="12"/>
      <c r="W303" s="12"/>
      <c r="X303" s="14" t="e">
        <f t="array" ref="X303">IF(OR(AND(#REF!=""),AND(#REF!="-"),OR(NOT(ISERROR(SEARCH("-*",H303:L303))))),0,1)</f>
        <v>#REF!</v>
      </c>
      <c r="Y303" s="12"/>
      <c r="Z303" s="14">
        <f t="array" ref="Z303">IF(AND(E303:G303="-"),0,IF(OR(NOT(ISERROR(SEARCH("+*",H303:L303)))),2,IF(OR(NOT(ISERROR(SEARCH("--*",E303:L303)))),-1,IF(OR(NOT(E303:G303="")),1,0))))</f>
        <v>1</v>
      </c>
      <c r="AA303" s="14">
        <v>516</v>
      </c>
      <c r="AB303" s="12"/>
    </row>
    <row r="304" spans="1:28" ht="51">
      <c r="A304" s="41">
        <v>467</v>
      </c>
      <c r="B304" s="66" t="s">
        <v>1271</v>
      </c>
      <c r="C304" s="66" t="s">
        <v>1272</v>
      </c>
      <c r="D304" s="66" t="s">
        <v>1273</v>
      </c>
      <c r="E304" s="43"/>
      <c r="F304" s="57"/>
      <c r="G304" s="53" t="s">
        <v>42</v>
      </c>
      <c r="H304" s="46"/>
      <c r="I304" s="47"/>
      <c r="J304" s="48"/>
      <c r="K304" s="49"/>
      <c r="L304" s="46"/>
      <c r="M304" s="56" t="s">
        <v>86</v>
      </c>
      <c r="N304" s="54" t="s">
        <v>1199</v>
      </c>
      <c r="O304" s="56">
        <v>0</v>
      </c>
      <c r="P304" s="50" t="e">
        <v>#REF!</v>
      </c>
      <c r="Q304" s="62"/>
      <c r="R304" s="51"/>
      <c r="S304" s="51"/>
      <c r="T304" s="12"/>
      <c r="U304" s="12"/>
      <c r="V304" s="12"/>
      <c r="W304" s="12"/>
      <c r="X304" s="14" t="e">
        <f t="array" ref="X304">IF(OR(AND(#REF!=""),AND(#REF!="-"),OR(NOT(ISERROR(SEARCH("-*",H304:L304))))),0,1)</f>
        <v>#REF!</v>
      </c>
      <c r="Y304" s="12"/>
      <c r="Z304" s="14">
        <f t="array" ref="Z304">IF(AND(E304:G304="-"),0,IF(OR(NOT(ISERROR(SEARCH("+*",H304:L304)))),2,IF(OR(NOT(ISERROR(SEARCH("--*",E304:L304)))),-1,IF(OR(NOT(E304:G304="")),1,0))))</f>
        <v>1</v>
      </c>
      <c r="AA304" s="14">
        <v>518</v>
      </c>
      <c r="AB304" s="12"/>
    </row>
    <row r="305" spans="1:28" ht="38.25">
      <c r="A305" s="41">
        <v>470</v>
      </c>
      <c r="B305" s="66" t="s">
        <v>1274</v>
      </c>
      <c r="C305" s="66" t="s">
        <v>1275</v>
      </c>
      <c r="D305" s="66" t="s">
        <v>1276</v>
      </c>
      <c r="E305" s="43"/>
      <c r="F305" s="57"/>
      <c r="G305" s="53" t="s">
        <v>42</v>
      </c>
      <c r="H305" s="46"/>
      <c r="I305" s="47"/>
      <c r="J305" s="48"/>
      <c r="K305" s="49"/>
      <c r="L305" s="46"/>
      <c r="M305" s="56" t="s">
        <v>86</v>
      </c>
      <c r="N305" s="54" t="s">
        <v>1199</v>
      </c>
      <c r="O305" s="56">
        <v>0</v>
      </c>
      <c r="P305" s="50" t="e">
        <v>#REF!</v>
      </c>
      <c r="Q305" s="62"/>
      <c r="R305" s="51"/>
      <c r="S305" s="51"/>
      <c r="T305" s="12"/>
      <c r="U305" s="12"/>
      <c r="V305" s="12"/>
      <c r="W305" s="12"/>
      <c r="X305" s="14" t="e">
        <f t="array" ref="X305">IF(OR(AND(#REF!=""),AND(#REF!="-"),OR(NOT(ISERROR(SEARCH("-*",H305:L305))))),0,1)</f>
        <v>#REF!</v>
      </c>
      <c r="Y305" s="12"/>
      <c r="Z305" s="14">
        <f t="array" ref="Z305">IF(AND(E305:G305="-"),0,IF(OR(NOT(ISERROR(SEARCH("+*",H305:L305)))),2,IF(OR(NOT(ISERROR(SEARCH("--*",E305:L305)))),-1,IF(OR(NOT(E305:G305="")),1,0))))</f>
        <v>1</v>
      </c>
      <c r="AA305" s="14">
        <v>521</v>
      </c>
      <c r="AB305" s="12"/>
    </row>
    <row r="306" spans="1:28" ht="38.25">
      <c r="A306" s="41">
        <v>472</v>
      </c>
      <c r="B306" s="66" t="s">
        <v>1277</v>
      </c>
      <c r="C306" s="66" t="s">
        <v>1278</v>
      </c>
      <c r="D306" s="66" t="s">
        <v>1279</v>
      </c>
      <c r="E306" s="43"/>
      <c r="F306" s="57"/>
      <c r="G306" s="53" t="s">
        <v>42</v>
      </c>
      <c r="H306" s="46"/>
      <c r="I306" s="47"/>
      <c r="J306" s="48"/>
      <c r="K306" s="49"/>
      <c r="L306" s="46"/>
      <c r="M306" s="56" t="s">
        <v>86</v>
      </c>
      <c r="N306" s="54" t="s">
        <v>1199</v>
      </c>
      <c r="O306" s="56">
        <v>0</v>
      </c>
      <c r="P306" s="50" t="e">
        <v>#REF!</v>
      </c>
      <c r="Q306" s="62" t="s">
        <v>86</v>
      </c>
      <c r="R306" s="51"/>
      <c r="S306" s="51"/>
      <c r="T306" s="12"/>
      <c r="U306" s="12"/>
      <c r="V306" s="12"/>
      <c r="W306" s="12"/>
      <c r="X306" s="14" t="e">
        <f t="array" ref="X306">IF(OR(AND(#REF!=""),AND(#REF!="-"),OR(NOT(ISERROR(SEARCH("-*",H306:L306))))),0,1)</f>
        <v>#REF!</v>
      </c>
      <c r="Y306" s="12"/>
      <c r="Z306" s="14">
        <f t="array" ref="Z306">IF(AND(E306:G306="-"),0,IF(OR(NOT(ISERROR(SEARCH("+*",H306:L306)))),2,IF(OR(NOT(ISERROR(SEARCH("--*",E306:L306)))),-1,IF(OR(NOT(E306:G306="")),1,0))))</f>
        <v>1</v>
      </c>
      <c r="AA306" s="14">
        <v>523</v>
      </c>
      <c r="AB306" s="12"/>
    </row>
    <row r="307" spans="1:28" ht="25.5">
      <c r="A307" s="41">
        <v>475</v>
      </c>
      <c r="B307" s="66" t="s">
        <v>1280</v>
      </c>
      <c r="C307" s="66" t="s">
        <v>1281</v>
      </c>
      <c r="D307" s="66" t="s">
        <v>1282</v>
      </c>
      <c r="E307" s="43"/>
      <c r="F307" s="57"/>
      <c r="G307" s="53" t="s">
        <v>42</v>
      </c>
      <c r="H307" s="46"/>
      <c r="I307" s="47"/>
      <c r="J307" s="48"/>
      <c r="K307" s="49"/>
      <c r="L307" s="46"/>
      <c r="M307" s="56" t="s">
        <v>86</v>
      </c>
      <c r="N307" s="54" t="s">
        <v>1199</v>
      </c>
      <c r="O307" s="56">
        <v>0</v>
      </c>
      <c r="P307" s="50" t="e">
        <v>#REF!</v>
      </c>
      <c r="Q307" s="62" t="s">
        <v>62</v>
      </c>
      <c r="R307" s="51"/>
      <c r="S307" s="51"/>
      <c r="T307" s="12"/>
      <c r="U307" s="12"/>
      <c r="V307" s="12"/>
      <c r="W307" s="12"/>
      <c r="X307" s="14" t="e">
        <f t="array" ref="X307">IF(OR(AND(#REF!=""),AND(#REF!="-"),OR(NOT(ISERROR(SEARCH("-*",H307:L307))))),0,1)</f>
        <v>#REF!</v>
      </c>
      <c r="Y307" s="12"/>
      <c r="Z307" s="14">
        <f t="array" ref="Z307">IF(AND(E307:G307="-"),0,IF(OR(NOT(ISERROR(SEARCH("+*",H307:L307)))),2,IF(OR(NOT(ISERROR(SEARCH("--*",E307:L307)))),-1,IF(OR(NOT(E307:G307="")),1,0))))</f>
        <v>1</v>
      </c>
      <c r="AA307" s="14">
        <v>526</v>
      </c>
      <c r="AB307" s="12"/>
    </row>
    <row r="308" spans="1:28" ht="63.75">
      <c r="A308" s="41">
        <v>477</v>
      </c>
      <c r="B308" s="66" t="s">
        <v>1283</v>
      </c>
      <c r="C308" s="66" t="s">
        <v>1284</v>
      </c>
      <c r="D308" s="42" t="s">
        <v>1285</v>
      </c>
      <c r="E308" s="43"/>
      <c r="F308" s="57"/>
      <c r="G308" s="53" t="s">
        <v>42</v>
      </c>
      <c r="H308" s="46"/>
      <c r="I308" s="47"/>
      <c r="J308" s="48"/>
      <c r="K308" s="49"/>
      <c r="L308" s="46"/>
      <c r="M308" s="56" t="s">
        <v>86</v>
      </c>
      <c r="N308" s="54" t="s">
        <v>1199</v>
      </c>
      <c r="O308" s="56">
        <v>0</v>
      </c>
      <c r="P308" s="50" t="e">
        <v>#REF!</v>
      </c>
      <c r="Q308" s="62" t="s">
        <v>44</v>
      </c>
      <c r="R308" s="51"/>
      <c r="S308" s="51"/>
      <c r="T308" s="12"/>
      <c r="U308" s="12"/>
      <c r="V308" s="12"/>
      <c r="W308" s="12"/>
      <c r="X308" s="14" t="e">
        <f t="array" ref="X308">IF(OR(AND(#REF!=""),AND(#REF!="-"),OR(NOT(ISERROR(SEARCH("-*",H308:L308))))),0,1)</f>
        <v>#REF!</v>
      </c>
      <c r="Y308" s="12"/>
      <c r="Z308" s="14">
        <f t="array" ref="Z308">IF(AND(E308:G308="-"),0,IF(OR(NOT(ISERROR(SEARCH("+*",H308:L308)))),2,IF(OR(NOT(ISERROR(SEARCH("--*",E308:L308)))),-1,IF(OR(NOT(E308:G308="")),1,0))))</f>
        <v>1</v>
      </c>
      <c r="AA308" s="14">
        <v>528</v>
      </c>
      <c r="AB308" s="12"/>
    </row>
    <row r="309" spans="1:28" ht="38.25">
      <c r="A309" s="41">
        <v>480</v>
      </c>
      <c r="B309" s="66" t="s">
        <v>1286</v>
      </c>
      <c r="C309" s="66" t="s">
        <v>1287</v>
      </c>
      <c r="D309" s="66" t="s">
        <v>1288</v>
      </c>
      <c r="E309" s="43"/>
      <c r="F309" s="57"/>
      <c r="G309" s="53" t="s">
        <v>42</v>
      </c>
      <c r="H309" s="46"/>
      <c r="I309" s="47"/>
      <c r="J309" s="48"/>
      <c r="K309" s="49"/>
      <c r="L309" s="46"/>
      <c r="M309" s="56" t="s">
        <v>86</v>
      </c>
      <c r="N309" s="54" t="s">
        <v>1199</v>
      </c>
      <c r="O309" s="56">
        <v>0</v>
      </c>
      <c r="P309" s="50" t="e">
        <v>#REF!</v>
      </c>
      <c r="Q309" s="62"/>
      <c r="R309" s="51"/>
      <c r="S309" s="51"/>
      <c r="T309" s="12"/>
      <c r="U309" s="12"/>
      <c r="V309" s="12"/>
      <c r="W309" s="12"/>
      <c r="X309" s="14" t="e">
        <f t="array" ref="X309">IF(OR(AND(#REF!=""),AND(#REF!="-"),OR(NOT(ISERROR(SEARCH("-*",H309:L309))))),0,1)</f>
        <v>#REF!</v>
      </c>
      <c r="Y309" s="12"/>
      <c r="Z309" s="14">
        <f t="array" ref="Z309">IF(AND(E309:G309="-"),0,IF(OR(NOT(ISERROR(SEARCH("+*",H309:L309)))),2,IF(OR(NOT(ISERROR(SEARCH("--*",E309:L309)))),-1,IF(OR(NOT(E309:G309="")),1,0))))</f>
        <v>1</v>
      </c>
      <c r="AA309" s="14">
        <v>531</v>
      </c>
      <c r="AB309" s="12"/>
    </row>
    <row r="310" spans="1:28" ht="204">
      <c r="A310" s="41">
        <v>482</v>
      </c>
      <c r="B310" s="66" t="s">
        <v>1289</v>
      </c>
      <c r="C310" s="66" t="s">
        <v>1290</v>
      </c>
      <c r="D310" s="66" t="s">
        <v>1291</v>
      </c>
      <c r="E310" s="43" t="s">
        <v>42</v>
      </c>
      <c r="F310" s="57" t="s">
        <v>42</v>
      </c>
      <c r="G310" s="53" t="s">
        <v>42</v>
      </c>
      <c r="H310" s="46"/>
      <c r="I310" s="47"/>
      <c r="J310" s="48"/>
      <c r="K310" s="49"/>
      <c r="L310" s="46"/>
      <c r="M310" s="56" t="s">
        <v>86</v>
      </c>
      <c r="N310" s="54" t="s">
        <v>1199</v>
      </c>
      <c r="O310" s="56">
        <v>0</v>
      </c>
      <c r="P310" s="50" t="e">
        <v>#REF!</v>
      </c>
      <c r="Q310" s="62" t="s">
        <v>62</v>
      </c>
      <c r="R310" s="51" t="s">
        <v>43</v>
      </c>
      <c r="S310" s="51" t="s">
        <v>1292</v>
      </c>
      <c r="T310" s="12"/>
      <c r="U310" s="12"/>
      <c r="V310" s="12"/>
      <c r="W310" s="12"/>
      <c r="X310" s="14" t="e">
        <f t="array" ref="X310">IF(OR(AND(#REF!=""),AND(#REF!="-"),OR(NOT(ISERROR(SEARCH("-*",H310:L310))))),0,1)</f>
        <v>#REF!</v>
      </c>
      <c r="Y310" s="12"/>
      <c r="Z310" s="14">
        <f t="array" ref="Z310">IF(AND(E310:G310="-"),0,IF(OR(NOT(ISERROR(SEARCH("+*",H310:L310)))),2,IF(OR(NOT(ISERROR(SEARCH("--*",E310:L310)))),-1,IF(OR(NOT(E310:G310="")),1,0))))</f>
        <v>1</v>
      </c>
      <c r="AA310" s="14">
        <v>533</v>
      </c>
      <c r="AB310" s="12"/>
    </row>
    <row r="311" spans="1:28" ht="165.75">
      <c r="A311" s="41">
        <v>483</v>
      </c>
      <c r="B311" s="66" t="s">
        <v>1293</v>
      </c>
      <c r="C311" s="66" t="s">
        <v>1294</v>
      </c>
      <c r="D311" s="42" t="s">
        <v>1295</v>
      </c>
      <c r="E311" s="43" t="s">
        <v>42</v>
      </c>
      <c r="F311" s="57" t="s">
        <v>42</v>
      </c>
      <c r="G311" s="53" t="s">
        <v>42</v>
      </c>
      <c r="H311" s="46"/>
      <c r="I311" s="47"/>
      <c r="J311" s="48"/>
      <c r="K311" s="49"/>
      <c r="L311" s="46"/>
      <c r="M311" s="56" t="s">
        <v>86</v>
      </c>
      <c r="N311" s="54" t="s">
        <v>1199</v>
      </c>
      <c r="O311" s="56">
        <v>0</v>
      </c>
      <c r="P311" s="50" t="e">
        <v>#REF!</v>
      </c>
      <c r="Q311" s="62" t="s">
        <v>86</v>
      </c>
      <c r="R311" s="51" t="s">
        <v>295</v>
      </c>
      <c r="S311" s="51" t="s">
        <v>1296</v>
      </c>
      <c r="T311" s="12"/>
      <c r="U311" s="12"/>
      <c r="V311" s="12"/>
      <c r="W311" s="12"/>
      <c r="X311" s="14" t="e">
        <f t="array" ref="X311">IF(OR(AND(#REF!=""),AND(#REF!="-"),OR(NOT(ISERROR(SEARCH("-*",H311:L311))))),0,1)</f>
        <v>#REF!</v>
      </c>
      <c r="Y311" s="12"/>
      <c r="Z311" s="14">
        <f t="array" ref="Z311">IF(AND(E311:G311="-"),0,IF(OR(NOT(ISERROR(SEARCH("+*",H311:L311)))),2,IF(OR(NOT(ISERROR(SEARCH("--*",E311:L311)))),-1,IF(OR(NOT(E311:G311="")),1,0))))</f>
        <v>1</v>
      </c>
      <c r="AA311" s="14">
        <v>534</v>
      </c>
      <c r="AB311" s="12"/>
    </row>
    <row r="312" spans="1:28" ht="318.75">
      <c r="A312" s="41">
        <v>484</v>
      </c>
      <c r="B312" s="66" t="s">
        <v>1297</v>
      </c>
      <c r="C312" s="66" t="s">
        <v>1298</v>
      </c>
      <c r="D312" s="66" t="s">
        <v>1299</v>
      </c>
      <c r="E312" s="43"/>
      <c r="F312" s="57"/>
      <c r="G312" s="53"/>
      <c r="H312" s="46"/>
      <c r="I312" s="47"/>
      <c r="J312" s="60" t="s">
        <v>74</v>
      </c>
      <c r="K312" s="49"/>
      <c r="L312" s="46"/>
      <c r="M312" s="56" t="s">
        <v>86</v>
      </c>
      <c r="N312" s="54" t="s">
        <v>1199</v>
      </c>
      <c r="O312" s="56">
        <v>0</v>
      </c>
      <c r="P312" s="50" t="e">
        <v>#REF!</v>
      </c>
      <c r="Q312" s="62" t="s">
        <v>86</v>
      </c>
      <c r="R312" s="51" t="s">
        <v>43</v>
      </c>
      <c r="S312" s="51" t="s">
        <v>1300</v>
      </c>
      <c r="T312" s="12"/>
      <c r="U312" s="12"/>
      <c r="V312" s="12"/>
      <c r="W312" s="12"/>
      <c r="X312" s="14" t="e">
        <f t="array" ref="X312">IF(OR(AND(#REF!=""),AND(#REF!="-"),OR(NOT(ISERROR(SEARCH("-*",H312:L312))))),0,1)</f>
        <v>#REF!</v>
      </c>
      <c r="Y312" s="12"/>
      <c r="Z312" s="14">
        <f t="array" ref="Z312">IF(AND(E312:G312="-"),0,IF(OR(NOT(ISERROR(SEARCH("+*",H312:L312)))),2,IF(OR(NOT(ISERROR(SEARCH("--*",E312:L312)))),-1,IF(OR(NOT(E312:G312="")),1,0))))</f>
        <v>2</v>
      </c>
      <c r="AA312" s="14">
        <v>535</v>
      </c>
      <c r="AB312" s="12"/>
    </row>
    <row r="313" spans="1:28" ht="318.75">
      <c r="A313" s="41">
        <v>486</v>
      </c>
      <c r="B313" s="66" t="s">
        <v>1301</v>
      </c>
      <c r="C313" s="66" t="s">
        <v>1302</v>
      </c>
      <c r="D313" s="66" t="s">
        <v>1303</v>
      </c>
      <c r="E313" s="19"/>
      <c r="F313" s="57"/>
      <c r="G313" s="53"/>
      <c r="H313" s="46"/>
      <c r="I313" s="58" t="s">
        <v>111</v>
      </c>
      <c r="J313" s="48"/>
      <c r="K313" s="59" t="s">
        <v>111</v>
      </c>
      <c r="L313" s="46"/>
      <c r="M313" s="56" t="s">
        <v>86</v>
      </c>
      <c r="N313" s="54" t="s">
        <v>1199</v>
      </c>
      <c r="O313" s="56">
        <v>0</v>
      </c>
      <c r="P313" s="50" t="e">
        <v>#REF!</v>
      </c>
      <c r="Q313" s="62" t="s">
        <v>86</v>
      </c>
      <c r="R313" s="51" t="s">
        <v>43</v>
      </c>
      <c r="S313" s="51" t="s">
        <v>1304</v>
      </c>
      <c r="T313" s="12"/>
      <c r="U313" s="12"/>
      <c r="V313" s="12"/>
      <c r="W313" s="12"/>
      <c r="X313" s="14" t="e">
        <f t="array" ref="X313">IF(OR(AND(#REF!=""),AND(#REF!="-"),OR(NOT(ISERROR(SEARCH("-*",H313:L313))))),0,1)</f>
        <v>#REF!</v>
      </c>
      <c r="Y313" s="12"/>
      <c r="Z313" s="14">
        <f t="array" ref="Z313">IF(AND(E313:G313="-"),0,IF(OR(NOT(ISERROR(SEARCH("+*",H313:L313)))),2,IF(OR(NOT(ISERROR(SEARCH("--*",E313:L313)))),-1,IF(OR(NOT(E313:G313="")),1,0))))</f>
        <v>2</v>
      </c>
      <c r="AA313" s="14">
        <v>537</v>
      </c>
      <c r="AB313" s="12"/>
    </row>
    <row r="314" spans="1:28" ht="318.75">
      <c r="A314" s="41">
        <v>487</v>
      </c>
      <c r="B314" s="66" t="s">
        <v>1305</v>
      </c>
      <c r="C314" s="66" t="s">
        <v>1306</v>
      </c>
      <c r="D314" s="66" t="s">
        <v>1307</v>
      </c>
      <c r="E314" s="19"/>
      <c r="F314" s="57"/>
      <c r="G314" s="53"/>
      <c r="H314" s="46"/>
      <c r="I314" s="58" t="s">
        <v>111</v>
      </c>
      <c r="J314" s="48"/>
      <c r="K314" s="59" t="s">
        <v>111</v>
      </c>
      <c r="L314" s="46"/>
      <c r="M314" s="56" t="s">
        <v>86</v>
      </c>
      <c r="N314" s="54" t="s">
        <v>1199</v>
      </c>
      <c r="O314" s="56">
        <v>0</v>
      </c>
      <c r="P314" s="50" t="e">
        <v>#REF!</v>
      </c>
      <c r="Q314" s="62"/>
      <c r="R314" s="51" t="s">
        <v>43</v>
      </c>
      <c r="S314" s="51" t="s">
        <v>1308</v>
      </c>
      <c r="T314" s="12"/>
      <c r="U314" s="12"/>
      <c r="V314" s="12"/>
      <c r="W314" s="12"/>
      <c r="X314" s="14" t="e">
        <f t="array" ref="X314">IF(OR(AND(#REF!=""),AND(#REF!="-"),OR(NOT(ISERROR(SEARCH("-*",H314:L314))))),0,1)</f>
        <v>#REF!</v>
      </c>
      <c r="Y314" s="12"/>
      <c r="Z314" s="14">
        <f t="array" ref="Z314">IF(AND(E314:G314="-"),0,IF(OR(NOT(ISERROR(SEARCH("+*",H314:L314)))),2,IF(OR(NOT(ISERROR(SEARCH("--*",E314:L314)))),-1,IF(OR(NOT(E314:G314="")),1,0))))</f>
        <v>2</v>
      </c>
      <c r="AA314" s="14">
        <v>538</v>
      </c>
      <c r="AB314" s="12"/>
    </row>
    <row r="315" spans="1:28" ht="280.5">
      <c r="A315" s="41">
        <v>489</v>
      </c>
      <c r="B315" s="66" t="s">
        <v>1309</v>
      </c>
      <c r="C315" s="66" t="s">
        <v>1310</v>
      </c>
      <c r="D315" s="42" t="s">
        <v>1311</v>
      </c>
      <c r="E315" s="43" t="s">
        <v>42</v>
      </c>
      <c r="F315" s="44" t="s">
        <v>42</v>
      </c>
      <c r="G315" s="45" t="s">
        <v>42</v>
      </c>
      <c r="H315" s="46"/>
      <c r="I315" s="47"/>
      <c r="J315" s="48"/>
      <c r="K315" s="49"/>
      <c r="L315" s="46"/>
      <c r="M315" s="56" t="s">
        <v>43</v>
      </c>
      <c r="N315" s="54" t="s">
        <v>1312</v>
      </c>
      <c r="O315" s="56">
        <v>1</v>
      </c>
      <c r="P315" s="50" t="e">
        <v>#REF!</v>
      </c>
      <c r="Q315" s="62" t="s">
        <v>44</v>
      </c>
      <c r="R315" s="51" t="s">
        <v>43</v>
      </c>
      <c r="S315" s="51" t="s">
        <v>1313</v>
      </c>
      <c r="T315" s="12"/>
      <c r="U315" s="12"/>
      <c r="V315" s="12"/>
      <c r="W315" s="12"/>
      <c r="X315" s="14" t="e">
        <f t="array" ref="X315">IF(OR(AND(#REF!=""),AND(#REF!="-"),OR(NOT(ISERROR(SEARCH("-*",H315:L315))))),0,1)</f>
        <v>#REF!</v>
      </c>
      <c r="Y315" s="12"/>
      <c r="Z315" s="14">
        <f t="array" ref="Z315">IF(AND(E315:G315="-"),0,IF(OR(NOT(ISERROR(SEARCH("+*",H315:L315)))),2,IF(OR(NOT(ISERROR(SEARCH("--*",E315:L315)))),-1,IF(OR(NOT(E315:G315="")),1,0))))</f>
        <v>1</v>
      </c>
      <c r="AA315" s="14">
        <v>540</v>
      </c>
      <c r="AB315" s="12"/>
    </row>
    <row r="316" spans="1:28" ht="382.5">
      <c r="A316" s="41">
        <v>490</v>
      </c>
      <c r="B316" s="66" t="s">
        <v>1314</v>
      </c>
      <c r="C316" s="66" t="s">
        <v>1315</v>
      </c>
      <c r="D316" s="42" t="s">
        <v>1316</v>
      </c>
      <c r="E316" s="43" t="s">
        <v>42</v>
      </c>
      <c r="F316" s="44" t="s">
        <v>42</v>
      </c>
      <c r="G316" s="53" t="s">
        <v>42</v>
      </c>
      <c r="H316" s="46"/>
      <c r="I316" s="47"/>
      <c r="J316" s="48"/>
      <c r="K316" s="49"/>
      <c r="L316" s="46"/>
      <c r="M316" s="56" t="s">
        <v>43</v>
      </c>
      <c r="N316" s="76" t="s">
        <v>1317</v>
      </c>
      <c r="O316" s="56">
        <v>1</v>
      </c>
      <c r="P316" s="50" t="e">
        <v>#REF!</v>
      </c>
      <c r="Q316" s="62" t="s">
        <v>44</v>
      </c>
      <c r="R316" s="51" t="s">
        <v>43</v>
      </c>
      <c r="S316" s="51" t="s">
        <v>1318</v>
      </c>
      <c r="T316" s="12"/>
      <c r="U316" s="12"/>
      <c r="V316" s="12"/>
      <c r="W316" s="12"/>
      <c r="X316" s="14" t="e">
        <f t="array" ref="X316">IF(OR(AND(#REF!=""),AND(#REF!="-"),OR(NOT(ISERROR(SEARCH("-*",H316:L316))))),0,1)</f>
        <v>#REF!</v>
      </c>
      <c r="Y316" s="12"/>
      <c r="Z316" s="14">
        <f t="array" ref="Z316">IF(AND(E316:G316="-"),0,IF(OR(NOT(ISERROR(SEARCH("+*",H316:L316)))),2,IF(OR(NOT(ISERROR(SEARCH("--*",E316:L316)))),-1,IF(OR(NOT(E316:G316="")),1,0))))</f>
        <v>1</v>
      </c>
      <c r="AA316" s="14">
        <v>541</v>
      </c>
      <c r="AB316" s="12"/>
    </row>
    <row r="317" spans="1:28" ht="178.5">
      <c r="A317" s="41">
        <v>491</v>
      </c>
      <c r="B317" s="66" t="s">
        <v>1319</v>
      </c>
      <c r="C317" s="66" t="s">
        <v>1320</v>
      </c>
      <c r="D317" s="42" t="s">
        <v>1321</v>
      </c>
      <c r="E317" s="43" t="s">
        <v>42</v>
      </c>
      <c r="F317" s="44" t="s">
        <v>42</v>
      </c>
      <c r="G317" s="53" t="s">
        <v>42</v>
      </c>
      <c r="H317" s="46"/>
      <c r="I317" s="47"/>
      <c r="J317" s="48"/>
      <c r="K317" s="49"/>
      <c r="L317" s="46"/>
      <c r="M317" s="56" t="s">
        <v>43</v>
      </c>
      <c r="N317" s="54" t="s">
        <v>1322</v>
      </c>
      <c r="O317" s="56">
        <v>1</v>
      </c>
      <c r="P317" s="50" t="e">
        <v>#REF!</v>
      </c>
      <c r="Q317" s="62"/>
      <c r="R317" s="51" t="s">
        <v>51</v>
      </c>
      <c r="S317" s="51" t="s">
        <v>1323</v>
      </c>
      <c r="T317" s="12"/>
      <c r="U317" s="12"/>
      <c r="V317" s="12"/>
      <c r="W317" s="12"/>
      <c r="X317" s="14" t="e">
        <f t="array" ref="X317">IF(OR(AND(#REF!=""),AND(#REF!="-"),OR(NOT(ISERROR(SEARCH("-*",H317:L317))))),0,1)</f>
        <v>#REF!</v>
      </c>
      <c r="Y317" s="12"/>
      <c r="Z317" s="14">
        <f t="array" ref="Z317">IF(AND(E317:G317="-"),0,IF(OR(NOT(ISERROR(SEARCH("+*",H317:L317)))),2,IF(OR(NOT(ISERROR(SEARCH("--*",E317:L317)))),-1,IF(OR(NOT(E317:G317="")),1,0))))</f>
        <v>1</v>
      </c>
      <c r="AA317" s="14">
        <v>544</v>
      </c>
      <c r="AB317" s="12"/>
    </row>
    <row r="318" spans="1:28" ht="130.5" customHeight="1">
      <c r="A318" s="41">
        <v>492</v>
      </c>
      <c r="B318" s="66" t="s">
        <v>1324</v>
      </c>
      <c r="C318" s="66" t="s">
        <v>1325</v>
      </c>
      <c r="D318" s="66" t="s">
        <v>1326</v>
      </c>
      <c r="E318" s="43" t="s">
        <v>42</v>
      </c>
      <c r="F318" s="44" t="s">
        <v>42</v>
      </c>
      <c r="G318" s="53" t="s">
        <v>42</v>
      </c>
      <c r="H318" s="46"/>
      <c r="I318" s="47"/>
      <c r="J318" s="48"/>
      <c r="K318" s="49"/>
      <c r="L318" s="46"/>
      <c r="M318" s="56" t="s">
        <v>43</v>
      </c>
      <c r="N318" s="54" t="s">
        <v>1327</v>
      </c>
      <c r="O318" s="56">
        <v>1</v>
      </c>
      <c r="P318" s="50" t="e">
        <v>#REF!</v>
      </c>
      <c r="Q318" s="62" t="s">
        <v>44</v>
      </c>
      <c r="R318" s="51" t="s">
        <v>51</v>
      </c>
      <c r="S318" s="51" t="s">
        <v>1328</v>
      </c>
      <c r="T318" s="12"/>
      <c r="U318" s="12"/>
      <c r="V318" s="12"/>
      <c r="W318" s="12"/>
      <c r="X318" s="14" t="e">
        <f t="array" ref="X318">IF(OR(AND(#REF!=""),AND(#REF!="-"),OR(NOT(ISERROR(SEARCH("-*",H318:L318))))),0,1)</f>
        <v>#REF!</v>
      </c>
      <c r="Y318" s="12"/>
      <c r="Z318" s="14">
        <f t="array" ref="Z318">IF(AND(E318:G318="-"),0,IF(OR(NOT(ISERROR(SEARCH("+*",H318:L318)))),2,IF(OR(NOT(ISERROR(SEARCH("--*",E318:L318)))),-1,IF(OR(NOT(E318:G318="")),1,0))))</f>
        <v>1</v>
      </c>
      <c r="AA318" s="14">
        <v>546</v>
      </c>
      <c r="AB318" s="12"/>
    </row>
    <row r="319" spans="1:28" ht="408">
      <c r="A319" s="41">
        <v>493</v>
      </c>
      <c r="B319" s="66" t="s">
        <v>1329</v>
      </c>
      <c r="C319" s="66" t="s">
        <v>1330</v>
      </c>
      <c r="D319" s="66" t="s">
        <v>1331</v>
      </c>
      <c r="E319" s="43" t="s">
        <v>42</v>
      </c>
      <c r="F319" s="57"/>
      <c r="G319" s="53"/>
      <c r="H319" s="46"/>
      <c r="I319" s="47"/>
      <c r="J319" s="48"/>
      <c r="K319" s="49"/>
      <c r="L319" s="46"/>
      <c r="M319" s="56" t="s">
        <v>43</v>
      </c>
      <c r="N319" s="76" t="s">
        <v>1332</v>
      </c>
      <c r="O319" s="56">
        <v>1</v>
      </c>
      <c r="P319" s="50" t="e">
        <v>#REF!</v>
      </c>
      <c r="Q319" s="62"/>
      <c r="R319" s="51" t="s">
        <v>43</v>
      </c>
      <c r="S319" s="51" t="s">
        <v>1333</v>
      </c>
      <c r="T319" s="12"/>
      <c r="U319" s="12"/>
      <c r="V319" s="12"/>
      <c r="W319" s="12"/>
      <c r="X319" s="14" t="e">
        <f t="array" ref="X319">IF(OR(AND(#REF!=""),AND(#REF!="-"),OR(NOT(ISERROR(SEARCH("-*",H319:L319))))),0,1)</f>
        <v>#REF!</v>
      </c>
      <c r="Y319" s="12"/>
      <c r="Z319" s="14">
        <f t="array" ref="Z319">IF(AND(E319:G319="-"),0,IF(OR(NOT(ISERROR(SEARCH("+*",H319:L319)))),2,IF(OR(NOT(ISERROR(SEARCH("--*",E319:L319)))),-1,IF(OR(NOT(E319:G319="")),1,0))))</f>
        <v>1</v>
      </c>
      <c r="AA319" s="14">
        <v>547</v>
      </c>
      <c r="AB319" s="12"/>
    </row>
    <row r="320" spans="1:28" ht="204">
      <c r="A320" s="41">
        <v>495</v>
      </c>
      <c r="B320" s="66" t="s">
        <v>1334</v>
      </c>
      <c r="C320" s="66" t="s">
        <v>1335</v>
      </c>
      <c r="D320" s="66" t="s">
        <v>1336</v>
      </c>
      <c r="E320" s="43" t="s">
        <v>42</v>
      </c>
      <c r="F320" s="44" t="s">
        <v>42</v>
      </c>
      <c r="G320" s="53" t="s">
        <v>42</v>
      </c>
      <c r="H320" s="46"/>
      <c r="I320" s="47"/>
      <c r="J320" s="48"/>
      <c r="K320" s="49"/>
      <c r="L320" s="46"/>
      <c r="M320" s="56" t="s">
        <v>43</v>
      </c>
      <c r="N320" s="54"/>
      <c r="O320" s="56">
        <v>2</v>
      </c>
      <c r="P320" s="50" t="e">
        <v>#REF!</v>
      </c>
      <c r="Q320" s="62" t="s">
        <v>44</v>
      </c>
      <c r="R320" s="51" t="s">
        <v>51</v>
      </c>
      <c r="S320" s="51" t="s">
        <v>1337</v>
      </c>
      <c r="T320" s="12"/>
      <c r="U320" s="12"/>
      <c r="V320" s="12"/>
      <c r="W320" s="12"/>
      <c r="X320" s="14" t="e">
        <f t="array" ref="X320">IF(OR(AND(#REF!=""),AND(#REF!="-"),OR(NOT(ISERROR(SEARCH("-*",H320:L320))))),0,1)</f>
        <v>#REF!</v>
      </c>
      <c r="Y320" s="12"/>
      <c r="Z320" s="14">
        <f t="array" ref="Z320">IF(AND(E320:G320="-"),0,IF(OR(NOT(ISERROR(SEARCH("+*",H320:L320)))),2,IF(OR(NOT(ISERROR(SEARCH("--*",E320:L320)))),-1,IF(OR(NOT(E320:G320="")),1,0))))</f>
        <v>1</v>
      </c>
      <c r="AA320" s="14">
        <v>551</v>
      </c>
      <c r="AB320" s="12"/>
    </row>
    <row r="321" spans="1:28" ht="229.5">
      <c r="A321" s="41">
        <v>496</v>
      </c>
      <c r="B321" s="66" t="s">
        <v>1338</v>
      </c>
      <c r="C321" s="66" t="s">
        <v>1339</v>
      </c>
      <c r="D321" s="42" t="s">
        <v>1340</v>
      </c>
      <c r="E321" s="43" t="s">
        <v>74</v>
      </c>
      <c r="F321" s="44" t="s">
        <v>74</v>
      </c>
      <c r="G321" s="53" t="s">
        <v>74</v>
      </c>
      <c r="H321" s="46"/>
      <c r="I321" s="47"/>
      <c r="J321" s="48"/>
      <c r="K321" s="49"/>
      <c r="L321" s="46"/>
      <c r="M321" s="56" t="s">
        <v>43</v>
      </c>
      <c r="N321" s="54"/>
      <c r="O321" s="56">
        <v>2</v>
      </c>
      <c r="P321" s="50" t="e">
        <v>#REF!</v>
      </c>
      <c r="Q321" s="62"/>
      <c r="R321" s="51" t="s">
        <v>43</v>
      </c>
      <c r="S321" s="51" t="s">
        <v>1341</v>
      </c>
      <c r="T321" s="12"/>
      <c r="U321" s="12"/>
      <c r="V321" s="12"/>
      <c r="W321" s="12"/>
      <c r="X321" s="14" t="e">
        <f t="array" ref="X321">IF(OR(AND(#REF!=""),AND(#REF!="-"),OR(NOT(ISERROR(SEARCH("-*",H321:L321))))),0,1)</f>
        <v>#REF!</v>
      </c>
      <c r="Y321" s="12"/>
      <c r="Z321" s="14">
        <f t="array" ref="Z321">IF(AND(E321:G321="-"),0,IF(OR(NOT(ISERROR(SEARCH("+*",H321:L321)))),2,IF(OR(NOT(ISERROR(SEARCH("--*",E321:L321)))),-1,IF(OR(NOT(E321:G321="")),1,0))))</f>
        <v>1</v>
      </c>
      <c r="AA321" s="14">
        <v>552</v>
      </c>
      <c r="AB321" s="12"/>
    </row>
    <row r="322" spans="1:28" ht="38.25">
      <c r="A322" s="41">
        <v>497</v>
      </c>
      <c r="B322" s="66" t="s">
        <v>1342</v>
      </c>
      <c r="C322" s="66" t="s">
        <v>1343</v>
      </c>
      <c r="D322" s="42" t="s">
        <v>1344</v>
      </c>
      <c r="E322" s="43" t="s">
        <v>74</v>
      </c>
      <c r="F322" s="44" t="s">
        <v>74</v>
      </c>
      <c r="G322" s="53" t="s">
        <v>74</v>
      </c>
      <c r="H322" s="46"/>
      <c r="I322" s="47"/>
      <c r="J322" s="48"/>
      <c r="K322" s="49"/>
      <c r="L322" s="46"/>
      <c r="M322" s="56" t="s">
        <v>43</v>
      </c>
      <c r="N322" s="54"/>
      <c r="O322" s="56">
        <v>2</v>
      </c>
      <c r="P322" s="50" t="e">
        <v>#REF!</v>
      </c>
      <c r="Q322" s="65"/>
      <c r="R322" s="51"/>
      <c r="S322" s="51"/>
      <c r="T322" s="12"/>
      <c r="U322" s="12"/>
      <c r="V322" s="12"/>
      <c r="W322" s="12"/>
      <c r="X322" s="14" t="e">
        <f t="array" ref="X322">IF(OR(AND(#REF!=""),AND(#REF!="-"),OR(NOT(ISERROR(SEARCH("-*",H322:L322))))),0,1)</f>
        <v>#REF!</v>
      </c>
      <c r="Y322" s="12"/>
      <c r="Z322" s="14">
        <f t="array" ref="Z322">IF(AND(E322:G322="-"),0,IF(OR(NOT(ISERROR(SEARCH("+*",H322:L322)))),2,IF(OR(NOT(ISERROR(SEARCH("--*",E322:L322)))),-1,IF(OR(NOT(E322:G322="")),1,0))))</f>
        <v>1</v>
      </c>
      <c r="AA322" s="14">
        <v>553</v>
      </c>
      <c r="AB322" s="12"/>
    </row>
    <row r="323" spans="1:28" ht="191.25">
      <c r="A323" s="41">
        <v>499</v>
      </c>
      <c r="B323" s="66" t="s">
        <v>1345</v>
      </c>
      <c r="C323" s="66" t="s">
        <v>1346</v>
      </c>
      <c r="D323" s="42" t="s">
        <v>1347</v>
      </c>
      <c r="E323" s="43" t="s">
        <v>42</v>
      </c>
      <c r="F323" s="44" t="s">
        <v>42</v>
      </c>
      <c r="G323" s="45" t="s">
        <v>42</v>
      </c>
      <c r="H323" s="46"/>
      <c r="I323" s="47"/>
      <c r="J323" s="48"/>
      <c r="K323" s="49"/>
      <c r="L323" s="46"/>
      <c r="M323" s="56" t="s">
        <v>43</v>
      </c>
      <c r="N323" s="54" t="s">
        <v>1348</v>
      </c>
      <c r="O323" s="68">
        <v>1</v>
      </c>
      <c r="P323" s="50" t="e">
        <v>#REF!</v>
      </c>
      <c r="Q323" s="62" t="s">
        <v>44</v>
      </c>
      <c r="R323" s="51" t="s">
        <v>295</v>
      </c>
      <c r="S323" s="51" t="s">
        <v>1349</v>
      </c>
      <c r="T323" s="12"/>
      <c r="U323" s="12"/>
      <c r="V323" s="12"/>
      <c r="W323" s="12"/>
      <c r="X323" s="14" t="e">
        <f t="array" ref="X323">IF(OR(AND(#REF!=""),AND(#REF!="-"),OR(NOT(ISERROR(SEARCH("-*",H323:L323))))),0,1)</f>
        <v>#REF!</v>
      </c>
      <c r="Y323" s="12"/>
      <c r="Z323" s="14">
        <f t="array" ref="Z323">IF(AND(E323:G323="-"),0,IF(OR(NOT(ISERROR(SEARCH("+*",H323:L323)))),2,IF(OR(NOT(ISERROR(SEARCH("--*",E323:L323)))),-1,IF(OR(NOT(E323:G323="")),1,0))))</f>
        <v>1</v>
      </c>
      <c r="AA323" s="14">
        <v>555</v>
      </c>
      <c r="AB323" s="12"/>
    </row>
    <row r="324" spans="1:28" ht="63.75">
      <c r="A324" s="41">
        <v>500</v>
      </c>
      <c r="B324" s="66" t="s">
        <v>1350</v>
      </c>
      <c r="C324" s="66" t="s">
        <v>1351</v>
      </c>
      <c r="D324" s="66" t="s">
        <v>1352</v>
      </c>
      <c r="E324" s="43" t="s">
        <v>42</v>
      </c>
      <c r="F324" s="44" t="s">
        <v>42</v>
      </c>
      <c r="G324" s="45" t="s">
        <v>42</v>
      </c>
      <c r="H324" s="46"/>
      <c r="I324" s="47"/>
      <c r="J324" s="48"/>
      <c r="K324" s="49"/>
      <c r="L324" s="46"/>
      <c r="M324" s="56" t="s">
        <v>43</v>
      </c>
      <c r="N324" s="66"/>
      <c r="O324" s="68">
        <v>1</v>
      </c>
      <c r="P324" s="50" t="e">
        <v>#REF!</v>
      </c>
      <c r="Q324" s="62" t="s">
        <v>44</v>
      </c>
      <c r="R324" s="51"/>
      <c r="S324" s="51"/>
      <c r="T324" s="12"/>
      <c r="U324" s="12"/>
      <c r="V324" s="12"/>
      <c r="W324" s="12"/>
      <c r="X324" s="14" t="e">
        <f t="array" ref="X324">IF(OR(AND(#REF!=""),AND(#REF!="-"),OR(NOT(ISERROR(SEARCH("-*",H324:L324))))),0,1)</f>
        <v>#REF!</v>
      </c>
      <c r="Y324" s="12"/>
      <c r="Z324" s="14">
        <f t="array" ref="Z324">IF(AND(E324:G324="-"),0,IF(OR(NOT(ISERROR(SEARCH("+*",H324:L324)))),2,IF(OR(NOT(ISERROR(SEARCH("--*",E324:L324)))),-1,IF(OR(NOT(E324:G324="")),1,0))))</f>
        <v>1</v>
      </c>
      <c r="AA324" s="14">
        <v>556</v>
      </c>
      <c r="AB324" s="12"/>
    </row>
    <row r="325" spans="1:28" ht="267.75">
      <c r="A325" s="41">
        <v>501</v>
      </c>
      <c r="B325" s="66" t="s">
        <v>1353</v>
      </c>
      <c r="C325" s="66" t="s">
        <v>1354</v>
      </c>
      <c r="D325" s="42" t="s">
        <v>1355</v>
      </c>
      <c r="E325" s="43" t="s">
        <v>42</v>
      </c>
      <c r="F325" s="44" t="s">
        <v>42</v>
      </c>
      <c r="G325" s="53"/>
      <c r="H325" s="46"/>
      <c r="I325" s="47"/>
      <c r="J325" s="48"/>
      <c r="K325" s="49"/>
      <c r="L325" s="46"/>
      <c r="M325" s="56" t="s">
        <v>43</v>
      </c>
      <c r="N325" s="66" t="s">
        <v>1356</v>
      </c>
      <c r="O325" s="68">
        <v>1</v>
      </c>
      <c r="P325" s="50" t="e">
        <v>#REF!</v>
      </c>
      <c r="Q325" s="62" t="s">
        <v>86</v>
      </c>
      <c r="R325" s="51" t="s">
        <v>295</v>
      </c>
      <c r="S325" s="51" t="s">
        <v>1357</v>
      </c>
      <c r="T325" s="12"/>
      <c r="U325" s="12"/>
      <c r="V325" s="12"/>
      <c r="W325" s="12"/>
      <c r="X325" s="14" t="e">
        <f t="array" ref="X325">IF(OR(AND(#REF!=""),AND(#REF!="-"),OR(NOT(ISERROR(SEARCH("-*",H325:L325))))),0,1)</f>
        <v>#REF!</v>
      </c>
      <c r="Y325" s="12"/>
      <c r="Z325" s="14">
        <f t="array" ref="Z325">IF(AND(E325:G325="-"),0,IF(OR(NOT(ISERROR(SEARCH("+*",H325:L325)))),2,IF(OR(NOT(ISERROR(SEARCH("--*",E325:L325)))),-1,IF(OR(NOT(E325:G325="")),1,0))))</f>
        <v>1</v>
      </c>
      <c r="AA325" s="14">
        <v>557</v>
      </c>
      <c r="AB325" s="12"/>
    </row>
    <row r="326" spans="1:28" ht="165.75">
      <c r="A326" s="41">
        <v>502</v>
      </c>
      <c r="B326" s="66" t="s">
        <v>1358</v>
      </c>
      <c r="C326" s="66" t="s">
        <v>1193</v>
      </c>
      <c r="D326" s="66" t="s">
        <v>1359</v>
      </c>
      <c r="E326" s="19"/>
      <c r="F326" s="57"/>
      <c r="G326" s="53"/>
      <c r="H326" s="46"/>
      <c r="I326" s="58" t="s">
        <v>111</v>
      </c>
      <c r="J326" s="48"/>
      <c r="K326" s="59" t="s">
        <v>125</v>
      </c>
      <c r="L326" s="46"/>
      <c r="M326" s="56" t="s">
        <v>43</v>
      </c>
      <c r="N326" s="66" t="s">
        <v>1360</v>
      </c>
      <c r="O326" s="68">
        <v>1</v>
      </c>
      <c r="P326" s="50" t="e">
        <v>#REF!</v>
      </c>
      <c r="Q326" s="62"/>
      <c r="R326" s="51" t="s">
        <v>43</v>
      </c>
      <c r="S326" s="51" t="s">
        <v>1361</v>
      </c>
      <c r="T326" s="12"/>
      <c r="U326" s="12"/>
      <c r="V326" s="12"/>
      <c r="W326" s="12"/>
      <c r="X326" s="14" t="e">
        <f t="array" ref="X326">IF(OR(AND(#REF!=""),AND(#REF!="-"),OR(NOT(ISERROR(SEARCH("-*",H326:L326))))),0,1)</f>
        <v>#REF!</v>
      </c>
      <c r="Y326" s="12"/>
      <c r="Z326" s="14">
        <f t="array" ref="Z326">IF(AND(E326:G326="-"),0,IF(OR(NOT(ISERROR(SEARCH("+*",H326:L326)))),2,IF(OR(NOT(ISERROR(SEARCH("--*",E326:L326)))),-1,IF(OR(NOT(E326:G326="")),1,0))))</f>
        <v>2</v>
      </c>
      <c r="AA326" s="14">
        <v>558</v>
      </c>
      <c r="AB326" s="12"/>
    </row>
    <row r="327" spans="1:28" ht="191.25">
      <c r="A327" s="41">
        <v>503</v>
      </c>
      <c r="B327" s="66" t="s">
        <v>1362</v>
      </c>
      <c r="C327" s="66" t="s">
        <v>1363</v>
      </c>
      <c r="D327" s="66" t="s">
        <v>1364</v>
      </c>
      <c r="E327" s="43" t="s">
        <v>1365</v>
      </c>
      <c r="F327" s="57"/>
      <c r="G327" s="53"/>
      <c r="H327" s="46"/>
      <c r="I327" s="58" t="s">
        <v>111</v>
      </c>
      <c r="J327" s="48"/>
      <c r="K327" s="61"/>
      <c r="L327" s="46"/>
      <c r="M327" s="56" t="s">
        <v>43</v>
      </c>
      <c r="N327" s="66" t="s">
        <v>1366</v>
      </c>
      <c r="O327" s="68">
        <v>1</v>
      </c>
      <c r="P327" s="50" t="e">
        <v>#REF!</v>
      </c>
      <c r="Q327" s="62"/>
      <c r="R327" s="51" t="s">
        <v>43</v>
      </c>
      <c r="S327" s="51" t="s">
        <v>1367</v>
      </c>
      <c r="T327" s="12"/>
      <c r="U327" s="12"/>
      <c r="V327" s="12"/>
      <c r="W327" s="12"/>
      <c r="X327" s="14" t="e">
        <f t="array" ref="X327">IF(OR(AND(#REF!=""),AND(#REF!="-"),OR(NOT(ISERROR(SEARCH("-*",H327:L327))))),0,1)</f>
        <v>#REF!</v>
      </c>
      <c r="Y327" s="12"/>
      <c r="Z327" s="14">
        <f t="array" ref="Z327">IF(AND(E327:G327="-"),0,IF(OR(NOT(ISERROR(SEARCH("+*",H327:L327)))),2,IF(OR(NOT(ISERROR(SEARCH("--*",E327:L327)))),-1,IF(OR(NOT(E327:G327="")),1,0))))</f>
        <v>2</v>
      </c>
      <c r="AA327" s="14">
        <v>559</v>
      </c>
      <c r="AB327" s="12"/>
    </row>
    <row r="328" spans="1:28" ht="357">
      <c r="A328" s="41">
        <v>505</v>
      </c>
      <c r="B328" s="66" t="s">
        <v>1368</v>
      </c>
      <c r="C328" s="66" t="s">
        <v>1369</v>
      </c>
      <c r="D328" s="42" t="s">
        <v>1370</v>
      </c>
      <c r="E328" s="43" t="s">
        <v>42</v>
      </c>
      <c r="F328" s="44" t="s">
        <v>42</v>
      </c>
      <c r="G328" s="53" t="s">
        <v>42</v>
      </c>
      <c r="H328" s="46"/>
      <c r="I328" s="58" t="s">
        <v>106</v>
      </c>
      <c r="J328" s="48"/>
      <c r="K328" s="59" t="s">
        <v>106</v>
      </c>
      <c r="L328" s="46"/>
      <c r="M328" s="56" t="s">
        <v>43</v>
      </c>
      <c r="N328" s="76" t="s">
        <v>1371</v>
      </c>
      <c r="O328" s="68">
        <v>1</v>
      </c>
      <c r="P328" s="50" t="e">
        <v>#REF!</v>
      </c>
      <c r="Q328" s="62" t="s">
        <v>44</v>
      </c>
      <c r="R328" s="51" t="s">
        <v>43</v>
      </c>
      <c r="S328" s="51" t="s">
        <v>1372</v>
      </c>
      <c r="T328" s="12"/>
      <c r="U328" s="12"/>
      <c r="V328" s="12"/>
      <c r="W328" s="12"/>
      <c r="X328" s="14" t="e">
        <f t="array" ref="X328">IF(OR(AND(#REF!=""),AND(#REF!="-"),OR(NOT(ISERROR(SEARCH("-*",H328:L328))))),0,1)</f>
        <v>#REF!</v>
      </c>
      <c r="Y328" s="12"/>
      <c r="Z328" s="14">
        <f t="array" ref="Z328">IF(AND(E328:G328="-"),0,IF(OR(NOT(ISERROR(SEARCH("+*",H328:L328)))),2,IF(OR(NOT(ISERROR(SEARCH("--*",E328:L328)))),-1,IF(OR(NOT(E328:G328="")),1,0))))</f>
        <v>2</v>
      </c>
      <c r="AA328" s="14">
        <v>561</v>
      </c>
      <c r="AB328" s="12"/>
    </row>
    <row r="329" spans="1:28" ht="204">
      <c r="A329" s="41">
        <v>506</v>
      </c>
      <c r="B329" s="66" t="s">
        <v>1373</v>
      </c>
      <c r="C329" s="66" t="s">
        <v>1374</v>
      </c>
      <c r="D329" s="66" t="s">
        <v>1375</v>
      </c>
      <c r="E329" s="43" t="s">
        <v>74</v>
      </c>
      <c r="F329" s="44"/>
      <c r="G329" s="53"/>
      <c r="H329" s="46"/>
      <c r="I329" s="58" t="s">
        <v>111</v>
      </c>
      <c r="J329" s="48"/>
      <c r="K329" s="59" t="s">
        <v>111</v>
      </c>
      <c r="L329" s="46"/>
      <c r="M329" s="56" t="s">
        <v>43</v>
      </c>
      <c r="N329" s="76" t="s">
        <v>1376</v>
      </c>
      <c r="O329" s="68">
        <v>1</v>
      </c>
      <c r="P329" s="50" t="e">
        <v>#REF!</v>
      </c>
      <c r="Q329" s="62"/>
      <c r="R329" s="51" t="s">
        <v>295</v>
      </c>
      <c r="S329" s="51" t="s">
        <v>1377</v>
      </c>
      <c r="T329" s="12"/>
      <c r="U329" s="12"/>
      <c r="V329" s="12"/>
      <c r="W329" s="12"/>
      <c r="X329" s="14" t="e">
        <f t="array" ref="X329">IF(OR(AND(#REF!=""),AND(#REF!="-"),OR(NOT(ISERROR(SEARCH("-*",H329:L329))))),0,1)</f>
        <v>#REF!</v>
      </c>
      <c r="Y329" s="12"/>
      <c r="Z329" s="14">
        <f t="array" ref="Z329">IF(AND(E329:G329="-"),0,IF(OR(NOT(ISERROR(SEARCH("+*",H329:L329)))),2,IF(OR(NOT(ISERROR(SEARCH("--*",E329:L329)))),-1,IF(OR(NOT(E329:G329="")),1,0))))</f>
        <v>2</v>
      </c>
      <c r="AA329" s="14">
        <v>562</v>
      </c>
      <c r="AB329" s="12"/>
    </row>
    <row r="330" spans="1:28" ht="331.5">
      <c r="A330" s="41">
        <v>508</v>
      </c>
      <c r="B330" s="66" t="s">
        <v>1378</v>
      </c>
      <c r="C330" s="66" t="s">
        <v>1379</v>
      </c>
      <c r="D330" s="42" t="s">
        <v>1380</v>
      </c>
      <c r="E330" s="43" t="s">
        <v>42</v>
      </c>
      <c r="F330" s="44" t="s">
        <v>42</v>
      </c>
      <c r="G330" s="53" t="s">
        <v>42</v>
      </c>
      <c r="H330" s="46"/>
      <c r="I330" s="47"/>
      <c r="J330" s="48"/>
      <c r="K330" s="49"/>
      <c r="L330" s="46"/>
      <c r="M330" s="56" t="s">
        <v>43</v>
      </c>
      <c r="N330" s="66"/>
      <c r="O330" s="68">
        <v>1</v>
      </c>
      <c r="P330" s="50" t="e">
        <v>#REF!</v>
      </c>
      <c r="Q330" s="62" t="s">
        <v>44</v>
      </c>
      <c r="R330" s="51" t="s">
        <v>43</v>
      </c>
      <c r="S330" s="51" t="s">
        <v>1381</v>
      </c>
      <c r="T330" s="12"/>
      <c r="U330" s="12"/>
      <c r="V330" s="12"/>
      <c r="W330" s="12"/>
      <c r="X330" s="14" t="e">
        <f t="array" ref="X330">IF(OR(AND(#REF!=""),AND(#REF!="-"),OR(NOT(ISERROR(SEARCH("-*",H330:L330))))),0,1)</f>
        <v>#REF!</v>
      </c>
      <c r="Y330" s="12"/>
      <c r="Z330" s="14">
        <f t="array" ref="Z330">IF(AND(E330:G330="-"),0,IF(OR(NOT(ISERROR(SEARCH("+*",H330:L330)))),2,IF(OR(NOT(ISERROR(SEARCH("--*",E330:L330)))),-1,IF(OR(NOT(E330:G330="")),1,0))))</f>
        <v>1</v>
      </c>
      <c r="AA330" s="14">
        <v>564</v>
      </c>
      <c r="AB330" s="12"/>
    </row>
    <row r="331" spans="1:28" ht="165.75">
      <c r="A331" s="41">
        <v>509</v>
      </c>
      <c r="B331" s="66" t="s">
        <v>1382</v>
      </c>
      <c r="C331" s="66" t="s">
        <v>1383</v>
      </c>
      <c r="D331" s="66" t="s">
        <v>1384</v>
      </c>
      <c r="E331" s="43" t="s">
        <v>42</v>
      </c>
      <c r="F331" s="44" t="s">
        <v>42</v>
      </c>
      <c r="G331" s="53"/>
      <c r="H331" s="46"/>
      <c r="I331" s="47"/>
      <c r="J331" s="48"/>
      <c r="K331" s="49"/>
      <c r="L331" s="46"/>
      <c r="M331" s="56" t="s">
        <v>43</v>
      </c>
      <c r="N331" s="66" t="s">
        <v>1385</v>
      </c>
      <c r="O331" s="68">
        <v>1</v>
      </c>
      <c r="P331" s="50" t="e">
        <v>#REF!</v>
      </c>
      <c r="Q331" s="62" t="s">
        <v>44</v>
      </c>
      <c r="R331" s="51" t="s">
        <v>51</v>
      </c>
      <c r="S331" s="51" t="s">
        <v>1386</v>
      </c>
      <c r="T331" s="12"/>
      <c r="U331" s="12"/>
      <c r="V331" s="12"/>
      <c r="W331" s="12"/>
      <c r="X331" s="14" t="e">
        <f t="array" ref="X331">IF(OR(AND(#REF!=""),AND(#REF!="-"),OR(NOT(ISERROR(SEARCH("-*",H331:L331))))),0,1)</f>
        <v>#REF!</v>
      </c>
      <c r="Y331" s="12"/>
      <c r="Z331" s="14">
        <f t="array" ref="Z331">IF(AND(E331:G331="-"),0,IF(OR(NOT(ISERROR(SEARCH("+*",H331:L331)))),2,IF(OR(NOT(ISERROR(SEARCH("--*",E331:L331)))),-1,IF(OR(NOT(E331:G331="")),1,0))))</f>
        <v>1</v>
      </c>
      <c r="AA331" s="14">
        <v>565</v>
      </c>
      <c r="AB331" s="12"/>
    </row>
    <row r="332" spans="1:28" ht="191.25">
      <c r="A332" s="41">
        <v>510</v>
      </c>
      <c r="B332" s="66" t="s">
        <v>1387</v>
      </c>
      <c r="C332" s="66" t="s">
        <v>1388</v>
      </c>
      <c r="D332" s="66" t="s">
        <v>1389</v>
      </c>
      <c r="E332" s="19"/>
      <c r="F332" s="57"/>
      <c r="G332" s="53"/>
      <c r="H332" s="46"/>
      <c r="I332" s="58" t="s">
        <v>111</v>
      </c>
      <c r="J332" s="48"/>
      <c r="K332" s="59" t="s">
        <v>111</v>
      </c>
      <c r="L332" s="46"/>
      <c r="M332" s="56" t="s">
        <v>43</v>
      </c>
      <c r="N332" s="66"/>
      <c r="O332" s="68">
        <v>2</v>
      </c>
      <c r="P332" s="50" t="e">
        <v>#REF!</v>
      </c>
      <c r="Q332" s="62" t="s">
        <v>86</v>
      </c>
      <c r="R332" s="51" t="s">
        <v>43</v>
      </c>
      <c r="S332" s="51" t="s">
        <v>1390</v>
      </c>
      <c r="T332" s="12"/>
      <c r="U332" s="12"/>
      <c r="V332" s="12"/>
      <c r="W332" s="12"/>
      <c r="X332" s="14" t="e">
        <f t="array" ref="X332">IF(OR(AND(#REF!=""),AND(#REF!="-"),OR(NOT(ISERROR(SEARCH("-*",H332:L332))))),0,1)</f>
        <v>#REF!</v>
      </c>
      <c r="Y332" s="12"/>
      <c r="Z332" s="14">
        <f t="array" ref="Z332">IF(AND(E332:G332="-"),0,IF(OR(NOT(ISERROR(SEARCH("+*",H332:L332)))),2,IF(OR(NOT(ISERROR(SEARCH("--*",E332:L332)))),-1,IF(OR(NOT(E332:G332="")),1,0))))</f>
        <v>2</v>
      </c>
      <c r="AA332" s="14">
        <v>567</v>
      </c>
      <c r="AB332" s="12"/>
    </row>
    <row r="333" spans="1:28" ht="191.25">
      <c r="A333" s="41">
        <v>511</v>
      </c>
      <c r="B333" s="66" t="s">
        <v>1391</v>
      </c>
      <c r="C333" s="66" t="s">
        <v>1374</v>
      </c>
      <c r="D333" s="66" t="s">
        <v>1392</v>
      </c>
      <c r="E333" s="43" t="s">
        <v>74</v>
      </c>
      <c r="F333" s="44"/>
      <c r="G333" s="53"/>
      <c r="H333" s="46"/>
      <c r="I333" s="58" t="s">
        <v>111</v>
      </c>
      <c r="J333" s="48"/>
      <c r="K333" s="59" t="s">
        <v>111</v>
      </c>
      <c r="L333" s="46"/>
      <c r="M333" s="56" t="s">
        <v>43</v>
      </c>
      <c r="N333" s="76" t="s">
        <v>1393</v>
      </c>
      <c r="O333" s="68">
        <v>1</v>
      </c>
      <c r="P333" s="50" t="e">
        <v>#REF!</v>
      </c>
      <c r="Q333" s="62"/>
      <c r="R333" s="51" t="s">
        <v>43</v>
      </c>
      <c r="S333" s="51" t="s">
        <v>1394</v>
      </c>
      <c r="T333" s="12"/>
      <c r="U333" s="12"/>
      <c r="V333" s="12"/>
      <c r="W333" s="12"/>
      <c r="X333" s="14" t="e">
        <f t="array" ref="X333">IF(OR(AND(#REF!=""),AND(#REF!="-"),OR(NOT(ISERROR(SEARCH("-*",H333:L333))))),0,1)</f>
        <v>#REF!</v>
      </c>
      <c r="Y333" s="12"/>
      <c r="Z333" s="14">
        <f t="array" ref="Z333">IF(AND(E333:G333="-"),0,IF(OR(NOT(ISERROR(SEARCH("+*",H333:L333)))),2,IF(OR(NOT(ISERROR(SEARCH("--*",E333:L333)))),-1,IF(OR(NOT(E333:G333="")),1,0))))</f>
        <v>2</v>
      </c>
      <c r="AA333" s="14">
        <v>568</v>
      </c>
      <c r="AB333" s="12"/>
    </row>
    <row r="334" spans="1:28" ht="280.5">
      <c r="A334" s="41">
        <v>512</v>
      </c>
      <c r="B334" s="66" t="s">
        <v>1395</v>
      </c>
      <c r="C334" s="66" t="s">
        <v>1396</v>
      </c>
      <c r="D334" s="42" t="s">
        <v>1397</v>
      </c>
      <c r="E334" s="43" t="s">
        <v>42</v>
      </c>
      <c r="F334" s="44" t="s">
        <v>42</v>
      </c>
      <c r="G334" s="53"/>
      <c r="H334" s="46"/>
      <c r="I334" s="47"/>
      <c r="J334" s="48"/>
      <c r="K334" s="49"/>
      <c r="L334" s="46"/>
      <c r="M334" s="56" t="s">
        <v>43</v>
      </c>
      <c r="N334" s="76" t="s">
        <v>1398</v>
      </c>
      <c r="O334" s="68">
        <v>0</v>
      </c>
      <c r="P334" s="50" t="e">
        <v>#REF!</v>
      </c>
      <c r="Q334" s="62" t="s">
        <v>44</v>
      </c>
      <c r="R334" s="51" t="s">
        <v>43</v>
      </c>
      <c r="S334" s="51" t="s">
        <v>1399</v>
      </c>
      <c r="T334" s="12"/>
      <c r="U334" s="12"/>
      <c r="V334" s="12"/>
      <c r="W334" s="12"/>
      <c r="X334" s="14" t="e">
        <f t="array" ref="X334">IF(OR(AND(#REF!=""),AND(#REF!="-"),OR(NOT(ISERROR(SEARCH("-*",H334:L334))))),0,1)</f>
        <v>#REF!</v>
      </c>
      <c r="Y334" s="12"/>
      <c r="Z334" s="14">
        <f t="array" ref="Z334">IF(AND(E334:G334="-"),0,IF(OR(NOT(ISERROR(SEARCH("+*",H334:L334)))),2,IF(OR(NOT(ISERROR(SEARCH("--*",E334:L334)))),-1,IF(OR(NOT(E334:G334="")),1,0))))</f>
        <v>1</v>
      </c>
      <c r="AA334" s="14">
        <v>569</v>
      </c>
      <c r="AB334" s="12"/>
    </row>
    <row r="335" spans="1:28" ht="280.5">
      <c r="A335" s="41">
        <v>513</v>
      </c>
      <c r="B335" s="66" t="s">
        <v>1400</v>
      </c>
      <c r="C335" s="66" t="s">
        <v>1401</v>
      </c>
      <c r="D335" s="42" t="s">
        <v>1402</v>
      </c>
      <c r="E335" s="43" t="s">
        <v>42</v>
      </c>
      <c r="F335" s="44" t="s">
        <v>42</v>
      </c>
      <c r="G335" s="53" t="s">
        <v>42</v>
      </c>
      <c r="H335" s="46"/>
      <c r="I335" s="71"/>
      <c r="J335" s="48"/>
      <c r="K335" s="74"/>
      <c r="L335" s="46"/>
      <c r="M335" s="56" t="s">
        <v>43</v>
      </c>
      <c r="N335" s="76" t="s">
        <v>1403</v>
      </c>
      <c r="O335" s="68">
        <v>0</v>
      </c>
      <c r="P335" s="50" t="e">
        <v>#REF!</v>
      </c>
      <c r="Q335" s="73" t="s">
        <v>86</v>
      </c>
      <c r="R335" s="51" t="s">
        <v>43</v>
      </c>
      <c r="S335" s="51" t="s">
        <v>1404</v>
      </c>
      <c r="T335" s="12"/>
      <c r="U335" s="12"/>
      <c r="V335" s="12"/>
      <c r="W335" s="12"/>
      <c r="X335" s="14" t="e">
        <f t="array" ref="X335">IF(OR(AND(#REF!=""),AND(#REF!="-"),OR(NOT(ISERROR(SEARCH("-*",H335:L335))))),0,1)</f>
        <v>#REF!</v>
      </c>
      <c r="Y335" s="12"/>
      <c r="Z335" s="14">
        <f t="array" ref="Z335">IF(AND(E335:G335="-"),0,IF(OR(NOT(ISERROR(SEARCH("+*",H335:L335)))),2,IF(OR(NOT(ISERROR(SEARCH("--*",E335:L335)))),-1,IF(OR(NOT(E335:G335="")),1,0))))</f>
        <v>1</v>
      </c>
      <c r="AA335" s="14">
        <v>570</v>
      </c>
      <c r="AB335" s="12"/>
    </row>
    <row r="336" spans="1:28" ht="165.75">
      <c r="A336" s="41">
        <v>514</v>
      </c>
      <c r="B336" s="66" t="s">
        <v>1405</v>
      </c>
      <c r="C336" s="66" t="s">
        <v>1406</v>
      </c>
      <c r="D336" s="42" t="s">
        <v>1407</v>
      </c>
      <c r="E336" s="43" t="s">
        <v>42</v>
      </c>
      <c r="F336" s="44" t="s">
        <v>42</v>
      </c>
      <c r="G336" s="45" t="s">
        <v>42</v>
      </c>
      <c r="H336" s="46"/>
      <c r="I336" s="47"/>
      <c r="J336" s="48"/>
      <c r="K336" s="49"/>
      <c r="L336" s="46"/>
      <c r="M336" s="56" t="s">
        <v>43</v>
      </c>
      <c r="N336" s="54" t="s">
        <v>1408</v>
      </c>
      <c r="O336" s="56">
        <v>1</v>
      </c>
      <c r="P336" s="50" t="e">
        <v>#REF!</v>
      </c>
      <c r="Q336" s="62" t="s">
        <v>44</v>
      </c>
      <c r="R336" s="51" t="s">
        <v>43</v>
      </c>
      <c r="S336" s="51" t="s">
        <v>1409</v>
      </c>
      <c r="T336" s="12"/>
      <c r="U336" s="12"/>
      <c r="V336" s="12"/>
      <c r="W336" s="12"/>
      <c r="X336" s="14" t="e">
        <f t="array" ref="X336">IF(OR(AND(#REF!=""),AND(#REF!="-"),OR(NOT(ISERROR(SEARCH("-*",H336:L336))))),0,1)</f>
        <v>#REF!</v>
      </c>
      <c r="Y336" s="12"/>
      <c r="Z336" s="14">
        <f t="array" ref="Z336">IF(AND(E336:G336="-"),0,IF(OR(NOT(ISERROR(SEARCH("+*",H336:L336)))),2,IF(OR(NOT(ISERROR(SEARCH("--*",E336:L336)))),-1,IF(OR(NOT(E336:G336="")),1,0))))</f>
        <v>1</v>
      </c>
      <c r="AA336" s="14">
        <v>571</v>
      </c>
      <c r="AB336" s="12"/>
    </row>
    <row r="337" spans="1:28" ht="242.25">
      <c r="A337" s="41">
        <v>515</v>
      </c>
      <c r="B337" s="66" t="s">
        <v>1410</v>
      </c>
      <c r="C337" s="66" t="s">
        <v>1411</v>
      </c>
      <c r="D337" s="66" t="s">
        <v>1412</v>
      </c>
      <c r="E337" s="43" t="s">
        <v>42</v>
      </c>
      <c r="F337" s="44" t="s">
        <v>42</v>
      </c>
      <c r="G337" s="53" t="s">
        <v>42</v>
      </c>
      <c r="H337" s="46"/>
      <c r="I337" s="47"/>
      <c r="J337" s="48"/>
      <c r="K337" s="49"/>
      <c r="L337" s="46"/>
      <c r="M337" s="56" t="s">
        <v>43</v>
      </c>
      <c r="N337" s="66" t="s">
        <v>1413</v>
      </c>
      <c r="O337" s="68">
        <v>1</v>
      </c>
      <c r="P337" s="50" t="e">
        <v>#REF!</v>
      </c>
      <c r="Q337" s="62" t="s">
        <v>86</v>
      </c>
      <c r="R337" s="51" t="s">
        <v>43</v>
      </c>
      <c r="S337" s="51" t="s">
        <v>1414</v>
      </c>
      <c r="T337" s="12"/>
      <c r="U337" s="12"/>
      <c r="V337" s="12"/>
      <c r="W337" s="12"/>
      <c r="X337" s="14" t="e">
        <f t="array" ref="X337">IF(OR(AND(#REF!=""),AND(#REF!="-"),OR(NOT(ISERROR(SEARCH("-*",H337:L337))))),0,1)</f>
        <v>#REF!</v>
      </c>
      <c r="Y337" s="12"/>
      <c r="Z337" s="14">
        <f t="array" ref="Z337">IF(AND(E337:G337="-"),0,IF(OR(NOT(ISERROR(SEARCH("+*",H337:L337)))),2,IF(OR(NOT(ISERROR(SEARCH("--*",E337:L337)))),-1,IF(OR(NOT(E337:G337="")),1,0))))</f>
        <v>1</v>
      </c>
      <c r="AA337" s="14">
        <v>572</v>
      </c>
      <c r="AB337" s="12"/>
    </row>
    <row r="338" spans="1:28" ht="191.25">
      <c r="A338" s="41">
        <v>516</v>
      </c>
      <c r="B338" s="66" t="s">
        <v>1415</v>
      </c>
      <c r="C338" s="66" t="s">
        <v>1416</v>
      </c>
      <c r="D338" s="42" t="s">
        <v>1417</v>
      </c>
      <c r="E338" s="43" t="s">
        <v>42</v>
      </c>
      <c r="F338" s="44" t="s">
        <v>42</v>
      </c>
      <c r="G338" s="53" t="s">
        <v>42</v>
      </c>
      <c r="H338" s="46"/>
      <c r="I338" s="47"/>
      <c r="J338" s="48"/>
      <c r="K338" s="49"/>
      <c r="L338" s="46"/>
      <c r="M338" s="56" t="s">
        <v>43</v>
      </c>
      <c r="N338" s="54" t="s">
        <v>1418</v>
      </c>
      <c r="O338" s="56">
        <v>2</v>
      </c>
      <c r="P338" s="50" t="e">
        <v>#REF!</v>
      </c>
      <c r="Q338" s="62" t="s">
        <v>44</v>
      </c>
      <c r="R338" s="51" t="s">
        <v>43</v>
      </c>
      <c r="S338" s="51" t="s">
        <v>1419</v>
      </c>
      <c r="T338" s="12"/>
      <c r="U338" s="12"/>
      <c r="V338" s="12"/>
      <c r="W338" s="12"/>
      <c r="X338" s="14" t="e">
        <f t="array" ref="X338">IF(OR(AND(#REF!=""),AND(#REF!="-"),OR(NOT(ISERROR(SEARCH("-*",H338:L338))))),0,1)</f>
        <v>#REF!</v>
      </c>
      <c r="Y338" s="12"/>
      <c r="Z338" s="14">
        <f t="array" ref="Z338">IF(AND(E338:G338="-"),0,IF(OR(NOT(ISERROR(SEARCH("+*",H338:L338)))),2,IF(OR(NOT(ISERROR(SEARCH("--*",E338:L338)))),-1,IF(OR(NOT(E338:G338="")),1,0))))</f>
        <v>1</v>
      </c>
      <c r="AA338" s="14">
        <v>573</v>
      </c>
      <c r="AB338" s="12"/>
    </row>
    <row r="339" spans="1:28" ht="229.5">
      <c r="A339" s="41">
        <v>517</v>
      </c>
      <c r="B339" s="66" t="s">
        <v>1420</v>
      </c>
      <c r="C339" s="66" t="s">
        <v>1421</v>
      </c>
      <c r="D339" s="42" t="s">
        <v>1422</v>
      </c>
      <c r="E339" s="43" t="s">
        <v>42</v>
      </c>
      <c r="F339" s="44" t="s">
        <v>42</v>
      </c>
      <c r="G339" s="53" t="s">
        <v>42</v>
      </c>
      <c r="H339" s="46"/>
      <c r="I339" s="47"/>
      <c r="J339" s="48"/>
      <c r="K339" s="49"/>
      <c r="L339" s="46"/>
      <c r="M339" s="56" t="s">
        <v>43</v>
      </c>
      <c r="N339" s="54"/>
      <c r="O339" s="56">
        <v>2</v>
      </c>
      <c r="P339" s="50" t="e">
        <v>#REF!</v>
      </c>
      <c r="Q339" s="62" t="s">
        <v>44</v>
      </c>
      <c r="R339" s="51"/>
      <c r="S339" s="51"/>
      <c r="T339" s="12"/>
      <c r="U339" s="12"/>
      <c r="V339" s="12"/>
      <c r="W339" s="12"/>
      <c r="X339" s="14" t="e">
        <f t="array" ref="X339">IF(OR(AND(#REF!=""),AND(#REF!="-"),OR(NOT(ISERROR(SEARCH("-*",H339:L339))))),0,1)</f>
        <v>#REF!</v>
      </c>
      <c r="Y339" s="12"/>
      <c r="Z339" s="14">
        <f t="array" ref="Z339">IF(AND(E339:G339="-"),0,IF(OR(NOT(ISERROR(SEARCH("+*",H339:L339)))),2,IF(OR(NOT(ISERROR(SEARCH("--*",E339:L339)))),-1,IF(OR(NOT(E339:G339="")),1,0))))</f>
        <v>1</v>
      </c>
      <c r="AA339" s="14">
        <v>575</v>
      </c>
      <c r="AB339" s="12"/>
    </row>
    <row r="340" spans="1:28" ht="38.25">
      <c r="A340" s="41">
        <v>518</v>
      </c>
      <c r="B340" s="66" t="s">
        <v>1423</v>
      </c>
      <c r="C340" s="66" t="s">
        <v>1424</v>
      </c>
      <c r="D340" s="66" t="s">
        <v>1425</v>
      </c>
      <c r="E340" s="43" t="s">
        <v>42</v>
      </c>
      <c r="F340" s="44" t="s">
        <v>42</v>
      </c>
      <c r="G340" s="53" t="s">
        <v>42</v>
      </c>
      <c r="H340" s="46"/>
      <c r="I340" s="47"/>
      <c r="J340" s="48"/>
      <c r="K340" s="49"/>
      <c r="L340" s="46"/>
      <c r="M340" s="56" t="s">
        <v>43</v>
      </c>
      <c r="N340" s="54" t="s">
        <v>1426</v>
      </c>
      <c r="O340" s="56">
        <v>2</v>
      </c>
      <c r="P340" s="50" t="e">
        <v>#REF!</v>
      </c>
      <c r="Q340" s="62"/>
      <c r="R340" s="51"/>
      <c r="S340" s="51"/>
      <c r="T340" s="12"/>
      <c r="U340" s="12"/>
      <c r="V340" s="12"/>
      <c r="W340" s="12"/>
      <c r="X340" s="14" t="e">
        <f t="array" ref="X340">IF(OR(AND(#REF!=""),AND(#REF!="-"),OR(NOT(ISERROR(SEARCH("-*",H340:L340))))),0,1)</f>
        <v>#REF!</v>
      </c>
      <c r="Y340" s="12"/>
      <c r="Z340" s="14">
        <f t="array" ref="Z340">IF(AND(E340:G340="-"),0,IF(OR(NOT(ISERROR(SEARCH("+*",H340:L340)))),2,IF(OR(NOT(ISERROR(SEARCH("--*",E340:L340)))),-1,IF(OR(NOT(E340:G340="")),1,0))))</f>
        <v>1</v>
      </c>
      <c r="AA340" s="14">
        <v>576</v>
      </c>
      <c r="AB340" s="12"/>
    </row>
    <row r="341" spans="1:28" ht="38.25">
      <c r="A341" s="41">
        <v>519</v>
      </c>
      <c r="B341" s="66" t="s">
        <v>1427</v>
      </c>
      <c r="C341" s="66" t="s">
        <v>1428</v>
      </c>
      <c r="D341" s="79" t="s">
        <v>1429</v>
      </c>
      <c r="E341" s="43" t="s">
        <v>42</v>
      </c>
      <c r="F341" s="44" t="s">
        <v>42</v>
      </c>
      <c r="G341" s="53" t="s">
        <v>42</v>
      </c>
      <c r="H341" s="46"/>
      <c r="I341" s="47"/>
      <c r="J341" s="48"/>
      <c r="K341" s="49"/>
      <c r="L341" s="46"/>
      <c r="M341" s="56" t="s">
        <v>43</v>
      </c>
      <c r="N341" s="54" t="s">
        <v>1430</v>
      </c>
      <c r="O341" s="56">
        <v>2</v>
      </c>
      <c r="P341" s="50" t="e">
        <v>#REF!</v>
      </c>
      <c r="Q341" s="62" t="s">
        <v>62</v>
      </c>
      <c r="R341" s="51"/>
      <c r="S341" s="51"/>
      <c r="T341" s="12"/>
      <c r="U341" s="12"/>
      <c r="V341" s="12"/>
      <c r="W341" s="12"/>
      <c r="X341" s="14" t="e">
        <f t="array" ref="X341">IF(OR(AND(#REF!=""),AND(#REF!="-"),OR(NOT(ISERROR(SEARCH("-*",H341:L341))))),0,1)</f>
        <v>#REF!</v>
      </c>
      <c r="Y341" s="12"/>
      <c r="Z341" s="14">
        <f t="array" ref="Z341">IF(AND(E341:G341="-"),0,IF(OR(NOT(ISERROR(SEARCH("+*",H341:L341)))),2,IF(OR(NOT(ISERROR(SEARCH("--*",E341:L341)))),-1,IF(OR(NOT(E341:G341="")),1,0))))</f>
        <v>1</v>
      </c>
      <c r="AA341" s="14">
        <v>577</v>
      </c>
      <c r="AB341" s="12"/>
    </row>
    <row r="342" spans="1:28" ht="38.25">
      <c r="A342" s="41">
        <v>520</v>
      </c>
      <c r="B342" s="66" t="s">
        <v>1431</v>
      </c>
      <c r="C342" s="66" t="s">
        <v>1432</v>
      </c>
      <c r="D342" s="66" t="s">
        <v>1433</v>
      </c>
      <c r="E342" s="43"/>
      <c r="F342" s="57"/>
      <c r="G342" s="53"/>
      <c r="H342" s="46"/>
      <c r="I342" s="58" t="s">
        <v>111</v>
      </c>
      <c r="J342" s="48"/>
      <c r="K342" s="61"/>
      <c r="L342" s="46"/>
      <c r="M342" s="56" t="s">
        <v>43</v>
      </c>
      <c r="N342" s="54" t="s">
        <v>1434</v>
      </c>
      <c r="O342" s="56">
        <v>2</v>
      </c>
      <c r="P342" s="50" t="e">
        <v>#REF!</v>
      </c>
      <c r="Q342" s="62"/>
      <c r="R342" s="51"/>
      <c r="S342" s="51"/>
      <c r="T342" s="12"/>
      <c r="U342" s="12"/>
      <c r="V342" s="12"/>
      <c r="W342" s="12"/>
      <c r="X342" s="14" t="e">
        <f t="array" ref="X342">IF(OR(AND(#REF!=""),AND(#REF!="-"),OR(NOT(ISERROR(SEARCH("-*",H342:L342))))),0,1)</f>
        <v>#REF!</v>
      </c>
      <c r="Y342" s="12"/>
      <c r="Z342" s="14">
        <f t="array" ref="Z342">IF(AND(E342:G342="-"),0,IF(OR(NOT(ISERROR(SEARCH("+*",H342:L342)))),2,IF(OR(NOT(ISERROR(SEARCH("--*",E342:L342)))),-1,IF(OR(NOT(E342:G342="")),1,0))))</f>
        <v>2</v>
      </c>
      <c r="AA342" s="14">
        <v>578</v>
      </c>
      <c r="AB342" s="12"/>
    </row>
    <row r="343" spans="1:28" ht="102">
      <c r="A343" s="41">
        <v>521</v>
      </c>
      <c r="B343" s="66" t="s">
        <v>1435</v>
      </c>
      <c r="C343" s="66" t="s">
        <v>1436</v>
      </c>
      <c r="D343" s="42" t="s">
        <v>1437</v>
      </c>
      <c r="E343" s="43" t="s">
        <v>74</v>
      </c>
      <c r="F343" s="44" t="s">
        <v>74</v>
      </c>
      <c r="G343" s="53" t="s">
        <v>74</v>
      </c>
      <c r="H343" s="46"/>
      <c r="I343" s="47"/>
      <c r="J343" s="48"/>
      <c r="K343" s="49"/>
      <c r="L343" s="46"/>
      <c r="M343" s="56" t="s">
        <v>43</v>
      </c>
      <c r="N343" s="76" t="s">
        <v>1438</v>
      </c>
      <c r="O343" s="68">
        <v>1</v>
      </c>
      <c r="P343" s="50" t="e">
        <v>#REF!</v>
      </c>
      <c r="Q343" s="62"/>
      <c r="R343" s="51"/>
      <c r="S343" s="51"/>
      <c r="T343" s="12"/>
      <c r="U343" s="12"/>
      <c r="V343" s="12"/>
      <c r="W343" s="12"/>
      <c r="X343" s="14" t="e">
        <f t="array" ref="X343">IF(OR(AND(#REF!=""),AND(#REF!="-"),OR(NOT(ISERROR(SEARCH("-*",H343:L343))))),0,1)</f>
        <v>#REF!</v>
      </c>
      <c r="Y343" s="12"/>
      <c r="Z343" s="14">
        <f t="array" ref="Z343">IF(AND(E343:G343="-"),0,IF(OR(NOT(ISERROR(SEARCH("+*",H343:L343)))),2,IF(OR(NOT(ISERROR(SEARCH("--*",E343:L343)))),-1,IF(OR(NOT(E343:G343="")),1,0))))</f>
        <v>1</v>
      </c>
      <c r="AA343" s="14">
        <v>579</v>
      </c>
      <c r="AB343" s="12"/>
    </row>
    <row r="344" spans="1:28" ht="25.5">
      <c r="A344" s="41">
        <v>522</v>
      </c>
      <c r="B344" s="66" t="s">
        <v>1439</v>
      </c>
      <c r="C344" s="66" t="s">
        <v>1440</v>
      </c>
      <c r="D344" s="42" t="s">
        <v>1441</v>
      </c>
      <c r="E344" s="43" t="s">
        <v>42</v>
      </c>
      <c r="F344" s="44" t="s">
        <v>42</v>
      </c>
      <c r="G344" s="53" t="s">
        <v>42</v>
      </c>
      <c r="H344" s="46"/>
      <c r="I344" s="47"/>
      <c r="J344" s="48"/>
      <c r="K344" s="49"/>
      <c r="L344" s="46"/>
      <c r="M344" s="56" t="s">
        <v>43</v>
      </c>
      <c r="N344" s="54" t="s">
        <v>1442</v>
      </c>
      <c r="O344" s="56">
        <v>1</v>
      </c>
      <c r="P344" s="50" t="e">
        <v>#REF!</v>
      </c>
      <c r="Q344" s="62"/>
      <c r="R344" s="51"/>
      <c r="S344" s="51"/>
      <c r="T344" s="12"/>
      <c r="U344" s="12"/>
      <c r="V344" s="12"/>
      <c r="W344" s="12"/>
      <c r="X344" s="14" t="e">
        <f t="array" ref="X344">IF(OR(AND(#REF!=""),AND(#REF!="-"),OR(NOT(ISERROR(SEARCH("-*",H344:L344))))),0,1)</f>
        <v>#REF!</v>
      </c>
      <c r="Y344" s="12"/>
      <c r="Z344" s="14">
        <f t="array" ref="Z344">IF(AND(E344:G344="-"),0,IF(OR(NOT(ISERROR(SEARCH("+*",H344:L344)))),2,IF(OR(NOT(ISERROR(SEARCH("--*",E344:L344)))),-1,IF(OR(NOT(E344:G344="")),1,0))))</f>
        <v>1</v>
      </c>
      <c r="AA344" s="14">
        <v>580</v>
      </c>
      <c r="AB344" s="12"/>
    </row>
    <row r="345" spans="1:28" ht="127.5">
      <c r="A345" s="41">
        <v>526</v>
      </c>
      <c r="B345" s="66" t="s">
        <v>1443</v>
      </c>
      <c r="C345" s="66" t="s">
        <v>1444</v>
      </c>
      <c r="D345" s="42" t="s">
        <v>1445</v>
      </c>
      <c r="E345" s="19"/>
      <c r="F345" s="57"/>
      <c r="G345" s="53"/>
      <c r="H345" s="46"/>
      <c r="I345" s="70" t="s">
        <v>111</v>
      </c>
      <c r="J345" s="48"/>
      <c r="K345" s="72" t="s">
        <v>111</v>
      </c>
      <c r="L345" s="46"/>
      <c r="M345" s="56" t="s">
        <v>86</v>
      </c>
      <c r="N345" s="54" t="s">
        <v>740</v>
      </c>
      <c r="O345" s="68">
        <v>0</v>
      </c>
      <c r="P345" s="50" t="e">
        <v>#REF!</v>
      </c>
      <c r="Q345" s="65"/>
      <c r="R345" s="51" t="s">
        <v>295</v>
      </c>
      <c r="S345" s="51" t="s">
        <v>1446</v>
      </c>
      <c r="T345" s="12"/>
      <c r="U345" s="12"/>
      <c r="V345" s="12"/>
      <c r="W345" s="12"/>
      <c r="X345" s="14" t="e">
        <f t="array" ref="X345">IF(OR(AND(#REF!=""),AND(#REF!="-"),OR(NOT(ISERROR(SEARCH("-*",H345:L345))))),0,1)</f>
        <v>#REF!</v>
      </c>
      <c r="Y345" s="12"/>
      <c r="Z345" s="14">
        <f t="array" ref="Z345">IF(AND(E345:G345="-"),0,IF(OR(NOT(ISERROR(SEARCH("+*",H345:L345)))),2,IF(OR(NOT(ISERROR(SEARCH("--*",E345:L345)))),-1,IF(OR(NOT(E345:G345="")),1,0))))</f>
        <v>2</v>
      </c>
      <c r="AA345" s="14">
        <v>586</v>
      </c>
      <c r="AB345" s="12"/>
    </row>
    <row r="346" spans="1:28" ht="242.25">
      <c r="A346" s="41">
        <v>527</v>
      </c>
      <c r="B346" s="66" t="s">
        <v>1447</v>
      </c>
      <c r="C346" s="66" t="s">
        <v>1448</v>
      </c>
      <c r="D346" s="42" t="s">
        <v>1449</v>
      </c>
      <c r="E346" s="43" t="s">
        <v>42</v>
      </c>
      <c r="F346" s="44" t="s">
        <v>42</v>
      </c>
      <c r="G346" s="53" t="s">
        <v>42</v>
      </c>
      <c r="H346" s="46"/>
      <c r="I346" s="47"/>
      <c r="J346" s="48"/>
      <c r="K346" s="49"/>
      <c r="L346" s="46"/>
      <c r="M346" s="56" t="s">
        <v>43</v>
      </c>
      <c r="N346" s="76" t="s">
        <v>1450</v>
      </c>
      <c r="O346" s="56">
        <v>0</v>
      </c>
      <c r="P346" s="50" t="e">
        <v>#REF!</v>
      </c>
      <c r="Q346" s="62" t="s">
        <v>44</v>
      </c>
      <c r="R346" s="51" t="s">
        <v>51</v>
      </c>
      <c r="S346" s="51" t="s">
        <v>1451</v>
      </c>
      <c r="T346" s="12"/>
      <c r="U346" s="12"/>
      <c r="V346" s="12"/>
      <c r="W346" s="12"/>
      <c r="X346" s="14" t="e">
        <f t="array" ref="X346">IF(OR(AND(#REF!=""),AND(#REF!="-"),OR(NOT(ISERROR(SEARCH("-*",H346:L346))))),0,1)</f>
        <v>#REF!</v>
      </c>
      <c r="Y346" s="12"/>
      <c r="Z346" s="14">
        <f t="array" ref="Z346">IF(AND(E346:G346="-"),0,IF(OR(NOT(ISERROR(SEARCH("+*",H346:L346)))),2,IF(OR(NOT(ISERROR(SEARCH("--*",E346:L346)))),-1,IF(OR(NOT(E346:G346="")),1,0))))</f>
        <v>1</v>
      </c>
      <c r="AA346" s="14">
        <v>587</v>
      </c>
      <c r="AB346" s="12"/>
    </row>
    <row r="347" spans="1:28" ht="204">
      <c r="A347" s="41">
        <v>528</v>
      </c>
      <c r="B347" s="66" t="s">
        <v>1452</v>
      </c>
      <c r="C347" s="66" t="s">
        <v>1453</v>
      </c>
      <c r="D347" s="66" t="s">
        <v>1454</v>
      </c>
      <c r="E347" s="43" t="s">
        <v>42</v>
      </c>
      <c r="F347" s="44" t="s">
        <v>42</v>
      </c>
      <c r="G347" s="53" t="s">
        <v>42</v>
      </c>
      <c r="H347" s="46"/>
      <c r="I347" s="47"/>
      <c r="J347" s="48"/>
      <c r="K347" s="49"/>
      <c r="L347" s="46"/>
      <c r="M347" s="56" t="s">
        <v>43</v>
      </c>
      <c r="N347" s="54"/>
      <c r="O347" s="56">
        <v>1</v>
      </c>
      <c r="P347" s="50" t="e">
        <v>#REF!</v>
      </c>
      <c r="Q347" s="62" t="s">
        <v>86</v>
      </c>
      <c r="R347" s="51" t="s">
        <v>43</v>
      </c>
      <c r="S347" s="51" t="s">
        <v>1455</v>
      </c>
      <c r="T347" s="12"/>
      <c r="U347" s="12"/>
      <c r="V347" s="12"/>
      <c r="W347" s="12"/>
      <c r="X347" s="14" t="e">
        <f t="array" ref="X347">IF(OR(AND(#REF!=""),AND(#REF!="-"),OR(NOT(ISERROR(SEARCH("-*",H347:L347))))),0,1)</f>
        <v>#REF!</v>
      </c>
      <c r="Y347" s="12"/>
      <c r="Z347" s="14">
        <f t="array" ref="Z347">IF(AND(E347:G347="-"),0,IF(OR(NOT(ISERROR(SEARCH("+*",H347:L347)))),2,IF(OR(NOT(ISERROR(SEARCH("--*",E347:L347)))),-1,IF(OR(NOT(E347:G347="")),1,0))))</f>
        <v>1</v>
      </c>
      <c r="AA347" s="14">
        <v>588</v>
      </c>
      <c r="AB347" s="12"/>
    </row>
    <row r="348" spans="1:28" ht="127.5">
      <c r="A348" s="41">
        <v>529</v>
      </c>
      <c r="B348" s="66" t="s">
        <v>1456</v>
      </c>
      <c r="C348" s="66" t="s">
        <v>1457</v>
      </c>
      <c r="D348" s="42" t="s">
        <v>1458</v>
      </c>
      <c r="E348" s="43" t="s">
        <v>42</v>
      </c>
      <c r="F348" s="44" t="s">
        <v>42</v>
      </c>
      <c r="G348" s="53" t="s">
        <v>42</v>
      </c>
      <c r="H348" s="46"/>
      <c r="I348" s="47"/>
      <c r="J348" s="48"/>
      <c r="K348" s="49"/>
      <c r="L348" s="46"/>
      <c r="M348" s="56" t="s">
        <v>43</v>
      </c>
      <c r="N348" s="54"/>
      <c r="O348" s="56">
        <v>1</v>
      </c>
      <c r="P348" s="50" t="e">
        <v>#REF!</v>
      </c>
      <c r="Q348" s="62"/>
      <c r="R348" s="51"/>
      <c r="S348" s="51"/>
      <c r="T348" s="12"/>
      <c r="U348" s="12"/>
      <c r="V348" s="12"/>
      <c r="W348" s="12"/>
      <c r="X348" s="14" t="e">
        <f t="array" ref="X348">IF(OR(AND(#REF!=""),AND(#REF!="-"),OR(NOT(ISERROR(SEARCH("-*",H348:L348))))),0,1)</f>
        <v>#REF!</v>
      </c>
      <c r="Y348" s="12"/>
      <c r="Z348" s="14">
        <f t="array" ref="Z348">IF(AND(E348:G348="-"),0,IF(OR(NOT(ISERROR(SEARCH("+*",H348:L348)))),2,IF(OR(NOT(ISERROR(SEARCH("--*",E348:L348)))),-1,IF(OR(NOT(E348:G348="")),1,0))))</f>
        <v>1</v>
      </c>
      <c r="AA348" s="14">
        <v>589</v>
      </c>
      <c r="AB348" s="12"/>
    </row>
    <row r="349" spans="1:28" ht="204">
      <c r="A349" s="41">
        <v>530</v>
      </c>
      <c r="B349" s="66" t="s">
        <v>1459</v>
      </c>
      <c r="C349" s="66" t="s">
        <v>1460</v>
      </c>
      <c r="D349" s="66" t="s">
        <v>1461</v>
      </c>
      <c r="E349" s="43" t="s">
        <v>42</v>
      </c>
      <c r="F349" s="44" t="s">
        <v>42</v>
      </c>
      <c r="G349" s="53" t="s">
        <v>42</v>
      </c>
      <c r="H349" s="46"/>
      <c r="I349" s="47"/>
      <c r="J349" s="48"/>
      <c r="K349" s="49"/>
      <c r="L349" s="46"/>
      <c r="M349" s="56" t="s">
        <v>86</v>
      </c>
      <c r="N349" s="54" t="s">
        <v>1462</v>
      </c>
      <c r="O349" s="56">
        <v>0</v>
      </c>
      <c r="P349" s="50" t="e">
        <v>#REF!</v>
      </c>
      <c r="Q349" s="62"/>
      <c r="R349" s="51" t="s">
        <v>43</v>
      </c>
      <c r="S349" s="51" t="s">
        <v>1463</v>
      </c>
      <c r="T349" s="12"/>
      <c r="U349" s="12"/>
      <c r="V349" s="12"/>
      <c r="W349" s="12"/>
      <c r="X349" s="14" t="e">
        <f t="array" ref="X349">IF(OR(AND(#REF!=""),AND(#REF!="-"),OR(NOT(ISERROR(SEARCH("-*",H349:L349))))),0,1)</f>
        <v>#REF!</v>
      </c>
      <c r="Y349" s="12"/>
      <c r="Z349" s="14">
        <f t="array" ref="Z349">IF(AND(E349:G349="-"),0,IF(OR(NOT(ISERROR(SEARCH("+*",H349:L349)))),2,IF(OR(NOT(ISERROR(SEARCH("--*",E349:L349)))),-1,IF(OR(NOT(E349:G349="")),1,0))))</f>
        <v>1</v>
      </c>
      <c r="AA349" s="14">
        <v>590</v>
      </c>
      <c r="AB349" s="12"/>
    </row>
    <row r="350" spans="1:28" ht="38.25">
      <c r="A350" s="41">
        <v>531</v>
      </c>
      <c r="B350" s="66" t="s">
        <v>1464</v>
      </c>
      <c r="C350" s="66" t="s">
        <v>1465</v>
      </c>
      <c r="D350" s="66" t="s">
        <v>1466</v>
      </c>
      <c r="E350" s="43" t="s">
        <v>42</v>
      </c>
      <c r="F350" s="57" t="s">
        <v>42</v>
      </c>
      <c r="G350" s="53" t="s">
        <v>42</v>
      </c>
      <c r="H350" s="46"/>
      <c r="I350" s="47"/>
      <c r="J350" s="48"/>
      <c r="K350" s="49"/>
      <c r="L350" s="46"/>
      <c r="M350" s="56" t="s">
        <v>43</v>
      </c>
      <c r="N350" s="54" t="s">
        <v>1467</v>
      </c>
      <c r="O350" s="56">
        <v>1</v>
      </c>
      <c r="P350" s="50" t="e">
        <v>#REF!</v>
      </c>
      <c r="Q350" s="62" t="s">
        <v>86</v>
      </c>
      <c r="R350" s="51"/>
      <c r="S350" s="51"/>
      <c r="T350" s="12"/>
      <c r="U350" s="12"/>
      <c r="V350" s="12"/>
      <c r="W350" s="12"/>
      <c r="X350" s="14" t="e">
        <f t="array" ref="X350">IF(OR(AND(#REF!=""),AND(#REF!="-"),OR(NOT(ISERROR(SEARCH("-*",H350:L350))))),0,1)</f>
        <v>#REF!</v>
      </c>
      <c r="Y350" s="12"/>
      <c r="Z350" s="14">
        <f t="array" ref="Z350">IF(AND(E350:G350="-"),0,IF(OR(NOT(ISERROR(SEARCH("+*",H350:L350)))),2,IF(OR(NOT(ISERROR(SEARCH("--*",E350:L350)))),-1,IF(OR(NOT(E350:G350="")),1,0))))</f>
        <v>1</v>
      </c>
      <c r="AA350" s="14">
        <v>591</v>
      </c>
      <c r="AB350" s="12"/>
    </row>
    <row r="351" spans="1:28" ht="63.75">
      <c r="A351" s="41">
        <v>532</v>
      </c>
      <c r="B351" s="66" t="s">
        <v>1468</v>
      </c>
      <c r="C351" s="66" t="s">
        <v>1469</v>
      </c>
      <c r="D351" s="42" t="s">
        <v>1470</v>
      </c>
      <c r="E351" s="43" t="s">
        <v>42</v>
      </c>
      <c r="F351" s="57" t="s">
        <v>42</v>
      </c>
      <c r="G351" s="53" t="s">
        <v>42</v>
      </c>
      <c r="H351" s="46"/>
      <c r="I351" s="58" t="s">
        <v>106</v>
      </c>
      <c r="J351" s="48"/>
      <c r="K351" s="49"/>
      <c r="L351" s="46"/>
      <c r="M351" s="56" t="s">
        <v>43</v>
      </c>
      <c r="N351" s="66" t="s">
        <v>1471</v>
      </c>
      <c r="O351" s="68">
        <v>1</v>
      </c>
      <c r="P351" s="50" t="e">
        <v>#REF!</v>
      </c>
      <c r="Q351" s="62" t="s">
        <v>86</v>
      </c>
      <c r="R351" s="51"/>
      <c r="S351" s="51"/>
      <c r="T351" s="12"/>
      <c r="U351" s="12"/>
      <c r="V351" s="12"/>
      <c r="W351" s="12"/>
      <c r="X351" s="14" t="e">
        <f t="array" ref="X351">IF(OR(AND(#REF!=""),AND(#REF!="-"),OR(NOT(ISERROR(SEARCH("-*",H351:L351))))),0,1)</f>
        <v>#REF!</v>
      </c>
      <c r="Y351" s="12"/>
      <c r="Z351" s="14">
        <f t="array" ref="Z351">IF(AND(E351:G351="-"),0,IF(OR(NOT(ISERROR(SEARCH("+*",H351:L351)))),2,IF(OR(NOT(ISERROR(SEARCH("--*",E351:L351)))),-1,IF(OR(NOT(E351:G351="")),1,0))))</f>
        <v>2</v>
      </c>
      <c r="AA351" s="14">
        <v>592</v>
      </c>
      <c r="AB351" s="12"/>
    </row>
    <row r="352" spans="1:28" ht="102">
      <c r="A352" s="41">
        <v>535</v>
      </c>
      <c r="B352" s="66" t="s">
        <v>1472</v>
      </c>
      <c r="C352" s="66" t="s">
        <v>1473</v>
      </c>
      <c r="D352" s="66" t="s">
        <v>1474</v>
      </c>
      <c r="E352" s="19"/>
      <c r="F352" s="57"/>
      <c r="G352" s="53"/>
      <c r="H352" s="46"/>
      <c r="I352" s="58" t="s">
        <v>125</v>
      </c>
      <c r="J352" s="48"/>
      <c r="K352" s="59" t="s">
        <v>111</v>
      </c>
      <c r="L352" s="46"/>
      <c r="M352" s="56" t="s">
        <v>86</v>
      </c>
      <c r="N352" s="66" t="s">
        <v>243</v>
      </c>
      <c r="O352" s="68">
        <v>0</v>
      </c>
      <c r="P352" s="50" t="e">
        <v>#REF!</v>
      </c>
      <c r="Q352" s="62"/>
      <c r="R352" s="51"/>
      <c r="S352" s="51"/>
      <c r="T352" s="12"/>
      <c r="U352" s="12"/>
      <c r="V352" s="12"/>
      <c r="W352" s="12"/>
      <c r="X352" s="14" t="e">
        <f t="array" ref="X352">IF(OR(AND(#REF!=""),AND(#REF!="-"),OR(NOT(ISERROR(SEARCH("-*",H352:L352))))),0,1)</f>
        <v>#REF!</v>
      </c>
      <c r="Y352" s="12"/>
      <c r="Z352" s="14">
        <f t="array" ref="Z352">IF(AND(E352:G352="-"),0,IF(OR(NOT(ISERROR(SEARCH("+*",H352:L352)))),2,IF(OR(NOT(ISERROR(SEARCH("--*",E352:L352)))),-1,IF(OR(NOT(E352:G352="")),1,0))))</f>
        <v>2</v>
      </c>
      <c r="AA352" s="14">
        <v>596</v>
      </c>
      <c r="AB352" s="12"/>
    </row>
    <row r="353" spans="1:28" ht="127.5">
      <c r="A353" s="41">
        <v>536</v>
      </c>
      <c r="B353" s="66" t="s">
        <v>1475</v>
      </c>
      <c r="C353" s="66" t="s">
        <v>1476</v>
      </c>
      <c r="D353" s="66" t="s">
        <v>1477</v>
      </c>
      <c r="E353" s="43"/>
      <c r="F353" s="57" t="s">
        <v>74</v>
      </c>
      <c r="G353" s="53"/>
      <c r="H353" s="46"/>
      <c r="I353" s="47"/>
      <c r="J353" s="48"/>
      <c r="K353" s="49"/>
      <c r="L353" s="46"/>
      <c r="M353" s="56" t="s">
        <v>86</v>
      </c>
      <c r="N353" s="66" t="s">
        <v>1478</v>
      </c>
      <c r="O353" s="68">
        <v>0</v>
      </c>
      <c r="P353" s="50" t="e">
        <v>#REF!</v>
      </c>
      <c r="Q353" s="62"/>
      <c r="R353" s="51"/>
      <c r="S353" s="51"/>
      <c r="T353" s="12"/>
      <c r="U353" s="12"/>
      <c r="V353" s="12"/>
      <c r="W353" s="12"/>
      <c r="X353" s="14" t="e">
        <f t="array" ref="X353">IF(OR(AND(#REF!=""),AND(#REF!="-"),OR(NOT(ISERROR(SEARCH("-*",H353:L353))))),0,1)</f>
        <v>#REF!</v>
      </c>
      <c r="Y353" s="12"/>
      <c r="Z353" s="14">
        <f t="array" ref="Z353">IF(AND(E353:G353="-"),0,IF(OR(NOT(ISERROR(SEARCH("+*",H353:L353)))),2,IF(OR(NOT(ISERROR(SEARCH("--*",E353:L353)))),-1,IF(OR(NOT(E353:G353="")),1,0))))</f>
        <v>1</v>
      </c>
      <c r="AA353" s="14">
        <v>597</v>
      </c>
      <c r="AB353" s="12"/>
    </row>
    <row r="354" spans="1:28" ht="51">
      <c r="A354" s="41">
        <v>538</v>
      </c>
      <c r="B354" s="66" t="s">
        <v>1479</v>
      </c>
      <c r="C354" s="66" t="s">
        <v>1480</v>
      </c>
      <c r="D354" s="66" t="s">
        <v>1481</v>
      </c>
      <c r="E354" s="43" t="s">
        <v>42</v>
      </c>
      <c r="F354" s="57" t="s">
        <v>42</v>
      </c>
      <c r="G354" s="53" t="s">
        <v>42</v>
      </c>
      <c r="H354" s="46"/>
      <c r="I354" s="47"/>
      <c r="J354" s="48"/>
      <c r="K354" s="49"/>
      <c r="L354" s="46"/>
      <c r="M354" s="56" t="s">
        <v>43</v>
      </c>
      <c r="N354" s="66" t="s">
        <v>1482</v>
      </c>
      <c r="O354" s="68">
        <v>1</v>
      </c>
      <c r="P354" s="50" t="e">
        <v>#REF!</v>
      </c>
      <c r="Q354" s="62"/>
      <c r="R354" s="51"/>
      <c r="S354" s="51"/>
      <c r="T354" s="12"/>
      <c r="U354" s="12"/>
      <c r="V354" s="12"/>
      <c r="W354" s="12"/>
      <c r="X354" s="14" t="e">
        <f t="array" ref="X354">IF(OR(AND(#REF!=""),AND(#REF!="-"),OR(NOT(ISERROR(SEARCH("-*",H354:L354))))),0,1)</f>
        <v>#REF!</v>
      </c>
      <c r="Y354" s="12"/>
      <c r="Z354" s="14">
        <f t="array" ref="Z354">IF(AND(E354:G354="-"),0,IF(OR(NOT(ISERROR(SEARCH("+*",H354:L354)))),2,IF(OR(NOT(ISERROR(SEARCH("--*",E354:L354)))),-1,IF(OR(NOT(E354:G354="")),1,0))))</f>
        <v>1</v>
      </c>
      <c r="AA354" s="14">
        <v>599</v>
      </c>
      <c r="AB354" s="12"/>
    </row>
    <row r="355" spans="1:28" ht="38.25">
      <c r="A355" s="41">
        <v>539</v>
      </c>
      <c r="B355" s="66" t="s">
        <v>1483</v>
      </c>
      <c r="C355" s="66" t="s">
        <v>1484</v>
      </c>
      <c r="D355" s="66" t="s">
        <v>1485</v>
      </c>
      <c r="E355" s="43" t="s">
        <v>42</v>
      </c>
      <c r="F355" s="57" t="s">
        <v>42</v>
      </c>
      <c r="G355" s="53"/>
      <c r="H355" s="46"/>
      <c r="I355" s="47"/>
      <c r="J355" s="48"/>
      <c r="K355" s="49"/>
      <c r="L355" s="46"/>
      <c r="M355" s="56" t="s">
        <v>84</v>
      </c>
      <c r="N355" s="66" t="s">
        <v>1486</v>
      </c>
      <c r="O355" s="68">
        <v>0</v>
      </c>
      <c r="P355" s="50" t="e">
        <v>#REF!</v>
      </c>
      <c r="Q355" s="62"/>
      <c r="R355" s="51"/>
      <c r="S355" s="51"/>
      <c r="T355" s="12"/>
      <c r="U355" s="12"/>
      <c r="V355" s="12"/>
      <c r="W355" s="12"/>
      <c r="X355" s="14" t="e">
        <f t="array" ref="X355">IF(OR(AND(#REF!=""),AND(#REF!="-"),OR(NOT(ISERROR(SEARCH("-*",H355:L355))))),0,1)</f>
        <v>#REF!</v>
      </c>
      <c r="Y355" s="12"/>
      <c r="Z355" s="14">
        <f t="array" ref="Z355">IF(AND(E355:G355="-"),0,IF(OR(NOT(ISERROR(SEARCH("+*",H355:L355)))),2,IF(OR(NOT(ISERROR(SEARCH("--*",E355:L355)))),-1,IF(OR(NOT(E355:G355="")),1,0))))</f>
        <v>1</v>
      </c>
      <c r="AA355" s="14">
        <v>600</v>
      </c>
      <c r="AB355" s="12"/>
    </row>
    <row r="356" spans="1:28" ht="293.25">
      <c r="A356" s="41">
        <v>540</v>
      </c>
      <c r="B356" s="66" t="s">
        <v>1487</v>
      </c>
      <c r="C356" s="66" t="s">
        <v>1488</v>
      </c>
      <c r="D356" s="42" t="s">
        <v>1489</v>
      </c>
      <c r="E356" s="43" t="s">
        <v>42</v>
      </c>
      <c r="F356" s="57" t="s">
        <v>42</v>
      </c>
      <c r="G356" s="53" t="s">
        <v>42</v>
      </c>
      <c r="H356" s="46"/>
      <c r="I356" s="47"/>
      <c r="J356" s="48"/>
      <c r="K356" s="49"/>
      <c r="L356" s="46"/>
      <c r="M356" s="56" t="s">
        <v>43</v>
      </c>
      <c r="N356" s="66" t="s">
        <v>1490</v>
      </c>
      <c r="O356" s="68">
        <v>2</v>
      </c>
      <c r="P356" s="50" t="e">
        <v>#REF!</v>
      </c>
      <c r="Q356" s="62"/>
      <c r="R356" s="51"/>
      <c r="S356" s="51"/>
      <c r="T356" s="12"/>
      <c r="U356" s="12"/>
      <c r="V356" s="12"/>
      <c r="W356" s="12"/>
      <c r="X356" s="14" t="e">
        <f t="array" ref="X356">IF(OR(AND(#REF!=""),AND(#REF!="-"),OR(NOT(ISERROR(SEARCH("-*",H356:L356))))),0,1)</f>
        <v>#REF!</v>
      </c>
      <c r="Y356" s="12"/>
      <c r="Z356" s="14">
        <f t="array" ref="Z356">IF(AND(E356:G356="-"),0,IF(OR(NOT(ISERROR(SEARCH("+*",H356:L356)))),2,IF(OR(NOT(ISERROR(SEARCH("--*",E356:L356)))),-1,IF(OR(NOT(E356:G356="")),1,0))))</f>
        <v>1</v>
      </c>
      <c r="AA356" s="14">
        <v>601</v>
      </c>
      <c r="AB356" s="12"/>
    </row>
    <row r="357" spans="1:28" ht="38.25">
      <c r="A357" s="41">
        <v>541</v>
      </c>
      <c r="B357" s="66" t="s">
        <v>1491</v>
      </c>
      <c r="C357" s="66" t="s">
        <v>1492</v>
      </c>
      <c r="D357" s="66" t="s">
        <v>1493</v>
      </c>
      <c r="E357" s="43" t="s">
        <v>42</v>
      </c>
      <c r="F357" s="57" t="s">
        <v>42</v>
      </c>
      <c r="G357" s="53" t="s">
        <v>42</v>
      </c>
      <c r="H357" s="46"/>
      <c r="I357" s="47"/>
      <c r="J357" s="48"/>
      <c r="K357" s="49"/>
      <c r="L357" s="46"/>
      <c r="M357" s="56" t="s">
        <v>43</v>
      </c>
      <c r="N357" s="66" t="s">
        <v>1494</v>
      </c>
      <c r="O357" s="68">
        <v>1</v>
      </c>
      <c r="P357" s="50" t="e">
        <v>#REF!</v>
      </c>
      <c r="Q357" s="62" t="s">
        <v>86</v>
      </c>
      <c r="R357" s="51"/>
      <c r="S357" s="51"/>
      <c r="T357" s="12"/>
      <c r="U357" s="12"/>
      <c r="V357" s="12"/>
      <c r="W357" s="12"/>
      <c r="X357" s="14" t="e">
        <f t="array" ref="X357">IF(OR(AND(#REF!=""),AND(#REF!="-"),OR(NOT(ISERROR(SEARCH("-*",H357:L357))))),0,1)</f>
        <v>#REF!</v>
      </c>
      <c r="Y357" s="12"/>
      <c r="Z357" s="14">
        <f t="array" ref="Z357">IF(AND(E357:G357="-"),0,IF(OR(NOT(ISERROR(SEARCH("+*",H357:L357)))),2,IF(OR(NOT(ISERROR(SEARCH("--*",E357:L357)))),-1,IF(OR(NOT(E357:G357="")),1,0))))</f>
        <v>1</v>
      </c>
      <c r="AA357" s="14">
        <v>610</v>
      </c>
      <c r="AB357" s="12"/>
    </row>
    <row r="358" spans="1:28" ht="216.75">
      <c r="A358" s="41">
        <v>542</v>
      </c>
      <c r="B358" s="66" t="s">
        <v>1495</v>
      </c>
      <c r="C358" s="66" t="s">
        <v>1496</v>
      </c>
      <c r="D358" s="42" t="s">
        <v>1497</v>
      </c>
      <c r="E358" s="43" t="s">
        <v>42</v>
      </c>
      <c r="F358" s="57" t="s">
        <v>42</v>
      </c>
      <c r="G358" s="53" t="s">
        <v>42</v>
      </c>
      <c r="H358" s="46"/>
      <c r="I358" s="47"/>
      <c r="J358" s="48"/>
      <c r="K358" s="49"/>
      <c r="L358" s="46"/>
      <c r="M358" s="56" t="s">
        <v>86</v>
      </c>
      <c r="N358" s="54" t="s">
        <v>243</v>
      </c>
      <c r="O358" s="68">
        <v>0</v>
      </c>
      <c r="P358" s="50" t="e">
        <v>#REF!</v>
      </c>
      <c r="Q358" s="62" t="s">
        <v>86</v>
      </c>
      <c r="R358" s="51" t="s">
        <v>51</v>
      </c>
      <c r="S358" s="51" t="s">
        <v>1498</v>
      </c>
      <c r="T358" s="12"/>
      <c r="U358" s="12"/>
      <c r="V358" s="12"/>
      <c r="W358" s="12"/>
      <c r="X358" s="14" t="e">
        <f t="array" ref="X358">IF(OR(AND(#REF!=""),AND(#REF!="-"),OR(NOT(ISERROR(SEARCH("-*",H358:L358))))),0,1)</f>
        <v>#REF!</v>
      </c>
      <c r="Y358" s="12"/>
      <c r="Z358" s="14">
        <f t="array" ref="Z358">IF(AND(E358:G358="-"),0,IF(OR(NOT(ISERROR(SEARCH("+*",H358:L358)))),2,IF(OR(NOT(ISERROR(SEARCH("--*",E358:L358)))),-1,IF(OR(NOT(E358:G358="")),1,0))))</f>
        <v>1</v>
      </c>
      <c r="AA358" s="14">
        <v>611</v>
      </c>
      <c r="AB358" s="12"/>
    </row>
    <row r="359" spans="1:28" ht="140.25">
      <c r="A359" s="41">
        <v>543</v>
      </c>
      <c r="B359" s="66" t="s">
        <v>1499</v>
      </c>
      <c r="C359" s="66" t="s">
        <v>1500</v>
      </c>
      <c r="D359" s="42" t="s">
        <v>1501</v>
      </c>
      <c r="E359" s="43"/>
      <c r="F359" s="57" t="s">
        <v>74</v>
      </c>
      <c r="G359" s="53"/>
      <c r="H359" s="46"/>
      <c r="I359" s="47"/>
      <c r="J359" s="48"/>
      <c r="K359" s="49"/>
      <c r="L359" s="46"/>
      <c r="M359" s="56" t="s">
        <v>84</v>
      </c>
      <c r="N359" s="66" t="s">
        <v>1502</v>
      </c>
      <c r="O359" s="68">
        <v>0</v>
      </c>
      <c r="P359" s="50" t="e">
        <v>#REF!</v>
      </c>
      <c r="Q359" s="62" t="s">
        <v>86</v>
      </c>
      <c r="R359" s="51" t="s">
        <v>43</v>
      </c>
      <c r="S359" s="51" t="s">
        <v>1503</v>
      </c>
      <c r="T359" s="12"/>
      <c r="U359" s="12"/>
      <c r="V359" s="12"/>
      <c r="W359" s="12"/>
      <c r="X359" s="14" t="e">
        <f t="array" ref="X359">IF(OR(AND(#REF!=""),AND(#REF!="-"),OR(NOT(ISERROR(SEARCH("-*",H359:L359))))),0,1)</f>
        <v>#REF!</v>
      </c>
      <c r="Y359" s="12"/>
      <c r="Z359" s="14">
        <f t="array" ref="Z359">IF(AND(E359:G359="-"),0,IF(OR(NOT(ISERROR(SEARCH("+*",H359:L359)))),2,IF(OR(NOT(ISERROR(SEARCH("--*",E359:L359)))),-1,IF(OR(NOT(E359:G359="")),1,0))))</f>
        <v>1</v>
      </c>
      <c r="AA359" s="14">
        <v>612</v>
      </c>
      <c r="AB359" s="12"/>
    </row>
    <row r="360" spans="1:28" ht="38.25">
      <c r="A360" s="41">
        <v>544</v>
      </c>
      <c r="B360" s="66" t="s">
        <v>1504</v>
      </c>
      <c r="C360" s="66" t="s">
        <v>1505</v>
      </c>
      <c r="D360" s="66" t="s">
        <v>1506</v>
      </c>
      <c r="E360" s="43" t="s">
        <v>42</v>
      </c>
      <c r="F360" s="57" t="s">
        <v>42</v>
      </c>
      <c r="G360" s="53" t="s">
        <v>42</v>
      </c>
      <c r="H360" s="46"/>
      <c r="I360" s="47"/>
      <c r="J360" s="48"/>
      <c r="K360" s="49"/>
      <c r="L360" s="46"/>
      <c r="M360" s="56" t="s">
        <v>86</v>
      </c>
      <c r="N360" s="66" t="s">
        <v>243</v>
      </c>
      <c r="O360" s="68">
        <v>0</v>
      </c>
      <c r="P360" s="50" t="e">
        <v>#REF!</v>
      </c>
      <c r="Q360" s="62" t="s">
        <v>62</v>
      </c>
      <c r="R360" s="51"/>
      <c r="S360" s="51"/>
      <c r="T360" s="12"/>
      <c r="U360" s="12"/>
      <c r="V360" s="12"/>
      <c r="W360" s="12"/>
      <c r="X360" s="14" t="e">
        <f t="array" ref="X360">IF(OR(AND(#REF!=""),AND(#REF!="-"),OR(NOT(ISERROR(SEARCH("-*",H360:L360))))),0,1)</f>
        <v>#REF!</v>
      </c>
      <c r="Y360" s="12"/>
      <c r="Z360" s="14">
        <f t="array" ref="Z360">IF(AND(E360:G360="-"),0,IF(OR(NOT(ISERROR(SEARCH("+*",H360:L360)))),2,IF(OR(NOT(ISERROR(SEARCH("--*",E360:L360)))),-1,IF(OR(NOT(E360:G360="")),1,0))))</f>
        <v>1</v>
      </c>
      <c r="AA360" s="14">
        <v>613</v>
      </c>
      <c r="AB360" s="12"/>
    </row>
    <row r="361" spans="1:28" ht="267.75">
      <c r="A361" s="41">
        <v>548</v>
      </c>
      <c r="B361" s="66" t="s">
        <v>1507</v>
      </c>
      <c r="C361" s="66" t="s">
        <v>1508</v>
      </c>
      <c r="D361" s="42" t="s">
        <v>1509</v>
      </c>
      <c r="E361" s="43"/>
      <c r="F361" s="57" t="s">
        <v>42</v>
      </c>
      <c r="G361" s="53"/>
      <c r="H361" s="46"/>
      <c r="I361" s="47"/>
      <c r="J361" s="48"/>
      <c r="K361" s="49"/>
      <c r="L361" s="46"/>
      <c r="M361" s="56" t="s">
        <v>43</v>
      </c>
      <c r="N361" s="66" t="s">
        <v>1510</v>
      </c>
      <c r="O361" s="68">
        <v>2</v>
      </c>
      <c r="P361" s="50" t="e">
        <v>#REF!</v>
      </c>
      <c r="Q361" s="62" t="s">
        <v>62</v>
      </c>
      <c r="R361" s="51"/>
      <c r="S361" s="51"/>
      <c r="T361" s="12"/>
      <c r="U361" s="12"/>
      <c r="V361" s="12"/>
      <c r="W361" s="12"/>
      <c r="X361" s="14" t="e">
        <f t="array" ref="X361">IF(OR(AND(#REF!=""),AND(#REF!="-"),OR(NOT(ISERROR(SEARCH("-*",H361:L361))))),0,1)</f>
        <v>#REF!</v>
      </c>
      <c r="Y361" s="12"/>
      <c r="Z361" s="14">
        <f t="array" ref="Z361">IF(AND(E361:G361="-"),0,IF(OR(NOT(ISERROR(SEARCH("+*",H361:L361)))),2,IF(OR(NOT(ISERROR(SEARCH("--*",E361:L361)))),-1,IF(OR(NOT(E361:G361="")),1,0))))</f>
        <v>1</v>
      </c>
      <c r="AA361" s="14">
        <v>617</v>
      </c>
      <c r="AB361" s="12"/>
    </row>
    <row r="362" spans="1:28" ht="38.25">
      <c r="A362" s="41">
        <v>549</v>
      </c>
      <c r="B362" s="66" t="s">
        <v>1511</v>
      </c>
      <c r="C362" s="66" t="s">
        <v>1512</v>
      </c>
      <c r="D362" s="66" t="s">
        <v>1513</v>
      </c>
      <c r="E362" s="43"/>
      <c r="F362" s="57" t="s">
        <v>74</v>
      </c>
      <c r="G362" s="53"/>
      <c r="H362" s="46"/>
      <c r="I362" s="47"/>
      <c r="J362" s="48"/>
      <c r="K362" s="49"/>
      <c r="L362" s="46"/>
      <c r="M362" s="56" t="s">
        <v>43</v>
      </c>
      <c r="N362" s="66" t="s">
        <v>1514</v>
      </c>
      <c r="O362" s="68">
        <v>2</v>
      </c>
      <c r="P362" s="50" t="e">
        <v>#REF!</v>
      </c>
      <c r="Q362" s="62"/>
      <c r="R362" s="51"/>
      <c r="S362" s="51"/>
      <c r="T362" s="12"/>
      <c r="U362" s="12"/>
      <c r="V362" s="12"/>
      <c r="W362" s="12"/>
      <c r="X362" s="14" t="e">
        <f t="array" ref="X362">IF(OR(AND(#REF!=""),AND(#REF!="-"),OR(NOT(ISERROR(SEARCH("-*",H362:L362))))),0,1)</f>
        <v>#REF!</v>
      </c>
      <c r="Y362" s="12"/>
      <c r="Z362" s="14">
        <f t="array" ref="Z362">IF(AND(E362:G362="-"),0,IF(OR(NOT(ISERROR(SEARCH("+*",H362:L362)))),2,IF(OR(NOT(ISERROR(SEARCH("--*",E362:L362)))),-1,IF(OR(NOT(E362:G362="")),1,0))))</f>
        <v>1</v>
      </c>
      <c r="AA362" s="14">
        <v>618</v>
      </c>
      <c r="AB362" s="12"/>
    </row>
    <row r="363" spans="1:28" ht="178.5">
      <c r="A363" s="41">
        <v>555</v>
      </c>
      <c r="B363" s="66" t="s">
        <v>1515</v>
      </c>
      <c r="C363" s="54" t="s">
        <v>1516</v>
      </c>
      <c r="D363" s="42" t="s">
        <v>1517</v>
      </c>
      <c r="E363" s="43" t="s">
        <v>42</v>
      </c>
      <c r="F363" s="57" t="s">
        <v>42</v>
      </c>
      <c r="G363" s="53" t="s">
        <v>42</v>
      </c>
      <c r="H363" s="46"/>
      <c r="I363" s="47"/>
      <c r="J363" s="48"/>
      <c r="K363" s="49"/>
      <c r="L363" s="46"/>
      <c r="M363" s="56" t="s">
        <v>43</v>
      </c>
      <c r="N363" s="66" t="s">
        <v>1518</v>
      </c>
      <c r="O363" s="68">
        <v>2</v>
      </c>
      <c r="P363" s="50" t="e">
        <v>#REF!</v>
      </c>
      <c r="Q363" s="62" t="s">
        <v>86</v>
      </c>
      <c r="R363" s="51" t="s">
        <v>51</v>
      </c>
      <c r="S363" s="51" t="s">
        <v>1519</v>
      </c>
      <c r="T363" s="12"/>
      <c r="U363" s="12"/>
      <c r="V363" s="12"/>
      <c r="W363" s="12"/>
      <c r="X363" s="14" t="e">
        <f t="array" ref="X363">IF(OR(AND(#REF!=""),AND(#REF!="-"),OR(NOT(ISERROR(SEARCH("-*",H363:L363))))),0,1)</f>
        <v>#REF!</v>
      </c>
      <c r="Y363" s="12"/>
      <c r="Z363" s="14">
        <f t="array" ref="Z363">IF(AND(E363:G363="-"),0,IF(OR(NOT(ISERROR(SEARCH("+*",H363:L363)))),2,IF(OR(NOT(ISERROR(SEARCH("--*",E363:L363)))),-1,IF(OR(NOT(E363:G363="")),1,0))))</f>
        <v>1</v>
      </c>
      <c r="AA363" s="14">
        <v>624</v>
      </c>
      <c r="AB363" s="12"/>
    </row>
    <row r="364" spans="1:28" ht="114.75">
      <c r="A364" s="41">
        <v>558</v>
      </c>
      <c r="B364" s="66" t="s">
        <v>1520</v>
      </c>
      <c r="C364" s="66" t="s">
        <v>1521</v>
      </c>
      <c r="D364" s="42" t="s">
        <v>1522</v>
      </c>
      <c r="E364" s="43"/>
      <c r="F364" s="57"/>
      <c r="G364" s="53"/>
      <c r="H364" s="46"/>
      <c r="I364" s="58" t="s">
        <v>111</v>
      </c>
      <c r="J364" s="48"/>
      <c r="K364" s="61"/>
      <c r="L364" s="46"/>
      <c r="M364" s="56" t="s">
        <v>43</v>
      </c>
      <c r="N364" s="66" t="s">
        <v>1523</v>
      </c>
      <c r="O364" s="68">
        <v>0</v>
      </c>
      <c r="P364" s="50" t="e">
        <v>#REF!</v>
      </c>
      <c r="Q364" s="62"/>
      <c r="R364" s="51"/>
      <c r="S364" s="51"/>
      <c r="T364" s="12"/>
      <c r="U364" s="12"/>
      <c r="V364" s="12"/>
      <c r="W364" s="12"/>
      <c r="X364" s="14" t="e">
        <f t="array" ref="X364">IF(OR(AND(#REF!=""),AND(#REF!="-"),OR(NOT(ISERROR(SEARCH("-*",H364:L364))))),0,1)</f>
        <v>#REF!</v>
      </c>
      <c r="Y364" s="12"/>
      <c r="Z364" s="14">
        <f t="array" ref="Z364">IF(AND(E364:G364="-"),0,IF(OR(NOT(ISERROR(SEARCH("+*",H364:L364)))),2,IF(OR(NOT(ISERROR(SEARCH("--*",E364:L364)))),-1,IF(OR(NOT(E364:G364="")),1,0))))</f>
        <v>2</v>
      </c>
      <c r="AA364" s="14">
        <v>627</v>
      </c>
      <c r="AB364" s="12"/>
    </row>
    <row r="365" spans="1:28" ht="204">
      <c r="A365" s="41">
        <v>564</v>
      </c>
      <c r="B365" s="66" t="s">
        <v>1524</v>
      </c>
      <c r="C365" s="66" t="s">
        <v>1525</v>
      </c>
      <c r="D365" s="66" t="s">
        <v>1526</v>
      </c>
      <c r="E365" s="43" t="s">
        <v>74</v>
      </c>
      <c r="F365" s="44" t="s">
        <v>74</v>
      </c>
      <c r="G365" s="53" t="s">
        <v>74</v>
      </c>
      <c r="H365" s="46"/>
      <c r="I365" s="47"/>
      <c r="J365" s="48"/>
      <c r="K365" s="49"/>
      <c r="L365" s="46"/>
      <c r="M365" s="56" t="s">
        <v>43</v>
      </c>
      <c r="N365" s="66" t="s">
        <v>1527</v>
      </c>
      <c r="O365" s="68">
        <v>2</v>
      </c>
      <c r="P365" s="50" t="e">
        <v>#REF!</v>
      </c>
      <c r="Q365" s="62" t="s">
        <v>44</v>
      </c>
      <c r="R365" s="51" t="s">
        <v>43</v>
      </c>
      <c r="S365" s="51" t="s">
        <v>1528</v>
      </c>
      <c r="T365" s="12"/>
      <c r="U365" s="12"/>
      <c r="V365" s="12"/>
      <c r="W365" s="12"/>
      <c r="X365" s="14" t="e">
        <f t="array" ref="X365">IF(OR(AND(#REF!=""),AND(#REF!="-"),OR(NOT(ISERROR(SEARCH("-*",H365:L365))))),0,1)</f>
        <v>#REF!</v>
      </c>
      <c r="Y365" s="12"/>
      <c r="Z365" s="14">
        <f t="array" ref="Z365">IF(AND(E365:G365="-"),0,IF(OR(NOT(ISERROR(SEARCH("+*",H365:L365)))),2,IF(OR(NOT(ISERROR(SEARCH("--*",E365:L365)))),-1,IF(OR(NOT(E365:G365="")),1,0))))</f>
        <v>1</v>
      </c>
      <c r="AA365" s="14">
        <v>633</v>
      </c>
      <c r="AB365" s="12"/>
    </row>
    <row r="366" spans="1:28" ht="51">
      <c r="A366" s="41">
        <v>570</v>
      </c>
      <c r="B366" s="66" t="s">
        <v>1529</v>
      </c>
      <c r="C366" s="66" t="s">
        <v>1530</v>
      </c>
      <c r="D366" s="42" t="s">
        <v>1531</v>
      </c>
      <c r="E366" s="43"/>
      <c r="F366" s="57"/>
      <c r="G366" s="53"/>
      <c r="H366" s="46"/>
      <c r="I366" s="58" t="s">
        <v>111</v>
      </c>
      <c r="J366" s="48"/>
      <c r="K366" s="49"/>
      <c r="L366" s="46"/>
      <c r="M366" s="56" t="s">
        <v>43</v>
      </c>
      <c r="N366" s="66" t="s">
        <v>1532</v>
      </c>
      <c r="O366" s="68">
        <v>1</v>
      </c>
      <c r="P366" s="50" t="e">
        <v>#REF!</v>
      </c>
      <c r="Q366" s="62"/>
      <c r="R366" s="51"/>
      <c r="S366" s="51"/>
      <c r="T366" s="12"/>
      <c r="U366" s="12"/>
      <c r="V366" s="12"/>
      <c r="W366" s="12"/>
      <c r="X366" s="14" t="e">
        <f t="array" ref="X366">IF(OR(AND(#REF!=""),AND(#REF!="-"),OR(NOT(ISERROR(SEARCH("-*",H366:L366))))),0,1)</f>
        <v>#REF!</v>
      </c>
      <c r="Y366" s="12"/>
      <c r="Z366" s="14">
        <f t="array" ref="Z366">IF(AND(E366:G366="-"),0,IF(OR(NOT(ISERROR(SEARCH("+*",H366:L366)))),2,IF(OR(NOT(ISERROR(SEARCH("--*",E366:L366)))),-1,IF(OR(NOT(E366:G366="")),1,0))))</f>
        <v>2</v>
      </c>
      <c r="AA366" s="14">
        <v>642</v>
      </c>
      <c r="AB366" s="12"/>
    </row>
    <row r="367" spans="1:28" ht="165.75">
      <c r="A367" s="41">
        <v>579</v>
      </c>
      <c r="B367" s="66" t="s">
        <v>1533</v>
      </c>
      <c r="C367" s="66" t="s">
        <v>1534</v>
      </c>
      <c r="D367" s="42" t="s">
        <v>1535</v>
      </c>
      <c r="E367" s="43" t="s">
        <v>74</v>
      </c>
      <c r="F367" s="57" t="s">
        <v>74</v>
      </c>
      <c r="G367" s="53" t="s">
        <v>74</v>
      </c>
      <c r="H367" s="46"/>
      <c r="I367" s="47"/>
      <c r="J367" s="48"/>
      <c r="K367" s="49"/>
      <c r="L367" s="46"/>
      <c r="M367" s="56" t="s">
        <v>43</v>
      </c>
      <c r="N367" s="66"/>
      <c r="O367" s="68">
        <v>1</v>
      </c>
      <c r="P367" s="50" t="e">
        <v>#REF!</v>
      </c>
      <c r="Q367" s="62"/>
      <c r="R367" s="51"/>
      <c r="S367" s="51"/>
      <c r="T367" s="12"/>
      <c r="U367" s="12"/>
      <c r="V367" s="12"/>
      <c r="W367" s="12"/>
      <c r="X367" s="14" t="e">
        <f t="array" ref="X367">IF(OR(AND(#REF!=""),AND(#REF!="-"),OR(NOT(ISERROR(SEARCH("-*",H367:L367))))),0,1)</f>
        <v>#REF!</v>
      </c>
      <c r="Y367" s="12"/>
      <c r="Z367" s="14">
        <f t="array" ref="Z367">IF(AND(E367:G367="-"),0,IF(OR(NOT(ISERROR(SEARCH("+*",H367:L367)))),2,IF(OR(NOT(ISERROR(SEARCH("--*",E367:L367)))),-1,IF(OR(NOT(E367:G367="")),1,0))))</f>
        <v>1</v>
      </c>
      <c r="AA367" s="14">
        <v>652</v>
      </c>
      <c r="AB367" s="12"/>
    </row>
    <row r="368" spans="1:28" ht="191.25">
      <c r="A368" s="41">
        <v>588</v>
      </c>
      <c r="B368" s="66" t="s">
        <v>1536</v>
      </c>
      <c r="C368" s="66" t="s">
        <v>1537</v>
      </c>
      <c r="D368" s="66" t="s">
        <v>1538</v>
      </c>
      <c r="E368" s="43" t="s">
        <v>74</v>
      </c>
      <c r="F368" s="57"/>
      <c r="G368" s="53"/>
      <c r="H368" s="46"/>
      <c r="I368" s="58" t="s">
        <v>548</v>
      </c>
      <c r="J368" s="48"/>
      <c r="K368" s="59" t="s">
        <v>548</v>
      </c>
      <c r="L368" s="46"/>
      <c r="M368" s="56" t="s">
        <v>43</v>
      </c>
      <c r="N368" s="66" t="s">
        <v>1539</v>
      </c>
      <c r="O368" s="68">
        <v>2</v>
      </c>
      <c r="P368" s="50" t="e">
        <v>#REF!</v>
      </c>
      <c r="Q368" s="62"/>
      <c r="R368" s="51" t="s">
        <v>43</v>
      </c>
      <c r="S368" s="51" t="s">
        <v>1540</v>
      </c>
      <c r="T368" s="12"/>
      <c r="U368" s="12"/>
      <c r="V368" s="12"/>
      <c r="W368" s="12"/>
      <c r="X368" s="14" t="e">
        <f t="array" ref="X368">IF(OR(AND(#REF!=""),AND(#REF!="-"),OR(NOT(ISERROR(SEARCH("-*",H368:L368))))),0,1)</f>
        <v>#REF!</v>
      </c>
      <c r="Y368" s="12"/>
      <c r="Z368" s="14">
        <f t="array" ref="Z368">IF(AND(E368:G368="-"),0,IF(OR(NOT(ISERROR(SEARCH("+*",H368:L368)))),2,IF(OR(NOT(ISERROR(SEARCH("--*",E368:L368)))),-1,IF(OR(NOT(E368:G368="")),1,0))))</f>
        <v>2</v>
      </c>
      <c r="AA368" s="14">
        <v>661</v>
      </c>
      <c r="AB368" s="12"/>
    </row>
    <row r="369" spans="1:28" ht="76.5">
      <c r="A369" s="41">
        <v>603</v>
      </c>
      <c r="B369" s="66" t="s">
        <v>1541</v>
      </c>
      <c r="C369" s="66" t="s">
        <v>1542</v>
      </c>
      <c r="D369" s="42" t="s">
        <v>1543</v>
      </c>
      <c r="E369" s="43"/>
      <c r="F369" s="57" t="s">
        <v>74</v>
      </c>
      <c r="G369" s="53"/>
      <c r="H369" s="46"/>
      <c r="I369" s="47"/>
      <c r="J369" s="48"/>
      <c r="K369" s="49"/>
      <c r="L369" s="46"/>
      <c r="M369" s="56" t="s">
        <v>43</v>
      </c>
      <c r="N369" s="66" t="s">
        <v>1544</v>
      </c>
      <c r="O369" s="68">
        <v>1</v>
      </c>
      <c r="P369" s="50" t="e">
        <v>#REF!</v>
      </c>
      <c r="Q369" s="62"/>
      <c r="R369" s="51"/>
      <c r="S369" s="51"/>
      <c r="T369" s="12"/>
      <c r="U369" s="12"/>
      <c r="V369" s="12"/>
      <c r="W369" s="12"/>
      <c r="X369" s="14" t="e">
        <f t="array" ref="X369">IF(OR(AND(#REF!=""),AND(#REF!="-"),OR(NOT(ISERROR(SEARCH("-*",H369:L369))))),0,1)</f>
        <v>#REF!</v>
      </c>
      <c r="Y369" s="12"/>
      <c r="Z369" s="14">
        <f t="array" ref="Z369">IF(AND(E369:G369="-"),0,IF(OR(NOT(ISERROR(SEARCH("+*",H369:L369)))),2,IF(OR(NOT(ISERROR(SEARCH("--*",E369:L369)))),-1,IF(OR(NOT(E369:G369="")),1,0))))</f>
        <v>1</v>
      </c>
      <c r="AA369" s="14">
        <v>676</v>
      </c>
      <c r="AB369" s="12"/>
    </row>
    <row r="370" spans="1:28" ht="76.5">
      <c r="A370" s="41">
        <v>611</v>
      </c>
      <c r="B370" s="66" t="s">
        <v>1545</v>
      </c>
      <c r="C370" s="66" t="s">
        <v>1546</v>
      </c>
      <c r="D370" s="66" t="s">
        <v>1547</v>
      </c>
      <c r="E370" s="43" t="s">
        <v>1365</v>
      </c>
      <c r="F370" s="57" t="s">
        <v>1365</v>
      </c>
      <c r="G370" s="53" t="s">
        <v>1365</v>
      </c>
      <c r="H370" s="46"/>
      <c r="I370" s="47"/>
      <c r="J370" s="48"/>
      <c r="K370" s="49"/>
      <c r="L370" s="46"/>
      <c r="M370" s="56" t="s">
        <v>43</v>
      </c>
      <c r="N370" s="66" t="s">
        <v>1548</v>
      </c>
      <c r="O370" s="68">
        <v>2</v>
      </c>
      <c r="P370" s="50" t="e">
        <v>#REF!</v>
      </c>
      <c r="Q370" s="80" t="s">
        <v>86</v>
      </c>
      <c r="R370" s="51"/>
      <c r="S370" s="51"/>
      <c r="T370" s="12"/>
      <c r="U370" s="12"/>
      <c r="V370" s="12"/>
      <c r="W370" s="12"/>
      <c r="X370" s="14" t="e">
        <f t="array" ref="X370">IF(OR(AND(#REF!=""),AND(#REF!="-"),OR(NOT(ISERROR(SEARCH("-*",H370:L370))))),0,1)</f>
        <v>#REF!</v>
      </c>
      <c r="Y370" s="12"/>
      <c r="Z370" s="14">
        <f t="array" ref="Z370">IF(AND(E370:G370="-"),0,IF(OR(NOT(ISERROR(SEARCH("+*",H370:L370)))),2,IF(OR(NOT(ISERROR(SEARCH("--*",E370:L370)))),-1,IF(OR(NOT(E370:G370="")),1,0))))</f>
        <v>1</v>
      </c>
      <c r="AA370" s="14">
        <v>684</v>
      </c>
      <c r="AB370" s="12"/>
    </row>
    <row r="371" spans="1:28" ht="191.25">
      <c r="A371" s="41">
        <v>613</v>
      </c>
      <c r="B371" s="66" t="s">
        <v>1549</v>
      </c>
      <c r="C371" s="66" t="s">
        <v>1550</v>
      </c>
      <c r="D371" s="42" t="s">
        <v>1551</v>
      </c>
      <c r="E371" s="43" t="s">
        <v>42</v>
      </c>
      <c r="F371" s="44" t="s">
        <v>42</v>
      </c>
      <c r="G371" s="45" t="s">
        <v>42</v>
      </c>
      <c r="H371" s="46"/>
      <c r="I371" s="47"/>
      <c r="J371" s="48"/>
      <c r="K371" s="49"/>
      <c r="L371" s="46"/>
      <c r="M371" s="56" t="s">
        <v>43</v>
      </c>
      <c r="N371" s="54" t="s">
        <v>1552</v>
      </c>
      <c r="O371" s="56">
        <v>0</v>
      </c>
      <c r="P371" s="50" t="e">
        <v>#REF!</v>
      </c>
      <c r="Q371" s="62" t="s">
        <v>44</v>
      </c>
      <c r="R371" s="51" t="s">
        <v>43</v>
      </c>
      <c r="S371" s="51" t="s">
        <v>1553</v>
      </c>
      <c r="T371" s="12"/>
      <c r="U371" s="12"/>
      <c r="V371" s="12"/>
      <c r="W371" s="12"/>
      <c r="X371" s="14" t="e">
        <f t="array" ref="X371">IF(OR(AND(#REF!=""),AND(#REF!="-"),OR(NOT(ISERROR(SEARCH("-*",H371:L371))))),0,1)</f>
        <v>#REF!</v>
      </c>
      <c r="Y371" s="12"/>
      <c r="Z371" s="14">
        <f t="array" ref="Z371">IF(AND(E371:G371="-"),0,IF(OR(NOT(ISERROR(SEARCH("+*",H371:L371)))),2,IF(OR(NOT(ISERROR(SEARCH("--*",E371:L371)))),-1,IF(OR(NOT(E371:G371="")),1,0))))</f>
        <v>1</v>
      </c>
      <c r="AA371" s="14">
        <v>686</v>
      </c>
      <c r="AB371" s="12"/>
    </row>
    <row r="372" spans="1:28" ht="25.5">
      <c r="A372" s="41">
        <v>614</v>
      </c>
      <c r="B372" s="66" t="s">
        <v>1554</v>
      </c>
      <c r="C372" s="66" t="s">
        <v>1555</v>
      </c>
      <c r="D372" s="66" t="s">
        <v>1556</v>
      </c>
      <c r="E372" s="43" t="s">
        <v>42</v>
      </c>
      <c r="F372" s="44" t="s">
        <v>42</v>
      </c>
      <c r="G372" s="53"/>
      <c r="H372" s="46"/>
      <c r="I372" s="58" t="s">
        <v>111</v>
      </c>
      <c r="J372" s="48"/>
      <c r="K372" s="59" t="s">
        <v>111</v>
      </c>
      <c r="L372" s="46"/>
      <c r="M372" s="56" t="s">
        <v>43</v>
      </c>
      <c r="N372" s="54" t="s">
        <v>1557</v>
      </c>
      <c r="O372" s="56">
        <v>3</v>
      </c>
      <c r="P372" s="50" t="e">
        <v>#REF!</v>
      </c>
      <c r="Q372" s="62"/>
      <c r="R372" s="51"/>
      <c r="S372" s="51"/>
      <c r="T372" s="12"/>
      <c r="U372" s="12"/>
      <c r="V372" s="12"/>
      <c r="W372" s="12"/>
      <c r="X372" s="14" t="e">
        <f t="array" ref="X372">IF(OR(AND(#REF!=""),AND(#REF!="-"),OR(NOT(ISERROR(SEARCH("-*",H372:L372))))),0,1)</f>
        <v>#REF!</v>
      </c>
      <c r="Y372" s="12"/>
      <c r="Z372" s="14">
        <f t="array" ref="Z372">IF(AND(E372:G372="-"),0,IF(OR(NOT(ISERROR(SEARCH("+*",H372:L372)))),2,IF(OR(NOT(ISERROR(SEARCH("--*",E372:L372)))),-1,IF(OR(NOT(E372:G372="")),1,0))))</f>
        <v>2</v>
      </c>
      <c r="AA372" s="14">
        <v>687</v>
      </c>
      <c r="AB372" s="12"/>
    </row>
    <row r="373" spans="1:28" ht="25.5">
      <c r="A373" s="41">
        <v>615</v>
      </c>
      <c r="B373" s="66" t="s">
        <v>1558</v>
      </c>
      <c r="C373" s="66" t="s">
        <v>1559</v>
      </c>
      <c r="D373" s="66" t="s">
        <v>1560</v>
      </c>
      <c r="E373" s="19"/>
      <c r="F373" s="57"/>
      <c r="G373" s="53"/>
      <c r="H373" s="46"/>
      <c r="I373" s="58" t="s">
        <v>111</v>
      </c>
      <c r="J373" s="48"/>
      <c r="K373" s="61"/>
      <c r="L373" s="46"/>
      <c r="M373" s="56" t="s">
        <v>43</v>
      </c>
      <c r="N373" s="54" t="s">
        <v>1561</v>
      </c>
      <c r="O373" s="56">
        <v>2</v>
      </c>
      <c r="P373" s="50" t="e">
        <v>#REF!</v>
      </c>
      <c r="Q373" s="62"/>
      <c r="R373" s="51"/>
      <c r="S373" s="51"/>
      <c r="T373" s="12"/>
      <c r="U373" s="12"/>
      <c r="V373" s="12"/>
      <c r="W373" s="12"/>
      <c r="X373" s="14" t="e">
        <f t="array" ref="X373">IF(OR(AND(#REF!=""),AND(#REF!="-"),OR(NOT(ISERROR(SEARCH("-*",H373:L373))))),0,1)</f>
        <v>#REF!</v>
      </c>
      <c r="Y373" s="12"/>
      <c r="Z373" s="14">
        <f t="array" ref="Z373">IF(AND(E373:G373="-"),0,IF(OR(NOT(ISERROR(SEARCH("+*",H373:L373)))),2,IF(OR(NOT(ISERROR(SEARCH("--*",E373:L373)))),-1,IF(OR(NOT(E373:G373="")),1,0))))</f>
        <v>2</v>
      </c>
      <c r="AA373" s="14">
        <v>688</v>
      </c>
      <c r="AB373" s="12"/>
    </row>
    <row r="374" spans="1:28" ht="25.5">
      <c r="A374" s="41">
        <v>616</v>
      </c>
      <c r="B374" s="66" t="s">
        <v>1562</v>
      </c>
      <c r="C374" s="66" t="s">
        <v>1563</v>
      </c>
      <c r="D374" s="66" t="s">
        <v>1564</v>
      </c>
      <c r="E374" s="43"/>
      <c r="F374" s="57"/>
      <c r="G374" s="53"/>
      <c r="H374" s="46"/>
      <c r="I374" s="58" t="s">
        <v>111</v>
      </c>
      <c r="J374" s="48"/>
      <c r="K374" s="59" t="s">
        <v>111</v>
      </c>
      <c r="L374" s="46"/>
      <c r="M374" s="56" t="s">
        <v>43</v>
      </c>
      <c r="N374" s="54" t="s">
        <v>1565</v>
      </c>
      <c r="O374" s="56">
        <v>2</v>
      </c>
      <c r="P374" s="50" t="e">
        <v>#REF!</v>
      </c>
      <c r="Q374" s="62" t="s">
        <v>86</v>
      </c>
      <c r="R374" s="51"/>
      <c r="S374" s="51"/>
      <c r="T374" s="12"/>
      <c r="U374" s="12"/>
      <c r="V374" s="12"/>
      <c r="W374" s="12"/>
      <c r="X374" s="14" t="e">
        <f t="array" ref="X374">IF(OR(AND(#REF!=""),AND(#REF!="-"),OR(NOT(ISERROR(SEARCH("-*",H374:L374))))),0,1)</f>
        <v>#REF!</v>
      </c>
      <c r="Y374" s="12"/>
      <c r="Z374" s="14">
        <f t="array" ref="Z374">IF(AND(E374:G374="-"),0,IF(OR(NOT(ISERROR(SEARCH("+*",H374:L374)))),2,IF(OR(NOT(ISERROR(SEARCH("--*",E374:L374)))),-1,IF(OR(NOT(E374:G374="")),1,0))))</f>
        <v>2</v>
      </c>
      <c r="AA374" s="14">
        <v>689</v>
      </c>
      <c r="AB374" s="12"/>
    </row>
    <row r="375" spans="1:28" ht="127.5">
      <c r="A375" s="41">
        <v>622</v>
      </c>
      <c r="B375" s="66" t="s">
        <v>1566</v>
      </c>
      <c r="C375" s="66" t="s">
        <v>1567</v>
      </c>
      <c r="D375" s="66" t="s">
        <v>1568</v>
      </c>
      <c r="E375" s="43" t="s">
        <v>42</v>
      </c>
      <c r="F375" s="57"/>
      <c r="G375" s="53"/>
      <c r="H375" s="46"/>
      <c r="I375" s="58" t="s">
        <v>111</v>
      </c>
      <c r="J375" s="48"/>
      <c r="K375" s="49"/>
      <c r="L375" s="46"/>
      <c r="M375" s="56" t="s">
        <v>86</v>
      </c>
      <c r="N375" s="54" t="s">
        <v>1569</v>
      </c>
      <c r="O375" s="56">
        <v>0</v>
      </c>
      <c r="P375" s="50" t="e">
        <v>#REF!</v>
      </c>
      <c r="Q375" s="62" t="s">
        <v>86</v>
      </c>
      <c r="R375" s="51"/>
      <c r="S375" s="51"/>
      <c r="T375" s="12"/>
      <c r="U375" s="12"/>
      <c r="V375" s="12"/>
      <c r="W375" s="12"/>
      <c r="X375" s="14" t="e">
        <f t="array" ref="X375">IF(OR(AND(#REF!=""),AND(#REF!="-"),OR(NOT(ISERROR(SEARCH("-*",H375:L375))))),0,1)</f>
        <v>#REF!</v>
      </c>
      <c r="Y375" s="12"/>
      <c r="Z375" s="14">
        <f t="array" ref="Z375">IF(AND(E375:G375="-"),0,IF(OR(NOT(ISERROR(SEARCH("+*",H375:L375)))),2,IF(OR(NOT(ISERROR(SEARCH("--*",E375:L375)))),-1,IF(OR(NOT(E375:G375="")),1,0))))</f>
        <v>2</v>
      </c>
      <c r="AA375" s="14">
        <v>695</v>
      </c>
      <c r="AB375" s="12"/>
    </row>
    <row r="376" spans="1:28" ht="89.25">
      <c r="A376" s="41">
        <v>624</v>
      </c>
      <c r="B376" s="66" t="s">
        <v>1570</v>
      </c>
      <c r="C376" s="66" t="s">
        <v>1571</v>
      </c>
      <c r="D376" s="42" t="s">
        <v>1572</v>
      </c>
      <c r="E376" s="43"/>
      <c r="F376" s="57"/>
      <c r="G376" s="53" t="s">
        <v>42</v>
      </c>
      <c r="H376" s="46"/>
      <c r="I376" s="47"/>
      <c r="J376" s="48"/>
      <c r="K376" s="49"/>
      <c r="L376" s="46"/>
      <c r="M376" s="56" t="s">
        <v>56</v>
      </c>
      <c r="N376" s="54" t="s">
        <v>1573</v>
      </c>
      <c r="O376" s="56">
        <v>1</v>
      </c>
      <c r="P376" s="50" t="e">
        <v>#REF!</v>
      </c>
      <c r="Q376" s="62" t="s">
        <v>86</v>
      </c>
      <c r="R376" s="51"/>
      <c r="S376" s="51"/>
      <c r="T376" s="12"/>
      <c r="U376" s="12"/>
      <c r="V376" s="12"/>
      <c r="W376" s="12"/>
      <c r="X376" s="14" t="e">
        <f t="array" ref="X376">IF(OR(AND(#REF!=""),AND(#REF!="-"),OR(NOT(ISERROR(SEARCH("-*",H376:L376))))),0,1)</f>
        <v>#REF!</v>
      </c>
      <c r="Y376" s="12"/>
      <c r="Z376" s="14">
        <f t="array" ref="Z376">IF(AND(E376:G376="-"),0,IF(OR(NOT(ISERROR(SEARCH("+*",H376:L376)))),2,IF(OR(NOT(ISERROR(SEARCH("--*",E376:L376)))),-1,IF(OR(NOT(E376:G376="")),1,0))))</f>
        <v>1</v>
      </c>
      <c r="AA376" s="14">
        <v>698</v>
      </c>
      <c r="AB376" s="12"/>
    </row>
    <row r="377" spans="1:28" ht="51">
      <c r="A377" s="41">
        <v>625</v>
      </c>
      <c r="B377" s="66" t="s">
        <v>1574</v>
      </c>
      <c r="C377" s="66" t="s">
        <v>1575</v>
      </c>
      <c r="D377" s="42" t="s">
        <v>1576</v>
      </c>
      <c r="E377" s="43"/>
      <c r="F377" s="57"/>
      <c r="G377" s="53" t="s">
        <v>74</v>
      </c>
      <c r="H377" s="46"/>
      <c r="I377" s="47"/>
      <c r="J377" s="48"/>
      <c r="K377" s="49"/>
      <c r="L377" s="46"/>
      <c r="M377" s="56" t="s">
        <v>1577</v>
      </c>
      <c r="N377" s="54" t="s">
        <v>1578</v>
      </c>
      <c r="O377" s="56">
        <v>1</v>
      </c>
      <c r="P377" s="50" t="e">
        <v>#REF!</v>
      </c>
      <c r="Q377" s="62"/>
      <c r="R377" s="51"/>
      <c r="S377" s="51"/>
      <c r="T377" s="12"/>
      <c r="U377" s="12"/>
      <c r="V377" s="12"/>
      <c r="W377" s="12"/>
      <c r="X377" s="14" t="e">
        <f t="array" ref="X377">IF(OR(AND(#REF!=""),AND(#REF!="-"),OR(NOT(ISERROR(SEARCH("-*",H377:L377))))),0,1)</f>
        <v>#REF!</v>
      </c>
      <c r="Y377" s="12"/>
      <c r="Z377" s="14">
        <f t="array" ref="Z377">IF(AND(E377:G377="-"),0,IF(OR(NOT(ISERROR(SEARCH("+*",H377:L377)))),2,IF(OR(NOT(ISERROR(SEARCH("--*",E377:L377)))),-1,IF(OR(NOT(E377:G377="")),1,0))))</f>
        <v>1</v>
      </c>
      <c r="AA377" s="14">
        <v>699</v>
      </c>
      <c r="AB377" s="12"/>
    </row>
    <row r="378" spans="1:28" ht="38.25">
      <c r="A378" s="41">
        <v>626</v>
      </c>
      <c r="B378" s="66" t="s">
        <v>1579</v>
      </c>
      <c r="C378" s="66" t="s">
        <v>1580</v>
      </c>
      <c r="D378" s="66" t="s">
        <v>1581</v>
      </c>
      <c r="E378" s="43"/>
      <c r="F378" s="57"/>
      <c r="G378" s="53" t="s">
        <v>74</v>
      </c>
      <c r="H378" s="46"/>
      <c r="I378" s="47"/>
      <c r="J378" s="48"/>
      <c r="K378" s="49"/>
      <c r="L378" s="46"/>
      <c r="M378" s="56" t="s">
        <v>86</v>
      </c>
      <c r="N378" s="54" t="s">
        <v>1582</v>
      </c>
      <c r="O378" s="56">
        <v>0</v>
      </c>
      <c r="P378" s="50" t="e">
        <v>#REF!</v>
      </c>
      <c r="Q378" s="62"/>
      <c r="R378" s="51"/>
      <c r="S378" s="51"/>
      <c r="T378" s="12"/>
      <c r="U378" s="12"/>
      <c r="V378" s="12"/>
      <c r="W378" s="12"/>
      <c r="X378" s="14" t="e">
        <f t="array" ref="X378">IF(OR(AND(#REF!=""),AND(#REF!="-"),OR(NOT(ISERROR(SEARCH("-*",H378:L378))))),0,1)</f>
        <v>#REF!</v>
      </c>
      <c r="Y378" s="12"/>
      <c r="Z378" s="14">
        <f t="array" ref="Z378">IF(AND(E378:G378="-"),0,IF(OR(NOT(ISERROR(SEARCH("+*",H378:L378)))),2,IF(OR(NOT(ISERROR(SEARCH("--*",E378:L378)))),-1,IF(OR(NOT(E378:G378="")),1,0))))</f>
        <v>1</v>
      </c>
      <c r="AA378" s="14">
        <v>700</v>
      </c>
      <c r="AB378" s="12"/>
    </row>
    <row r="379" spans="1:28" ht="63.75">
      <c r="A379" s="41">
        <v>627</v>
      </c>
      <c r="B379" s="66" t="s">
        <v>1583</v>
      </c>
      <c r="C379" s="66" t="s">
        <v>1584</v>
      </c>
      <c r="D379" s="66" t="s">
        <v>1585</v>
      </c>
      <c r="E379" s="43"/>
      <c r="F379" s="57"/>
      <c r="G379" s="53" t="s">
        <v>74</v>
      </c>
      <c r="H379" s="46"/>
      <c r="I379" s="47"/>
      <c r="J379" s="48"/>
      <c r="K379" s="49"/>
      <c r="L379" s="46"/>
      <c r="M379" s="56" t="s">
        <v>43</v>
      </c>
      <c r="N379" s="54" t="s">
        <v>1586</v>
      </c>
      <c r="O379" s="56">
        <v>2</v>
      </c>
      <c r="P379" s="50" t="e">
        <v>#REF!</v>
      </c>
      <c r="Q379" s="62"/>
      <c r="R379" s="51"/>
      <c r="S379" s="51"/>
      <c r="T379" s="12"/>
      <c r="U379" s="12"/>
      <c r="V379" s="12"/>
      <c r="W379" s="12"/>
      <c r="X379" s="14" t="e">
        <f t="array" ref="X379">IF(OR(AND(#REF!=""),AND(#REF!="-"),OR(NOT(ISERROR(SEARCH("-*",H379:L379))))),0,1)</f>
        <v>#REF!</v>
      </c>
      <c r="Y379" s="12"/>
      <c r="Z379" s="14">
        <f t="array" ref="Z379">IF(AND(E379:G379="-"),0,IF(OR(NOT(ISERROR(SEARCH("+*",H379:L379)))),2,IF(OR(NOT(ISERROR(SEARCH("--*",E379:L379)))),-1,IF(OR(NOT(E379:G379="")),1,0))))</f>
        <v>1</v>
      </c>
      <c r="AA379" s="14">
        <v>701</v>
      </c>
      <c r="AB379" s="12"/>
    </row>
    <row r="380" spans="1:28" ht="114.75">
      <c r="A380" s="41">
        <v>629</v>
      </c>
      <c r="B380" s="66" t="s">
        <v>1587</v>
      </c>
      <c r="C380" s="66" t="s">
        <v>1588</v>
      </c>
      <c r="D380" s="42" t="s">
        <v>1589</v>
      </c>
      <c r="E380" s="43" t="s">
        <v>42</v>
      </c>
      <c r="F380" s="44" t="s">
        <v>42</v>
      </c>
      <c r="G380" s="53"/>
      <c r="H380" s="46"/>
      <c r="I380" s="47"/>
      <c r="J380" s="48"/>
      <c r="K380" s="49"/>
      <c r="L380" s="46"/>
      <c r="M380" s="56" t="s">
        <v>43</v>
      </c>
      <c r="N380" s="54" t="s">
        <v>1590</v>
      </c>
      <c r="O380" s="56">
        <v>1</v>
      </c>
      <c r="P380" s="50" t="e">
        <v>#REF!</v>
      </c>
      <c r="Q380" s="62" t="s">
        <v>86</v>
      </c>
      <c r="R380" s="51"/>
      <c r="S380" s="51"/>
      <c r="T380" s="12"/>
      <c r="U380" s="12"/>
      <c r="V380" s="12"/>
      <c r="W380" s="12"/>
      <c r="X380" s="14" t="e">
        <f t="array" ref="X380">IF(OR(AND(#REF!=""),AND(#REF!="-"),OR(NOT(ISERROR(SEARCH("-*",H380:L380))))),0,1)</f>
        <v>#REF!</v>
      </c>
      <c r="Y380" s="12"/>
      <c r="Z380" s="14">
        <f t="array" ref="Z380">IF(AND(E380:G380="-"),0,IF(OR(NOT(ISERROR(SEARCH("+*",H380:L380)))),2,IF(OR(NOT(ISERROR(SEARCH("--*",E380:L380)))),-1,IF(OR(NOT(E380:G380="")),1,0))))</f>
        <v>1</v>
      </c>
      <c r="AA380" s="14">
        <v>703</v>
      </c>
      <c r="AB380" s="12"/>
    </row>
    <row r="381" spans="1:28" ht="25.5">
      <c r="A381" s="41">
        <v>630</v>
      </c>
      <c r="B381" s="66" t="s">
        <v>1591</v>
      </c>
      <c r="C381" s="66" t="s">
        <v>1592</v>
      </c>
      <c r="D381" s="66" t="s">
        <v>1593</v>
      </c>
      <c r="E381" s="43" t="s">
        <v>42</v>
      </c>
      <c r="F381" s="44" t="s">
        <v>42</v>
      </c>
      <c r="G381" s="53"/>
      <c r="H381" s="46"/>
      <c r="I381" s="47"/>
      <c r="J381" s="48"/>
      <c r="K381" s="49"/>
      <c r="L381" s="46"/>
      <c r="M381" s="56" t="s">
        <v>86</v>
      </c>
      <c r="N381" s="54" t="s">
        <v>243</v>
      </c>
      <c r="O381" s="56">
        <v>0</v>
      </c>
      <c r="P381" s="50" t="e">
        <v>#REF!</v>
      </c>
      <c r="Q381" s="62"/>
      <c r="R381" s="51"/>
      <c r="S381" s="51"/>
      <c r="T381" s="12"/>
      <c r="U381" s="12"/>
      <c r="V381" s="12"/>
      <c r="W381" s="12"/>
      <c r="X381" s="14" t="e">
        <f t="array" ref="X381">IF(OR(AND(#REF!=""),AND(#REF!="-"),OR(NOT(ISERROR(SEARCH("-*",H381:L381))))),0,1)</f>
        <v>#REF!</v>
      </c>
      <c r="Y381" s="12"/>
      <c r="Z381" s="14">
        <f t="array" ref="Z381">IF(AND(E381:G381="-"),0,IF(OR(NOT(ISERROR(SEARCH("+*",H381:L381)))),2,IF(OR(NOT(ISERROR(SEARCH("--*",E381:L381)))),-1,IF(OR(NOT(E381:G381="")),1,0))))</f>
        <v>1</v>
      </c>
      <c r="AA381" s="14">
        <v>706</v>
      </c>
      <c r="AB381" s="12"/>
    </row>
    <row r="382" spans="1:28" ht="127.5">
      <c r="A382" s="41">
        <v>631</v>
      </c>
      <c r="B382" s="66" t="s">
        <v>1594</v>
      </c>
      <c r="C382" s="66" t="s">
        <v>1595</v>
      </c>
      <c r="D382" s="42" t="s">
        <v>1596</v>
      </c>
      <c r="E382" s="43" t="s">
        <v>42</v>
      </c>
      <c r="F382" s="44" t="s">
        <v>42</v>
      </c>
      <c r="G382" s="53"/>
      <c r="H382" s="46"/>
      <c r="I382" s="47"/>
      <c r="J382" s="48"/>
      <c r="K382" s="49"/>
      <c r="L382" s="46"/>
      <c r="M382" s="56" t="s">
        <v>86</v>
      </c>
      <c r="N382" s="54" t="s">
        <v>243</v>
      </c>
      <c r="O382" s="56">
        <v>0</v>
      </c>
      <c r="P382" s="50" t="e">
        <v>#REF!</v>
      </c>
      <c r="Q382" s="62" t="s">
        <v>62</v>
      </c>
      <c r="R382" s="51"/>
      <c r="S382" s="51"/>
      <c r="T382" s="12"/>
      <c r="U382" s="12"/>
      <c r="V382" s="12"/>
      <c r="W382" s="12"/>
      <c r="X382" s="14" t="e">
        <f t="array" ref="X382">IF(OR(AND(#REF!=""),AND(#REF!="-"),OR(NOT(ISERROR(SEARCH("-*",H382:L382))))),0,1)</f>
        <v>#REF!</v>
      </c>
      <c r="Y382" s="12"/>
      <c r="Z382" s="14">
        <f t="array" ref="Z382">IF(AND(E382:G382="-"),0,IF(OR(NOT(ISERROR(SEARCH("+*",H382:L382)))),2,IF(OR(NOT(ISERROR(SEARCH("--*",E382:L382)))),-1,IF(OR(NOT(E382:G382="")),1,0))))</f>
        <v>1</v>
      </c>
      <c r="AA382" s="14">
        <v>707</v>
      </c>
      <c r="AB382" s="12"/>
    </row>
    <row r="383" spans="1:28" ht="38.25">
      <c r="A383" s="41">
        <v>632</v>
      </c>
      <c r="B383" s="66" t="s">
        <v>1597</v>
      </c>
      <c r="C383" s="66" t="s">
        <v>1598</v>
      </c>
      <c r="D383" s="66" t="s">
        <v>1599</v>
      </c>
      <c r="E383" s="43" t="s">
        <v>42</v>
      </c>
      <c r="F383" s="44" t="s">
        <v>42</v>
      </c>
      <c r="G383" s="53"/>
      <c r="H383" s="46"/>
      <c r="I383" s="47"/>
      <c r="J383" s="48"/>
      <c r="K383" s="49"/>
      <c r="L383" s="46"/>
      <c r="M383" s="56" t="s">
        <v>86</v>
      </c>
      <c r="N383" s="54" t="s">
        <v>243</v>
      </c>
      <c r="O383" s="56">
        <v>0</v>
      </c>
      <c r="P383" s="50" t="e">
        <v>#REF!</v>
      </c>
      <c r="Q383" s="62"/>
      <c r="R383" s="51"/>
      <c r="S383" s="51"/>
      <c r="T383" s="12"/>
      <c r="U383" s="12"/>
      <c r="V383" s="12"/>
      <c r="W383" s="12"/>
      <c r="X383" s="14" t="e">
        <f t="array" ref="X383">IF(OR(AND(#REF!=""),AND(#REF!="-"),OR(NOT(ISERROR(SEARCH("-*",H383:L383))))),0,1)</f>
        <v>#REF!</v>
      </c>
      <c r="Y383" s="12"/>
      <c r="Z383" s="14">
        <f t="array" ref="Z383">IF(AND(E383:G383="-"),0,IF(OR(NOT(ISERROR(SEARCH("+*",H383:L383)))),2,IF(OR(NOT(ISERROR(SEARCH("--*",E383:L383)))),-1,IF(OR(NOT(E383:G383="")),1,0))))</f>
        <v>1</v>
      </c>
      <c r="AA383" s="14">
        <v>708</v>
      </c>
      <c r="AB383" s="12"/>
    </row>
    <row r="384" spans="1:28" ht="76.5">
      <c r="A384" s="41">
        <v>633</v>
      </c>
      <c r="B384" s="66" t="s">
        <v>1600</v>
      </c>
      <c r="C384" s="66" t="s">
        <v>1601</v>
      </c>
      <c r="D384" s="66" t="s">
        <v>1602</v>
      </c>
      <c r="E384" s="43" t="s">
        <v>42</v>
      </c>
      <c r="F384" s="44" t="s">
        <v>42</v>
      </c>
      <c r="G384" s="53"/>
      <c r="H384" s="46"/>
      <c r="I384" s="47"/>
      <c r="J384" s="48"/>
      <c r="K384" s="49"/>
      <c r="L384" s="46"/>
      <c r="M384" s="56" t="s">
        <v>84</v>
      </c>
      <c r="N384" s="54" t="s">
        <v>1603</v>
      </c>
      <c r="O384" s="56">
        <v>0</v>
      </c>
      <c r="P384" s="50" t="e">
        <v>#REF!</v>
      </c>
      <c r="Q384" s="62"/>
      <c r="R384" s="51"/>
      <c r="S384" s="51"/>
      <c r="T384" s="12"/>
      <c r="U384" s="12"/>
      <c r="V384" s="12"/>
      <c r="W384" s="12"/>
      <c r="X384" s="14" t="e">
        <f t="array" ref="X384">IF(OR(AND(#REF!=""),AND(#REF!="-"),OR(NOT(ISERROR(SEARCH("-*",H384:L384))))),0,1)</f>
        <v>#REF!</v>
      </c>
      <c r="Y384" s="12"/>
      <c r="Z384" s="14">
        <f t="array" ref="Z384">IF(AND(E384:G384="-"),0,IF(OR(NOT(ISERROR(SEARCH("+*",H384:L384)))),2,IF(OR(NOT(ISERROR(SEARCH("--*",E384:L384)))),-1,IF(OR(NOT(E384:G384="")),1,0))))</f>
        <v>1</v>
      </c>
      <c r="AA384" s="14">
        <v>710</v>
      </c>
      <c r="AB384" s="12"/>
    </row>
    <row r="385" spans="1:28" ht="38.25">
      <c r="A385" s="41">
        <v>634</v>
      </c>
      <c r="B385" s="66" t="s">
        <v>1604</v>
      </c>
      <c r="C385" s="66" t="s">
        <v>1605</v>
      </c>
      <c r="D385" s="42" t="s">
        <v>1606</v>
      </c>
      <c r="E385" s="43" t="s">
        <v>74</v>
      </c>
      <c r="F385" s="44" t="s">
        <v>74</v>
      </c>
      <c r="G385" s="53"/>
      <c r="H385" s="46"/>
      <c r="I385" s="47"/>
      <c r="J385" s="48"/>
      <c r="K385" s="49"/>
      <c r="L385" s="46"/>
      <c r="M385" s="56" t="s">
        <v>86</v>
      </c>
      <c r="N385" s="54" t="s">
        <v>243</v>
      </c>
      <c r="O385" s="56">
        <v>0</v>
      </c>
      <c r="P385" s="50" t="e">
        <v>#REF!</v>
      </c>
      <c r="Q385" s="62"/>
      <c r="R385" s="51"/>
      <c r="S385" s="51"/>
      <c r="T385" s="12"/>
      <c r="U385" s="12"/>
      <c r="V385" s="12"/>
      <c r="W385" s="12"/>
      <c r="X385" s="14" t="e">
        <f t="array" ref="X385">IF(OR(AND(#REF!=""),AND(#REF!="-"),OR(NOT(ISERROR(SEARCH("-*",H385:L385))))),0,1)</f>
        <v>#REF!</v>
      </c>
      <c r="Y385" s="12"/>
      <c r="Z385" s="14">
        <f t="array" ref="Z385">IF(AND(E385:G385="-"),0,IF(OR(NOT(ISERROR(SEARCH("+*",H385:L385)))),2,IF(OR(NOT(ISERROR(SEARCH("--*",E385:L385)))),-1,IF(OR(NOT(E385:G385="")),1,0))))</f>
        <v>1</v>
      </c>
      <c r="AA385" s="14">
        <v>711</v>
      </c>
      <c r="AB385" s="12"/>
    </row>
    <row r="386" spans="1:28" ht="63.75">
      <c r="A386" s="41">
        <v>635</v>
      </c>
      <c r="B386" s="66" t="s">
        <v>1607</v>
      </c>
      <c r="C386" s="66" t="s">
        <v>1608</v>
      </c>
      <c r="D386" s="66" t="s">
        <v>1609</v>
      </c>
      <c r="E386" s="43"/>
      <c r="F386" s="57" t="s">
        <v>74</v>
      </c>
      <c r="G386" s="53"/>
      <c r="H386" s="46"/>
      <c r="I386" s="47"/>
      <c r="J386" s="48"/>
      <c r="K386" s="49"/>
      <c r="L386" s="46"/>
      <c r="M386" s="56" t="s">
        <v>43</v>
      </c>
      <c r="N386" s="54" t="s">
        <v>1610</v>
      </c>
      <c r="O386" s="56">
        <v>2</v>
      </c>
      <c r="P386" s="50" t="e">
        <v>#REF!</v>
      </c>
      <c r="Q386" s="62"/>
      <c r="R386" s="51"/>
      <c r="S386" s="51"/>
      <c r="T386" s="12"/>
      <c r="U386" s="12"/>
      <c r="V386" s="12"/>
      <c r="W386" s="12"/>
      <c r="X386" s="14" t="e">
        <f t="array" ref="X386">IF(OR(AND(#REF!=""),AND(#REF!="-"),OR(NOT(ISERROR(SEARCH("-*",H386:L386))))),0,1)</f>
        <v>#REF!</v>
      </c>
      <c r="Y386" s="12"/>
      <c r="Z386" s="14">
        <f t="array" ref="Z386">IF(AND(E386:G386="-"),0,IF(OR(NOT(ISERROR(SEARCH("+*",H386:L386)))),2,IF(OR(NOT(ISERROR(SEARCH("--*",E386:L386)))),-1,IF(OR(NOT(E386:G386="")),1,0))))</f>
        <v>1</v>
      </c>
      <c r="AA386" s="14">
        <v>712</v>
      </c>
      <c r="AB386" s="12"/>
    </row>
    <row r="387" spans="1:28" ht="38.25">
      <c r="A387" s="41">
        <v>636</v>
      </c>
      <c r="B387" s="66" t="s">
        <v>1611</v>
      </c>
      <c r="C387" s="66" t="s">
        <v>1612</v>
      </c>
      <c r="D387" s="66" t="s">
        <v>1613</v>
      </c>
      <c r="E387" s="43" t="s">
        <v>74</v>
      </c>
      <c r="F387" s="57"/>
      <c r="G387" s="53"/>
      <c r="H387" s="46"/>
      <c r="I387" s="47"/>
      <c r="J387" s="48"/>
      <c r="K387" s="49"/>
      <c r="L387" s="46"/>
      <c r="M387" s="56" t="s">
        <v>86</v>
      </c>
      <c r="N387" s="54" t="s">
        <v>243</v>
      </c>
      <c r="O387" s="56">
        <v>0</v>
      </c>
      <c r="P387" s="50" t="e">
        <v>#REF!</v>
      </c>
      <c r="Q387" s="62"/>
      <c r="R387" s="51"/>
      <c r="S387" s="51"/>
      <c r="T387" s="12"/>
      <c r="U387" s="12"/>
      <c r="V387" s="12"/>
      <c r="W387" s="12"/>
      <c r="X387" s="14" t="e">
        <f t="array" ref="X387">IF(OR(AND(#REF!=""),AND(#REF!="-"),OR(NOT(ISERROR(SEARCH("-*",H387:L387))))),0,1)</f>
        <v>#REF!</v>
      </c>
      <c r="Y387" s="12"/>
      <c r="Z387" s="14">
        <f t="array" ref="Z387">IF(AND(E387:G387="-"),0,IF(OR(NOT(ISERROR(SEARCH("+*",H387:L387)))),2,IF(OR(NOT(ISERROR(SEARCH("--*",E387:L387)))),-1,IF(OR(NOT(E387:G387="")),1,0))))</f>
        <v>1</v>
      </c>
      <c r="AA387" s="14">
        <v>713</v>
      </c>
      <c r="AB387" s="12"/>
    </row>
    <row r="388" spans="1:28" ht="38.25">
      <c r="A388" s="41">
        <v>637</v>
      </c>
      <c r="B388" s="66" t="s">
        <v>1614</v>
      </c>
      <c r="C388" s="66" t="s">
        <v>1615</v>
      </c>
      <c r="D388" s="42" t="s">
        <v>1616</v>
      </c>
      <c r="E388" s="43"/>
      <c r="F388" s="57" t="s">
        <v>74</v>
      </c>
      <c r="G388" s="53"/>
      <c r="H388" s="46"/>
      <c r="I388" s="47"/>
      <c r="J388" s="48"/>
      <c r="K388" s="49"/>
      <c r="L388" s="46"/>
      <c r="M388" s="56" t="s">
        <v>86</v>
      </c>
      <c r="N388" s="54" t="s">
        <v>243</v>
      </c>
      <c r="O388" s="56">
        <v>0</v>
      </c>
      <c r="P388" s="50" t="e">
        <v>#REF!</v>
      </c>
      <c r="Q388" s="62"/>
      <c r="R388" s="51"/>
      <c r="S388" s="51"/>
      <c r="T388" s="12"/>
      <c r="U388" s="12"/>
      <c r="V388" s="12"/>
      <c r="W388" s="12"/>
      <c r="X388" s="14" t="e">
        <f t="array" ref="X388">IF(OR(AND(#REF!=""),AND(#REF!="-"),OR(NOT(ISERROR(SEARCH("-*",H388:L388))))),0,1)</f>
        <v>#REF!</v>
      </c>
      <c r="Y388" s="12"/>
      <c r="Z388" s="14">
        <f t="array" ref="Z388">IF(AND(E388:G388="-"),0,IF(OR(NOT(ISERROR(SEARCH("+*",H388:L388)))),2,IF(OR(NOT(ISERROR(SEARCH("--*",E388:L388)))),-1,IF(OR(NOT(E388:G388="")),1,0))))</f>
        <v>1</v>
      </c>
      <c r="AA388" s="14">
        <v>714</v>
      </c>
      <c r="AB388" s="12"/>
    </row>
    <row r="389" spans="1:28" ht="25.5">
      <c r="A389" s="41">
        <v>638</v>
      </c>
      <c r="B389" s="66" t="s">
        <v>1617</v>
      </c>
      <c r="C389" s="66" t="s">
        <v>1618</v>
      </c>
      <c r="D389" s="42" t="s">
        <v>1619</v>
      </c>
      <c r="E389" s="43" t="s">
        <v>74</v>
      </c>
      <c r="F389" s="44" t="s">
        <v>74</v>
      </c>
      <c r="G389" s="53" t="s">
        <v>74</v>
      </c>
      <c r="H389" s="46"/>
      <c r="I389" s="47"/>
      <c r="J389" s="48"/>
      <c r="K389" s="49"/>
      <c r="L389" s="46"/>
      <c r="M389" s="56" t="s">
        <v>86</v>
      </c>
      <c r="N389" s="54" t="s">
        <v>243</v>
      </c>
      <c r="O389" s="56">
        <v>0</v>
      </c>
      <c r="P389" s="50" t="e">
        <v>#REF!</v>
      </c>
      <c r="Q389" s="62"/>
      <c r="R389" s="51"/>
      <c r="S389" s="51"/>
      <c r="T389" s="12"/>
      <c r="U389" s="12"/>
      <c r="V389" s="12"/>
      <c r="W389" s="12"/>
      <c r="X389" s="14" t="e">
        <f t="array" ref="X389">IF(OR(AND(#REF!=""),AND(#REF!="-"),OR(NOT(ISERROR(SEARCH("-*",H389:L389))))),0,1)</f>
        <v>#REF!</v>
      </c>
      <c r="Y389" s="12"/>
      <c r="Z389" s="14">
        <f t="array" ref="Z389">IF(AND(E389:G389="-"),0,IF(OR(NOT(ISERROR(SEARCH("+*",H389:L389)))),2,IF(OR(NOT(ISERROR(SEARCH("--*",E389:L389)))),-1,IF(OR(NOT(E389:G389="")),1,0))))</f>
        <v>1</v>
      </c>
      <c r="AA389" s="14">
        <v>715</v>
      </c>
      <c r="AB389" s="12"/>
    </row>
    <row r="390" spans="1:28" ht="89.25">
      <c r="A390" s="41">
        <v>639</v>
      </c>
      <c r="B390" s="66" t="s">
        <v>1620</v>
      </c>
      <c r="C390" s="66" t="s">
        <v>1621</v>
      </c>
      <c r="D390" s="42" t="s">
        <v>1622</v>
      </c>
      <c r="E390" s="43" t="s">
        <v>74</v>
      </c>
      <c r="F390" s="44" t="s">
        <v>74</v>
      </c>
      <c r="G390" s="53"/>
      <c r="H390" s="46"/>
      <c r="I390" s="47"/>
      <c r="J390" s="48"/>
      <c r="K390" s="49"/>
      <c r="L390" s="46"/>
      <c r="M390" s="56" t="s">
        <v>86</v>
      </c>
      <c r="N390" s="54" t="s">
        <v>1623</v>
      </c>
      <c r="O390" s="56">
        <v>0</v>
      </c>
      <c r="P390" s="50" t="e">
        <v>#REF!</v>
      </c>
      <c r="Q390" s="62" t="s">
        <v>62</v>
      </c>
      <c r="R390" s="51"/>
      <c r="S390" s="51"/>
      <c r="T390" s="12"/>
      <c r="U390" s="12"/>
      <c r="V390" s="12"/>
      <c r="W390" s="12"/>
      <c r="X390" s="14" t="e">
        <f t="array" ref="X390">IF(OR(AND(#REF!=""),AND(#REF!="-"),OR(NOT(ISERROR(SEARCH("-*",H390:L390))))),0,1)</f>
        <v>#REF!</v>
      </c>
      <c r="Y390" s="12"/>
      <c r="Z390" s="14">
        <f t="array" ref="Z390">IF(AND(E390:G390="-"),0,IF(OR(NOT(ISERROR(SEARCH("+*",H390:L390)))),2,IF(OR(NOT(ISERROR(SEARCH("--*",E390:L390)))),-1,IF(OR(NOT(E390:G390="")),1,0))))</f>
        <v>1</v>
      </c>
      <c r="AA390" s="14">
        <v>716</v>
      </c>
      <c r="AB390" s="12"/>
    </row>
    <row r="391" spans="1:28" ht="395.25">
      <c r="A391" s="41">
        <v>640</v>
      </c>
      <c r="B391" s="66" t="s">
        <v>1624</v>
      </c>
      <c r="C391" s="66" t="s">
        <v>1625</v>
      </c>
      <c r="D391" s="66" t="s">
        <v>1626</v>
      </c>
      <c r="E391" s="43" t="s">
        <v>74</v>
      </c>
      <c r="F391" s="44" t="s">
        <v>74</v>
      </c>
      <c r="G391" s="53"/>
      <c r="H391" s="46"/>
      <c r="I391" s="47"/>
      <c r="J391" s="48"/>
      <c r="K391" s="49"/>
      <c r="L391" s="46"/>
      <c r="M391" s="56" t="s">
        <v>86</v>
      </c>
      <c r="N391" s="54" t="s">
        <v>1085</v>
      </c>
      <c r="O391" s="56">
        <v>0</v>
      </c>
      <c r="P391" s="50" t="e">
        <v>#REF!</v>
      </c>
      <c r="Q391" s="62" t="s">
        <v>44</v>
      </c>
      <c r="R391" s="51" t="s">
        <v>43</v>
      </c>
      <c r="S391" s="51" t="s">
        <v>1627</v>
      </c>
      <c r="T391" s="12"/>
      <c r="U391" s="12"/>
      <c r="V391" s="12"/>
      <c r="W391" s="12"/>
      <c r="X391" s="14" t="e">
        <f t="array" ref="X391">IF(OR(AND(#REF!=""),AND(#REF!="-"),OR(NOT(ISERROR(SEARCH("-*",H391:L391))))),0,1)</f>
        <v>#REF!</v>
      </c>
      <c r="Y391" s="12"/>
      <c r="Z391" s="14">
        <f t="array" ref="Z391">IF(AND(E391:G391="-"),0,IF(OR(NOT(ISERROR(SEARCH("+*",H391:L391)))),2,IF(OR(NOT(ISERROR(SEARCH("--*",E391:L391)))),-1,IF(OR(NOT(E391:G391="")),1,0))))</f>
        <v>1</v>
      </c>
      <c r="AA391" s="14">
        <v>717</v>
      </c>
      <c r="AB391" s="12"/>
    </row>
    <row r="392" spans="1:28" ht="382.5">
      <c r="A392" s="41">
        <v>650</v>
      </c>
      <c r="B392" s="66" t="s">
        <v>1628</v>
      </c>
      <c r="C392" s="81" t="s">
        <v>1629</v>
      </c>
      <c r="D392" s="66" t="s">
        <v>1630</v>
      </c>
      <c r="E392" s="43" t="s">
        <v>42</v>
      </c>
      <c r="F392" s="57" t="s">
        <v>42</v>
      </c>
      <c r="G392" s="53"/>
      <c r="H392" s="46"/>
      <c r="I392" s="58" t="s">
        <v>106</v>
      </c>
      <c r="J392" s="48"/>
      <c r="K392" s="59" t="s">
        <v>106</v>
      </c>
      <c r="L392" s="46"/>
      <c r="M392" s="56" t="s">
        <v>43</v>
      </c>
      <c r="N392" s="54" t="s">
        <v>1631</v>
      </c>
      <c r="O392" s="56">
        <v>2</v>
      </c>
      <c r="P392" s="50" t="e">
        <v>#REF!</v>
      </c>
      <c r="Q392" s="62" t="s">
        <v>44</v>
      </c>
      <c r="R392" s="51" t="s">
        <v>43</v>
      </c>
      <c r="S392" s="51" t="s">
        <v>1632</v>
      </c>
      <c r="T392" s="12"/>
      <c r="U392" s="12"/>
      <c r="V392" s="12"/>
      <c r="W392" s="12"/>
      <c r="X392" s="14" t="e">
        <f t="array" ref="X392">IF(OR(AND(#REF!=""),AND(#REF!="-"),OR(NOT(ISERROR(SEARCH("-*",H392:L392))))),0,1)</f>
        <v>#REF!</v>
      </c>
      <c r="Y392" s="12"/>
      <c r="Z392" s="14">
        <f t="array" ref="Z392">IF(AND(E392:G392="-"),0,IF(OR(NOT(ISERROR(SEARCH("+*",H392:L392)))),2,IF(OR(NOT(ISERROR(SEARCH("--*",E392:L392)))),-1,IF(OR(NOT(E392:G392="")),1,0))))</f>
        <v>2</v>
      </c>
      <c r="AA392" s="14">
        <v>727</v>
      </c>
      <c r="AB392" s="12"/>
    </row>
    <row r="393" spans="1:28" ht="229.5">
      <c r="A393" s="41">
        <v>651</v>
      </c>
      <c r="B393" s="66" t="s">
        <v>1633</v>
      </c>
      <c r="C393" s="66" t="s">
        <v>1634</v>
      </c>
      <c r="D393" s="66" t="s">
        <v>1635</v>
      </c>
      <c r="E393" s="43" t="s">
        <v>42</v>
      </c>
      <c r="F393" s="57" t="s">
        <v>42</v>
      </c>
      <c r="G393" s="53"/>
      <c r="H393" s="46"/>
      <c r="I393" s="58" t="s">
        <v>111</v>
      </c>
      <c r="J393" s="48"/>
      <c r="K393" s="59" t="s">
        <v>111</v>
      </c>
      <c r="L393" s="46"/>
      <c r="M393" s="56" t="s">
        <v>86</v>
      </c>
      <c r="N393" s="54" t="s">
        <v>243</v>
      </c>
      <c r="O393" s="56">
        <v>0</v>
      </c>
      <c r="P393" s="50" t="e">
        <v>#REF!</v>
      </c>
      <c r="Q393" s="62" t="s">
        <v>44</v>
      </c>
      <c r="R393" s="51" t="s">
        <v>43</v>
      </c>
      <c r="S393" s="51" t="s">
        <v>1636</v>
      </c>
      <c r="T393" s="12"/>
      <c r="U393" s="12"/>
      <c r="V393" s="12"/>
      <c r="W393" s="12"/>
      <c r="X393" s="14" t="e">
        <f t="array" ref="X393">IF(OR(AND(#REF!=""),AND(#REF!="-"),OR(NOT(ISERROR(SEARCH("-*",H393:L393))))),0,1)</f>
        <v>#REF!</v>
      </c>
      <c r="Y393" s="12"/>
      <c r="Z393" s="14">
        <f t="array" ref="Z393">IF(AND(E393:G393="-"),0,IF(OR(NOT(ISERROR(SEARCH("+*",H393:L393)))),2,IF(OR(NOT(ISERROR(SEARCH("--*",E393:L393)))),-1,IF(OR(NOT(E393:G393="")),1,0))))</f>
        <v>2</v>
      </c>
      <c r="AA393" s="14">
        <v>728</v>
      </c>
      <c r="AB393" s="12"/>
    </row>
    <row r="394" spans="1:28" ht="38.25">
      <c r="A394" s="41">
        <v>652</v>
      </c>
      <c r="B394" s="66" t="s">
        <v>1637</v>
      </c>
      <c r="C394" s="66" t="s">
        <v>1638</v>
      </c>
      <c r="D394" s="42" t="s">
        <v>1639</v>
      </c>
      <c r="E394" s="43" t="s">
        <v>74</v>
      </c>
      <c r="F394" s="57" t="s">
        <v>74</v>
      </c>
      <c r="G394" s="53"/>
      <c r="H394" s="46"/>
      <c r="I394" s="58" t="s">
        <v>111</v>
      </c>
      <c r="J394" s="48"/>
      <c r="K394" s="49"/>
      <c r="L394" s="46"/>
      <c r="M394" s="56" t="s">
        <v>86</v>
      </c>
      <c r="N394" s="54" t="s">
        <v>1085</v>
      </c>
      <c r="O394" s="56">
        <v>0</v>
      </c>
      <c r="P394" s="50" t="e">
        <v>#REF!</v>
      </c>
      <c r="Q394" s="62"/>
      <c r="R394" s="51"/>
      <c r="S394" s="51"/>
      <c r="T394" s="12"/>
      <c r="U394" s="12"/>
      <c r="V394" s="12"/>
      <c r="W394" s="12"/>
      <c r="X394" s="14" t="e">
        <f t="array" ref="X394">IF(OR(AND(#REF!=""),AND(#REF!="-"),OR(NOT(ISERROR(SEARCH("-*",H394:L394))))),0,1)</f>
        <v>#REF!</v>
      </c>
      <c r="Y394" s="12"/>
      <c r="Z394" s="14">
        <f t="array" ref="Z394">IF(AND(E394:G394="-"),0,IF(OR(NOT(ISERROR(SEARCH("+*",H394:L394)))),2,IF(OR(NOT(ISERROR(SEARCH("--*",E394:L394)))),-1,IF(OR(NOT(E394:G394="")),1,0))))</f>
        <v>2</v>
      </c>
      <c r="AA394" s="14">
        <v>729</v>
      </c>
      <c r="AB394" s="12"/>
    </row>
    <row r="395" spans="1:28" ht="38.25">
      <c r="A395" s="41">
        <v>653</v>
      </c>
      <c r="B395" s="66" t="s">
        <v>1640</v>
      </c>
      <c r="C395" s="66" t="s">
        <v>1641</v>
      </c>
      <c r="D395" s="66" t="s">
        <v>1642</v>
      </c>
      <c r="E395" s="43"/>
      <c r="F395" s="57"/>
      <c r="G395" s="53"/>
      <c r="H395" s="46"/>
      <c r="I395" s="58" t="s">
        <v>111</v>
      </c>
      <c r="J395" s="48"/>
      <c r="K395" s="59" t="s">
        <v>111</v>
      </c>
      <c r="L395" s="46"/>
      <c r="M395" s="56" t="s">
        <v>84</v>
      </c>
      <c r="N395" s="54" t="s">
        <v>1643</v>
      </c>
      <c r="O395" s="56">
        <v>0</v>
      </c>
      <c r="P395" s="50" t="e">
        <v>#REF!</v>
      </c>
      <c r="Q395" s="62"/>
      <c r="R395" s="51"/>
      <c r="S395" s="51"/>
      <c r="T395" s="12"/>
      <c r="U395" s="12"/>
      <c r="V395" s="12"/>
      <c r="W395" s="12"/>
      <c r="X395" s="14" t="e">
        <f t="array" ref="X395">IF(OR(AND(#REF!=""),AND(#REF!="-"),OR(NOT(ISERROR(SEARCH("-*",H395:L395))))),0,1)</f>
        <v>#REF!</v>
      </c>
      <c r="Y395" s="12"/>
      <c r="Z395" s="14">
        <f t="array" ref="Z395">IF(AND(E395:G395="-"),0,IF(OR(NOT(ISERROR(SEARCH("+*",H395:L395)))),2,IF(OR(NOT(ISERROR(SEARCH("--*",E395:L395)))),-1,IF(OR(NOT(E395:G395="")),1,0))))</f>
        <v>2</v>
      </c>
      <c r="AA395" s="14">
        <v>730</v>
      </c>
      <c r="AB395" s="12"/>
    </row>
    <row r="396" spans="1:28" ht="38.25">
      <c r="A396" s="41">
        <v>654</v>
      </c>
      <c r="B396" s="66" t="s">
        <v>1644</v>
      </c>
      <c r="C396" s="66" t="s">
        <v>1645</v>
      </c>
      <c r="D396" s="42" t="s">
        <v>1646</v>
      </c>
      <c r="E396" s="43"/>
      <c r="F396" s="57"/>
      <c r="G396" s="53"/>
      <c r="H396" s="46"/>
      <c r="I396" s="58" t="s">
        <v>111</v>
      </c>
      <c r="J396" s="48"/>
      <c r="K396" s="59" t="s">
        <v>111</v>
      </c>
      <c r="L396" s="46"/>
      <c r="M396" s="56" t="s">
        <v>86</v>
      </c>
      <c r="N396" s="54" t="s">
        <v>243</v>
      </c>
      <c r="O396" s="56">
        <v>0</v>
      </c>
      <c r="P396" s="50" t="e">
        <v>#REF!</v>
      </c>
      <c r="Q396" s="62"/>
      <c r="R396" s="51"/>
      <c r="S396" s="51"/>
      <c r="T396" s="12"/>
      <c r="U396" s="12"/>
      <c r="V396" s="12"/>
      <c r="W396" s="12"/>
      <c r="X396" s="14" t="e">
        <f t="array" ref="X396">IF(OR(AND(#REF!=""),AND(#REF!="-"),OR(NOT(ISERROR(SEARCH("-*",H396:L396))))),0,1)</f>
        <v>#REF!</v>
      </c>
      <c r="Y396" s="12"/>
      <c r="Z396" s="14">
        <f t="array" ref="Z396">IF(AND(E396:G396="-"),0,IF(OR(NOT(ISERROR(SEARCH("+*",H396:L396)))),2,IF(OR(NOT(ISERROR(SEARCH("--*",E396:L396)))),-1,IF(OR(NOT(E396:G396="")),1,0))))</f>
        <v>2</v>
      </c>
      <c r="AA396" s="14">
        <v>731</v>
      </c>
      <c r="AB396" s="12"/>
    </row>
    <row r="397" spans="1:28" ht="38.25">
      <c r="A397" s="41">
        <v>655</v>
      </c>
      <c r="B397" s="66" t="s">
        <v>1647</v>
      </c>
      <c r="C397" s="66" t="s">
        <v>1648</v>
      </c>
      <c r="D397" s="66" t="s">
        <v>1649</v>
      </c>
      <c r="E397" s="43" t="s">
        <v>42</v>
      </c>
      <c r="F397" s="44" t="s">
        <v>42</v>
      </c>
      <c r="G397" s="53"/>
      <c r="H397" s="46"/>
      <c r="I397" s="58" t="s">
        <v>111</v>
      </c>
      <c r="J397" s="48"/>
      <c r="K397" s="49"/>
      <c r="L397" s="46"/>
      <c r="M397" s="56" t="s">
        <v>43</v>
      </c>
      <c r="N397" s="54" t="s">
        <v>1650</v>
      </c>
      <c r="O397" s="56">
        <v>1</v>
      </c>
      <c r="P397" s="50" t="e">
        <v>#REF!</v>
      </c>
      <c r="Q397" s="62" t="s">
        <v>62</v>
      </c>
      <c r="R397" s="51"/>
      <c r="S397" s="51"/>
      <c r="T397" s="12"/>
      <c r="U397" s="12"/>
      <c r="V397" s="12"/>
      <c r="W397" s="12"/>
      <c r="X397" s="14" t="e">
        <f t="array" ref="X397">IF(OR(AND(#REF!=""),AND(#REF!="-"),OR(NOT(ISERROR(SEARCH("-*",H397:L397))))),0,1)</f>
        <v>#REF!</v>
      </c>
      <c r="Y397" s="12"/>
      <c r="Z397" s="14">
        <f t="array" ref="Z397">IF(AND(E397:G397="-"),0,IF(OR(NOT(ISERROR(SEARCH("+*",H397:L397)))),2,IF(OR(NOT(ISERROR(SEARCH("--*",E397:L397)))),-1,IF(OR(NOT(E397:G397="")),1,0))))</f>
        <v>2</v>
      </c>
      <c r="AA397" s="14">
        <v>735</v>
      </c>
      <c r="AB397" s="12"/>
    </row>
    <row r="398" spans="1:28" ht="38.25">
      <c r="A398" s="41">
        <v>658</v>
      </c>
      <c r="B398" s="66" t="s">
        <v>1651</v>
      </c>
      <c r="C398" s="66" t="s">
        <v>1652</v>
      </c>
      <c r="D398" s="66" t="s">
        <v>1653</v>
      </c>
      <c r="E398" s="43" t="s">
        <v>42</v>
      </c>
      <c r="F398" s="44" t="s">
        <v>42</v>
      </c>
      <c r="G398" s="53"/>
      <c r="H398" s="46"/>
      <c r="I398" s="47"/>
      <c r="J398" s="48"/>
      <c r="K398" s="49"/>
      <c r="L398" s="46"/>
      <c r="M398" s="56" t="s">
        <v>86</v>
      </c>
      <c r="N398" s="54" t="s">
        <v>243</v>
      </c>
      <c r="O398" s="56">
        <v>0</v>
      </c>
      <c r="P398" s="50" t="e">
        <v>#REF!</v>
      </c>
      <c r="Q398" s="62" t="s">
        <v>44</v>
      </c>
      <c r="R398" s="51"/>
      <c r="S398" s="51"/>
      <c r="T398" s="12"/>
      <c r="U398" s="12"/>
      <c r="V398" s="12"/>
      <c r="W398" s="12"/>
      <c r="X398" s="14" t="e">
        <f t="array" ref="X398">IF(OR(AND(#REF!=""),AND(#REF!="-"),OR(NOT(ISERROR(SEARCH("-*",H398:L398))))),0,1)</f>
        <v>#REF!</v>
      </c>
      <c r="Y398" s="12"/>
      <c r="Z398" s="14">
        <f t="array" ref="Z398">IF(AND(E398:G398="-"),0,IF(OR(NOT(ISERROR(SEARCH("+*",H398:L398)))),2,IF(OR(NOT(ISERROR(SEARCH("--*",E398:L398)))),-1,IF(OR(NOT(E398:G398="")),1,0))))</f>
        <v>1</v>
      </c>
      <c r="AA398" s="14">
        <v>738</v>
      </c>
      <c r="AB398" s="12"/>
    </row>
    <row r="399" spans="1:28" ht="25.5">
      <c r="A399" s="41">
        <v>659</v>
      </c>
      <c r="B399" s="66" t="s">
        <v>1654</v>
      </c>
      <c r="C399" s="66" t="s">
        <v>1655</v>
      </c>
      <c r="D399" s="66" t="s">
        <v>1656</v>
      </c>
      <c r="E399" s="43"/>
      <c r="F399" s="57"/>
      <c r="G399" s="53" t="s">
        <v>1365</v>
      </c>
      <c r="H399" s="46"/>
      <c r="I399" s="47"/>
      <c r="J399" s="48"/>
      <c r="K399" s="49"/>
      <c r="L399" s="46"/>
      <c r="M399" s="56" t="s">
        <v>86</v>
      </c>
      <c r="N399" s="54" t="s">
        <v>243</v>
      </c>
      <c r="O399" s="56">
        <v>0</v>
      </c>
      <c r="P399" s="50" t="e">
        <v>#REF!</v>
      </c>
      <c r="Q399" s="62"/>
      <c r="R399" s="51"/>
      <c r="S399" s="51"/>
      <c r="T399" s="12"/>
      <c r="U399" s="12"/>
      <c r="V399" s="12"/>
      <c r="W399" s="12"/>
      <c r="X399" s="14" t="e">
        <f t="array" ref="X399">IF(OR(AND(#REF!=""),AND(#REF!="-"),OR(NOT(ISERROR(SEARCH("-*",H399:L399))))),0,1)</f>
        <v>#REF!</v>
      </c>
      <c r="Y399" s="12"/>
      <c r="Z399" s="14">
        <f t="array" ref="Z399">IF(AND(E399:G399="-"),0,IF(OR(NOT(ISERROR(SEARCH("+*",H399:L399)))),2,IF(OR(NOT(ISERROR(SEARCH("--*",E399:L399)))),-1,IF(OR(NOT(E399:G399="")),1,0))))</f>
        <v>1</v>
      </c>
      <c r="AA399" s="14">
        <v>739</v>
      </c>
      <c r="AB399" s="12"/>
    </row>
    <row r="400" spans="1:28" ht="25.5">
      <c r="A400" s="41">
        <v>660</v>
      </c>
      <c r="B400" s="66" t="s">
        <v>1657</v>
      </c>
      <c r="C400" s="66" t="s">
        <v>1658</v>
      </c>
      <c r="D400" s="42" t="s">
        <v>1659</v>
      </c>
      <c r="E400" s="43"/>
      <c r="F400" s="57"/>
      <c r="G400" s="53"/>
      <c r="H400" s="46"/>
      <c r="I400" s="58" t="s">
        <v>106</v>
      </c>
      <c r="J400" s="48"/>
      <c r="K400" s="59" t="s">
        <v>106</v>
      </c>
      <c r="L400" s="46"/>
      <c r="M400" s="56" t="s">
        <v>86</v>
      </c>
      <c r="N400" s="54" t="s">
        <v>243</v>
      </c>
      <c r="O400" s="56">
        <v>0</v>
      </c>
      <c r="P400" s="50" t="e">
        <v>#REF!</v>
      </c>
      <c r="Q400" s="62"/>
      <c r="R400" s="51"/>
      <c r="S400" s="51"/>
      <c r="T400" s="12"/>
      <c r="U400" s="12"/>
      <c r="V400" s="12"/>
      <c r="W400" s="12"/>
      <c r="X400" s="14" t="e">
        <f t="array" ref="X400">IF(OR(AND(#REF!=""),AND(#REF!="-"),OR(NOT(ISERROR(SEARCH("-*",H400:L400))))),0,1)</f>
        <v>#REF!</v>
      </c>
      <c r="Y400" s="12"/>
      <c r="Z400" s="14">
        <f t="array" ref="Z400">IF(AND(E400:G400="-"),0,IF(OR(NOT(ISERROR(SEARCH("+*",H400:L400)))),2,IF(OR(NOT(ISERROR(SEARCH("--*",E400:L400)))),-1,IF(OR(NOT(E400:G400="")),1,0))))</f>
        <v>2</v>
      </c>
      <c r="AA400" s="14">
        <v>740</v>
      </c>
      <c r="AB400" s="12"/>
    </row>
    <row r="401" spans="1:28" ht="25.5">
      <c r="A401" s="41">
        <v>661</v>
      </c>
      <c r="B401" s="66" t="s">
        <v>1660</v>
      </c>
      <c r="C401" s="66" t="s">
        <v>1661</v>
      </c>
      <c r="D401" s="42" t="s">
        <v>1662</v>
      </c>
      <c r="E401" s="43"/>
      <c r="F401" s="57"/>
      <c r="G401" s="53"/>
      <c r="H401" s="46"/>
      <c r="I401" s="77" t="s">
        <v>1159</v>
      </c>
      <c r="J401" s="48"/>
      <c r="K401" s="78" t="s">
        <v>1159</v>
      </c>
      <c r="L401" s="46"/>
      <c r="M401" s="56" t="s">
        <v>86</v>
      </c>
      <c r="N401" s="54" t="s">
        <v>243</v>
      </c>
      <c r="O401" s="56">
        <v>0</v>
      </c>
      <c r="P401" s="50" t="e">
        <v>#REF!</v>
      </c>
      <c r="Q401" s="62"/>
      <c r="R401" s="51"/>
      <c r="S401" s="51"/>
      <c r="T401" s="12"/>
      <c r="U401" s="12"/>
      <c r="V401" s="12"/>
      <c r="W401" s="12"/>
      <c r="X401" s="14" t="e">
        <f t="array" ref="X401">IF(OR(AND(#REF!=""),AND(#REF!="-"),OR(NOT(ISERROR(SEARCH("-*",H401:L401))))),0,1)</f>
        <v>#REF!</v>
      </c>
      <c r="Y401" s="12"/>
      <c r="Z401" s="14">
        <f t="array" ref="Z401">IF(AND(E401:G401="-"),0,IF(OR(NOT(ISERROR(SEARCH("+*",H401:L401)))),2,IF(OR(NOT(ISERROR(SEARCH("--*",E401:L401)))),-1,IF(OR(NOT(E401:G401="")),1,0))))</f>
        <v>2</v>
      </c>
      <c r="AA401" s="14">
        <v>741</v>
      </c>
      <c r="AB401" s="12"/>
    </row>
    <row r="402" spans="1:28" ht="51">
      <c r="A402" s="41">
        <v>662</v>
      </c>
      <c r="B402" s="66" t="s">
        <v>1663</v>
      </c>
      <c r="C402" s="54" t="s">
        <v>1664</v>
      </c>
      <c r="D402" s="66" t="s">
        <v>1665</v>
      </c>
      <c r="E402" s="43" t="s">
        <v>42</v>
      </c>
      <c r="F402" s="44" t="s">
        <v>42</v>
      </c>
      <c r="G402" s="53"/>
      <c r="H402" s="46"/>
      <c r="I402" s="58" t="s">
        <v>106</v>
      </c>
      <c r="J402" s="48"/>
      <c r="K402" s="59" t="s">
        <v>106</v>
      </c>
      <c r="L402" s="46"/>
      <c r="M402" s="56" t="s">
        <v>86</v>
      </c>
      <c r="N402" s="54" t="s">
        <v>243</v>
      </c>
      <c r="O402" s="56">
        <v>0</v>
      </c>
      <c r="P402" s="50" t="e">
        <v>#REF!</v>
      </c>
      <c r="Q402" s="62" t="s">
        <v>44</v>
      </c>
      <c r="R402" s="51"/>
      <c r="S402" s="51"/>
      <c r="T402" s="12"/>
      <c r="U402" s="12"/>
      <c r="V402" s="12"/>
      <c r="W402" s="12"/>
      <c r="X402" s="14" t="e">
        <f t="array" ref="X402">IF(OR(AND(#REF!=""),AND(#REF!="-"),OR(NOT(ISERROR(SEARCH("-*",H402:L402))))),0,1)</f>
        <v>#REF!</v>
      </c>
      <c r="Y402" s="12"/>
      <c r="Z402" s="14">
        <f t="array" ref="Z402">IF(AND(E402:G402="-"),0,IF(OR(NOT(ISERROR(SEARCH("+*",H402:L402)))),2,IF(OR(NOT(ISERROR(SEARCH("--*",E402:L402)))),-1,IF(OR(NOT(E402:G402="")),1,0))))</f>
        <v>2</v>
      </c>
      <c r="AA402" s="14">
        <v>744</v>
      </c>
      <c r="AB402" s="12"/>
    </row>
    <row r="403" spans="1:28" ht="280.5">
      <c r="A403" s="41">
        <v>663</v>
      </c>
      <c r="B403" s="66" t="s">
        <v>1666</v>
      </c>
      <c r="C403" s="66" t="s">
        <v>1667</v>
      </c>
      <c r="D403" s="42" t="s">
        <v>1668</v>
      </c>
      <c r="E403" s="43" t="s">
        <v>42</v>
      </c>
      <c r="F403" s="57"/>
      <c r="G403" s="53"/>
      <c r="H403" s="46"/>
      <c r="I403" s="47"/>
      <c r="J403" s="48"/>
      <c r="K403" s="49"/>
      <c r="L403" s="46"/>
      <c r="M403" s="56" t="s">
        <v>84</v>
      </c>
      <c r="N403" s="54" t="s">
        <v>1669</v>
      </c>
      <c r="O403" s="56">
        <v>0</v>
      </c>
      <c r="P403" s="50" t="e">
        <v>#REF!</v>
      </c>
      <c r="Q403" s="62" t="s">
        <v>86</v>
      </c>
      <c r="R403" s="51" t="s">
        <v>43</v>
      </c>
      <c r="S403" s="51" t="s">
        <v>1670</v>
      </c>
      <c r="T403" s="12"/>
      <c r="U403" s="12"/>
      <c r="V403" s="12"/>
      <c r="W403" s="12"/>
      <c r="X403" s="14" t="e">
        <f t="array" ref="X403">IF(OR(AND(#REF!=""),AND(#REF!="-"),OR(NOT(ISERROR(SEARCH("-*",H403:L403))))),0,1)</f>
        <v>#REF!</v>
      </c>
      <c r="Y403" s="12"/>
      <c r="Z403" s="14">
        <f t="array" ref="Z403">IF(AND(E403:G403="-"),0,IF(OR(NOT(ISERROR(SEARCH("+*",H403:L403)))),2,IF(OR(NOT(ISERROR(SEARCH("--*",E403:L403)))),-1,IF(OR(NOT(E403:G403="")),1,0))))</f>
        <v>1</v>
      </c>
      <c r="AA403" s="14">
        <v>750</v>
      </c>
      <c r="AB403" s="12"/>
    </row>
    <row r="404" spans="1:28" ht="127.5">
      <c r="A404" s="41">
        <v>664</v>
      </c>
      <c r="B404" s="66" t="s">
        <v>1671</v>
      </c>
      <c r="C404" s="66" t="s">
        <v>1672</v>
      </c>
      <c r="D404" s="66" t="s">
        <v>1673</v>
      </c>
      <c r="E404" s="19"/>
      <c r="F404" s="57"/>
      <c r="G404" s="53"/>
      <c r="H404" s="46"/>
      <c r="I404" s="58" t="s">
        <v>111</v>
      </c>
      <c r="J404" s="48"/>
      <c r="K404" s="49"/>
      <c r="L404" s="46"/>
      <c r="M404" s="56" t="s">
        <v>84</v>
      </c>
      <c r="N404" s="54" t="s">
        <v>1669</v>
      </c>
      <c r="O404" s="56">
        <v>0</v>
      </c>
      <c r="P404" s="50" t="e">
        <v>#REF!</v>
      </c>
      <c r="Q404" s="62"/>
      <c r="R404" s="51" t="s">
        <v>43</v>
      </c>
      <c r="S404" s="51" t="s">
        <v>1674</v>
      </c>
      <c r="T404" s="12"/>
      <c r="U404" s="12"/>
      <c r="V404" s="12"/>
      <c r="W404" s="12"/>
      <c r="X404" s="14" t="e">
        <f t="array" ref="X404">IF(OR(AND(#REF!=""),AND(#REF!="-"),OR(NOT(ISERROR(SEARCH("-*",H404:L404))))),0,1)</f>
        <v>#REF!</v>
      </c>
      <c r="Y404" s="12"/>
      <c r="Z404" s="14">
        <f t="array" ref="Z404">IF(AND(E404:G404="-"),0,IF(OR(NOT(ISERROR(SEARCH("+*",H404:L404)))),2,IF(OR(NOT(ISERROR(SEARCH("--*",E404:L404)))),-1,IF(OR(NOT(E404:G404="")),1,0))))</f>
        <v>2</v>
      </c>
      <c r="AA404" s="14">
        <v>751</v>
      </c>
      <c r="AB404" s="12"/>
    </row>
    <row r="405" spans="1:28" ht="242.25">
      <c r="A405" s="41">
        <v>665</v>
      </c>
      <c r="B405" s="66" t="s">
        <v>1675</v>
      </c>
      <c r="C405" s="66" t="s">
        <v>1676</v>
      </c>
      <c r="D405" s="42" t="s">
        <v>1677</v>
      </c>
      <c r="E405" s="19"/>
      <c r="F405" s="57"/>
      <c r="G405" s="53"/>
      <c r="H405" s="46"/>
      <c r="I405" s="58" t="s">
        <v>125</v>
      </c>
      <c r="J405" s="48"/>
      <c r="K405" s="59" t="s">
        <v>125</v>
      </c>
      <c r="L405" s="46"/>
      <c r="M405" s="56" t="s">
        <v>84</v>
      </c>
      <c r="N405" s="54" t="s">
        <v>1669</v>
      </c>
      <c r="O405" s="56">
        <v>0</v>
      </c>
      <c r="P405" s="50" t="e">
        <v>#REF!</v>
      </c>
      <c r="Q405" s="62"/>
      <c r="R405" s="51" t="s">
        <v>43</v>
      </c>
      <c r="S405" s="51" t="s">
        <v>1678</v>
      </c>
      <c r="T405" s="12"/>
      <c r="U405" s="12"/>
      <c r="V405" s="12"/>
      <c r="W405" s="12"/>
      <c r="X405" s="14" t="e">
        <f t="array" ref="X405">IF(OR(AND(#REF!=""),AND(#REF!="-"),OR(NOT(ISERROR(SEARCH("-*",H405:L405))))),0,1)</f>
        <v>#REF!</v>
      </c>
      <c r="Y405" s="12"/>
      <c r="Z405" s="14">
        <f t="array" ref="Z405">IF(AND(E405:G405="-"),0,IF(OR(NOT(ISERROR(SEARCH("+*",H405:L405)))),2,IF(OR(NOT(ISERROR(SEARCH("--*",E405:L405)))),-1,IF(OR(NOT(E405:G405="")),1,0))))</f>
        <v>2</v>
      </c>
      <c r="AA405" s="14">
        <v>753</v>
      </c>
      <c r="AB405" s="12"/>
    </row>
    <row r="406" spans="1:28" ht="140.25">
      <c r="A406" s="41">
        <v>666</v>
      </c>
      <c r="B406" s="66" t="s">
        <v>1679</v>
      </c>
      <c r="C406" s="66" t="s">
        <v>1680</v>
      </c>
      <c r="D406" s="66" t="s">
        <v>1681</v>
      </c>
      <c r="E406" s="43"/>
      <c r="F406" s="44"/>
      <c r="G406" s="53"/>
      <c r="H406" s="46"/>
      <c r="I406" s="58" t="s">
        <v>111</v>
      </c>
      <c r="J406" s="48"/>
      <c r="K406" s="61"/>
      <c r="L406" s="46"/>
      <c r="M406" s="56" t="s">
        <v>84</v>
      </c>
      <c r="N406" s="54" t="s">
        <v>1682</v>
      </c>
      <c r="O406" s="56">
        <v>0</v>
      </c>
      <c r="P406" s="50" t="e">
        <v>#REF!</v>
      </c>
      <c r="Q406" s="62"/>
      <c r="R406" s="51" t="s">
        <v>51</v>
      </c>
      <c r="S406" s="51" t="s">
        <v>1683</v>
      </c>
      <c r="T406" s="12"/>
      <c r="U406" s="12"/>
      <c r="V406" s="12"/>
      <c r="W406" s="12"/>
      <c r="X406" s="14" t="e">
        <f t="array" ref="X406">IF(OR(AND(#REF!=""),AND(#REF!="-"),OR(NOT(ISERROR(SEARCH("-*",H406:L406))))),0,1)</f>
        <v>#REF!</v>
      </c>
      <c r="Y406" s="12"/>
      <c r="Z406" s="14">
        <f t="array" ref="Z406">IF(AND(E406:G406="-"),0,IF(OR(NOT(ISERROR(SEARCH("+*",H406:L406)))),2,IF(OR(NOT(ISERROR(SEARCH("--*",E406:L406)))),-1,IF(OR(NOT(E406:G406="")),1,0))))</f>
        <v>2</v>
      </c>
      <c r="AA406" s="14">
        <v>754</v>
      </c>
      <c r="AB406" s="12"/>
    </row>
    <row r="407" spans="1:28" ht="63.75">
      <c r="A407" s="41">
        <v>667</v>
      </c>
      <c r="B407" s="66" t="s">
        <v>1684</v>
      </c>
      <c r="C407" s="66" t="s">
        <v>1685</v>
      </c>
      <c r="D407" s="66" t="s">
        <v>1686</v>
      </c>
      <c r="E407" s="43"/>
      <c r="F407" s="57"/>
      <c r="G407" s="53"/>
      <c r="H407" s="46"/>
      <c r="I407" s="47"/>
      <c r="J407" s="60" t="s">
        <v>74</v>
      </c>
      <c r="K407" s="61"/>
      <c r="L407" s="46"/>
      <c r="M407" s="56" t="s">
        <v>84</v>
      </c>
      <c r="N407" s="54" t="s">
        <v>1687</v>
      </c>
      <c r="O407" s="56">
        <v>0</v>
      </c>
      <c r="P407" s="50" t="e">
        <v>#REF!</v>
      </c>
      <c r="Q407" s="62"/>
      <c r="R407" s="51"/>
      <c r="S407" s="51"/>
      <c r="T407" s="12"/>
      <c r="U407" s="12"/>
      <c r="V407" s="12"/>
      <c r="W407" s="12"/>
      <c r="X407" s="14" t="e">
        <f t="array" ref="X407">IF(OR(AND(#REF!=""),AND(#REF!="-"),OR(NOT(ISERROR(SEARCH("-*",H407:L407))))),0,1)</f>
        <v>#REF!</v>
      </c>
      <c r="Y407" s="12"/>
      <c r="Z407" s="14">
        <f t="array" ref="Z407">IF(AND(E407:G407="-"),0,IF(OR(NOT(ISERROR(SEARCH("+*",H407:L407)))),2,IF(OR(NOT(ISERROR(SEARCH("--*",E407:L407)))),-1,IF(OR(NOT(E407:G407="")),1,0))))</f>
        <v>2</v>
      </c>
      <c r="AA407" s="14">
        <v>755</v>
      </c>
      <c r="AB407" s="12"/>
    </row>
    <row r="408" spans="1:28" ht="38.25">
      <c r="A408" s="41">
        <v>669</v>
      </c>
      <c r="B408" s="66" t="s">
        <v>1688</v>
      </c>
      <c r="C408" s="66" t="s">
        <v>1689</v>
      </c>
      <c r="D408" s="42" t="s">
        <v>1690</v>
      </c>
      <c r="E408" s="43" t="s">
        <v>42</v>
      </c>
      <c r="F408" s="44" t="s">
        <v>42</v>
      </c>
      <c r="G408" s="53"/>
      <c r="H408" s="46"/>
      <c r="I408" s="47"/>
      <c r="J408" s="48"/>
      <c r="K408" s="49"/>
      <c r="L408" s="46"/>
      <c r="M408" s="56" t="s">
        <v>437</v>
      </c>
      <c r="N408" s="54" t="s">
        <v>1691</v>
      </c>
      <c r="O408" s="56">
        <v>0</v>
      </c>
      <c r="P408" s="50" t="e">
        <v>#REF!</v>
      </c>
      <c r="Q408" s="62"/>
      <c r="R408" s="51"/>
      <c r="S408" s="51"/>
      <c r="T408" s="12"/>
      <c r="U408" s="12"/>
      <c r="V408" s="12"/>
      <c r="W408" s="12"/>
      <c r="X408" s="14" t="e">
        <f t="array" ref="X408">IF(OR(AND(#REF!=""),AND(#REF!="-"),OR(NOT(ISERROR(SEARCH("-*",H408:L408))))),0,1)</f>
        <v>#REF!</v>
      </c>
      <c r="Y408" s="12"/>
      <c r="Z408" s="14">
        <f t="array" ref="Z408">IF(AND(E408:G408="-"),0,IF(OR(NOT(ISERROR(SEARCH("+*",H408:L408)))),2,IF(OR(NOT(ISERROR(SEARCH("--*",E408:L408)))),-1,IF(OR(NOT(E408:G408="")),1,0))))</f>
        <v>1</v>
      </c>
      <c r="AA408" s="14">
        <v>757</v>
      </c>
      <c r="AB408" s="12"/>
    </row>
    <row r="409" spans="1:28" ht="165.75">
      <c r="A409" s="41">
        <v>670</v>
      </c>
      <c r="B409" s="66" t="s">
        <v>1692</v>
      </c>
      <c r="C409" s="66" t="s">
        <v>1693</v>
      </c>
      <c r="D409" s="66" t="s">
        <v>1694</v>
      </c>
      <c r="E409" s="43"/>
      <c r="F409" s="57" t="s">
        <v>42</v>
      </c>
      <c r="G409" s="53"/>
      <c r="H409" s="46"/>
      <c r="I409" s="47"/>
      <c r="J409" s="48"/>
      <c r="K409" s="49"/>
      <c r="L409" s="46"/>
      <c r="M409" s="56" t="s">
        <v>43</v>
      </c>
      <c r="N409" s="54" t="s">
        <v>1695</v>
      </c>
      <c r="O409" s="56">
        <v>1</v>
      </c>
      <c r="P409" s="50" t="e">
        <v>#REF!</v>
      </c>
      <c r="Q409" s="62" t="s">
        <v>86</v>
      </c>
      <c r="R409" s="51"/>
      <c r="S409" s="51"/>
      <c r="T409" s="12"/>
      <c r="U409" s="12"/>
      <c r="V409" s="12"/>
      <c r="W409" s="12"/>
      <c r="X409" s="14" t="e">
        <f t="array" ref="X409">IF(OR(AND(#REF!=""),AND(#REF!="-"),OR(NOT(ISERROR(SEARCH("-*",H409:L409))))),0,1)</f>
        <v>#REF!</v>
      </c>
      <c r="Y409" s="12"/>
      <c r="Z409" s="14">
        <f t="array" ref="Z409">IF(AND(E409:G409="-"),0,IF(OR(NOT(ISERROR(SEARCH("+*",H409:L409)))),2,IF(OR(NOT(ISERROR(SEARCH("--*",E409:L409)))),-1,IF(OR(NOT(E409:G409="")),1,0))))</f>
        <v>1</v>
      </c>
      <c r="AA409" s="14">
        <v>758</v>
      </c>
      <c r="AB409" s="12"/>
    </row>
    <row r="410" spans="1:28" ht="51">
      <c r="A410" s="41">
        <v>671</v>
      </c>
      <c r="B410" s="66" t="s">
        <v>1696</v>
      </c>
      <c r="C410" s="66" t="s">
        <v>1697</v>
      </c>
      <c r="D410" s="42" t="s">
        <v>1698</v>
      </c>
      <c r="E410" s="43"/>
      <c r="F410" s="57" t="s">
        <v>74</v>
      </c>
      <c r="G410" s="53"/>
      <c r="H410" s="46"/>
      <c r="I410" s="47"/>
      <c r="J410" s="48"/>
      <c r="K410" s="49"/>
      <c r="L410" s="46"/>
      <c r="M410" s="56" t="s">
        <v>437</v>
      </c>
      <c r="N410" s="54" t="s">
        <v>1699</v>
      </c>
      <c r="O410" s="56">
        <v>2</v>
      </c>
      <c r="P410" s="50" t="e">
        <v>#REF!</v>
      </c>
      <c r="Q410" s="62"/>
      <c r="R410" s="51"/>
      <c r="S410" s="51"/>
      <c r="T410" s="12"/>
      <c r="U410" s="12"/>
      <c r="V410" s="12"/>
      <c r="W410" s="12"/>
      <c r="X410" s="14" t="e">
        <f t="array" ref="X410">IF(OR(AND(#REF!=""),AND(#REF!="-"),OR(NOT(ISERROR(SEARCH("-*",H410:L410))))),0,1)</f>
        <v>#REF!</v>
      </c>
      <c r="Y410" s="12"/>
      <c r="Z410" s="14">
        <f t="array" ref="Z410">IF(AND(E410:G410="-"),0,IF(OR(NOT(ISERROR(SEARCH("+*",H410:L410)))),2,IF(OR(NOT(ISERROR(SEARCH("--*",E410:L410)))),-1,IF(OR(NOT(E410:G410="")),1,0))))</f>
        <v>1</v>
      </c>
      <c r="AA410" s="14">
        <v>759</v>
      </c>
      <c r="AB410" s="12"/>
    </row>
    <row r="411" spans="1:28" ht="51">
      <c r="A411" s="41">
        <v>672</v>
      </c>
      <c r="B411" s="66" t="s">
        <v>1700</v>
      </c>
      <c r="C411" s="66" t="s">
        <v>1701</v>
      </c>
      <c r="D411" s="42" t="s">
        <v>1702</v>
      </c>
      <c r="E411" s="43"/>
      <c r="F411" s="57" t="s">
        <v>74</v>
      </c>
      <c r="G411" s="53"/>
      <c r="H411" s="46"/>
      <c r="I411" s="47"/>
      <c r="J411" s="48"/>
      <c r="K411" s="49"/>
      <c r="L411" s="46"/>
      <c r="M411" s="56" t="s">
        <v>43</v>
      </c>
      <c r="N411" s="54" t="s">
        <v>1703</v>
      </c>
      <c r="O411" s="56">
        <v>2</v>
      </c>
      <c r="P411" s="50" t="e">
        <v>#REF!</v>
      </c>
      <c r="Q411" s="62"/>
      <c r="R411" s="51"/>
      <c r="S411" s="51"/>
      <c r="T411" s="12"/>
      <c r="U411" s="12"/>
      <c r="V411" s="12"/>
      <c r="W411" s="12"/>
      <c r="X411" s="14" t="e">
        <f t="array" ref="X411">IF(OR(AND(#REF!=""),AND(#REF!="-"),OR(NOT(ISERROR(SEARCH("-*",H411:L411))))),0,1)</f>
        <v>#REF!</v>
      </c>
      <c r="Y411" s="12"/>
      <c r="Z411" s="14">
        <f t="array" ref="Z411">IF(AND(E411:G411="-"),0,IF(OR(NOT(ISERROR(SEARCH("+*",H411:L411)))),2,IF(OR(NOT(ISERROR(SEARCH("--*",E411:L411)))),-1,IF(OR(NOT(E411:G411="")),1,0))))</f>
        <v>1</v>
      </c>
      <c r="AA411" s="14">
        <v>760</v>
      </c>
      <c r="AB411" s="12"/>
    </row>
    <row r="412" spans="1:28" ht="38.25">
      <c r="A412" s="41">
        <v>673</v>
      </c>
      <c r="B412" s="66" t="s">
        <v>1704</v>
      </c>
      <c r="C412" s="66" t="s">
        <v>1705</v>
      </c>
      <c r="D412" s="42" t="s">
        <v>1706</v>
      </c>
      <c r="E412" s="43"/>
      <c r="F412" s="57" t="s">
        <v>74</v>
      </c>
      <c r="G412" s="53"/>
      <c r="H412" s="46"/>
      <c r="I412" s="47"/>
      <c r="J412" s="48"/>
      <c r="K412" s="49"/>
      <c r="L412" s="46"/>
      <c r="M412" s="56" t="s">
        <v>84</v>
      </c>
      <c r="N412" s="54" t="s">
        <v>1707</v>
      </c>
      <c r="O412" s="56">
        <v>2</v>
      </c>
      <c r="P412" s="50" t="e">
        <v>#REF!</v>
      </c>
      <c r="Q412" s="62"/>
      <c r="R412" s="51"/>
      <c r="S412" s="51"/>
      <c r="T412" s="12"/>
      <c r="U412" s="12"/>
      <c r="V412" s="12"/>
      <c r="W412" s="12"/>
      <c r="X412" s="14" t="e">
        <f t="array" ref="X412">IF(OR(AND(#REF!=""),AND(#REF!="-"),OR(NOT(ISERROR(SEARCH("-*",H412:L412))))),0,1)</f>
        <v>#REF!</v>
      </c>
      <c r="Y412" s="12"/>
      <c r="Z412" s="14">
        <f t="array" ref="Z412">IF(AND(E412:G412="-"),0,IF(OR(NOT(ISERROR(SEARCH("+*",H412:L412)))),2,IF(OR(NOT(ISERROR(SEARCH("--*",E412:L412)))),-1,IF(OR(NOT(E412:G412="")),1,0))))</f>
        <v>1</v>
      </c>
      <c r="AA412" s="14">
        <v>761</v>
      </c>
      <c r="AB412" s="12"/>
    </row>
    <row r="413" spans="1:28" ht="25.5">
      <c r="A413" s="41">
        <v>674</v>
      </c>
      <c r="B413" s="66" t="s">
        <v>1708</v>
      </c>
      <c r="C413" s="66" t="s">
        <v>1709</v>
      </c>
      <c r="D413" s="42" t="s">
        <v>1710</v>
      </c>
      <c r="E413" s="43"/>
      <c r="F413" s="57" t="s">
        <v>74</v>
      </c>
      <c r="G413" s="53"/>
      <c r="H413" s="46"/>
      <c r="I413" s="47"/>
      <c r="J413" s="48"/>
      <c r="K413" s="49"/>
      <c r="L413" s="46"/>
      <c r="M413" s="56" t="s">
        <v>437</v>
      </c>
      <c r="N413" s="54" t="s">
        <v>1711</v>
      </c>
      <c r="O413" s="56">
        <v>2</v>
      </c>
      <c r="P413" s="50" t="e">
        <v>#REF!</v>
      </c>
      <c r="Q413" s="62"/>
      <c r="R413" s="51"/>
      <c r="S413" s="51"/>
      <c r="T413" s="12"/>
      <c r="U413" s="12"/>
      <c r="V413" s="12"/>
      <c r="W413" s="12"/>
      <c r="X413" s="14" t="e">
        <f t="array" ref="X413">IF(OR(AND(#REF!=""),AND(#REF!="-"),OR(NOT(ISERROR(SEARCH("-*",H413:L413))))),0,1)</f>
        <v>#REF!</v>
      </c>
      <c r="Y413" s="12"/>
      <c r="Z413" s="14">
        <f t="array" ref="Z413">IF(AND(E413:G413="-"),0,IF(OR(NOT(ISERROR(SEARCH("+*",H413:L413)))),2,IF(OR(NOT(ISERROR(SEARCH("--*",E413:L413)))),-1,IF(OR(NOT(E413:G413="")),1,0))))</f>
        <v>1</v>
      </c>
      <c r="AA413" s="14">
        <v>762</v>
      </c>
      <c r="AB413" s="12"/>
    </row>
    <row r="414" spans="1:28" ht="178.5">
      <c r="A414" s="41">
        <v>676</v>
      </c>
      <c r="B414" s="66" t="s">
        <v>1712</v>
      </c>
      <c r="C414" s="66" t="s">
        <v>1713</v>
      </c>
      <c r="D414" s="66" t="s">
        <v>1714</v>
      </c>
      <c r="E414" s="43" t="s">
        <v>42</v>
      </c>
      <c r="F414" s="44" t="s">
        <v>42</v>
      </c>
      <c r="G414" s="53" t="s">
        <v>42</v>
      </c>
      <c r="H414" s="46"/>
      <c r="I414" s="47"/>
      <c r="J414" s="48"/>
      <c r="K414" s="49"/>
      <c r="L414" s="46"/>
      <c r="M414" s="56" t="s">
        <v>84</v>
      </c>
      <c r="N414" s="54" t="s">
        <v>1715</v>
      </c>
      <c r="O414" s="56">
        <v>0</v>
      </c>
      <c r="P414" s="50" t="e">
        <v>#REF!</v>
      </c>
      <c r="Q414" s="62" t="s">
        <v>86</v>
      </c>
      <c r="R414" s="51" t="s">
        <v>43</v>
      </c>
      <c r="S414" s="51" t="s">
        <v>1716</v>
      </c>
      <c r="T414" s="12"/>
      <c r="U414" s="12"/>
      <c r="V414" s="12"/>
      <c r="W414" s="12"/>
      <c r="X414" s="14" t="e">
        <f t="array" ref="X414">IF(OR(AND(#REF!=""),AND(#REF!="-"),OR(NOT(ISERROR(SEARCH("-*",H414:L414))))),0,1)</f>
        <v>#REF!</v>
      </c>
      <c r="Y414" s="12"/>
      <c r="Z414" s="14">
        <f t="array" ref="Z414">IF(AND(E414:G414="-"),0,IF(OR(NOT(ISERROR(SEARCH("+*",H414:L414)))),2,IF(OR(NOT(ISERROR(SEARCH("--*",E414:L414)))),-1,IF(OR(NOT(E414:G414="")),1,0))))</f>
        <v>1</v>
      </c>
      <c r="AA414" s="14">
        <v>764</v>
      </c>
      <c r="AB414" s="12"/>
    </row>
    <row r="415" spans="1:28" ht="102">
      <c r="A415" s="41">
        <v>677</v>
      </c>
      <c r="B415" s="66" t="s">
        <v>1717</v>
      </c>
      <c r="C415" s="66" t="s">
        <v>1718</v>
      </c>
      <c r="D415" s="66" t="s">
        <v>1719</v>
      </c>
      <c r="E415" s="43"/>
      <c r="F415" s="57" t="s">
        <v>42</v>
      </c>
      <c r="G415" s="53"/>
      <c r="H415" s="46"/>
      <c r="I415" s="47"/>
      <c r="J415" s="48"/>
      <c r="K415" s="49"/>
      <c r="L415" s="46"/>
      <c r="M415" s="56" t="s">
        <v>84</v>
      </c>
      <c r="N415" s="54" t="s">
        <v>1720</v>
      </c>
      <c r="O415" s="56">
        <v>0</v>
      </c>
      <c r="P415" s="50" t="e">
        <v>#REF!</v>
      </c>
      <c r="Q415" s="62" t="s">
        <v>86</v>
      </c>
      <c r="R415" s="51"/>
      <c r="S415" s="51"/>
      <c r="T415" s="12"/>
      <c r="U415" s="12"/>
      <c r="V415" s="12"/>
      <c r="W415" s="12"/>
      <c r="X415" s="14" t="e">
        <f t="array" ref="X415">IF(OR(AND(#REF!=""),AND(#REF!="-"),OR(NOT(ISERROR(SEARCH("-*",H415:L415))))),0,1)</f>
        <v>#REF!</v>
      </c>
      <c r="Y415" s="12"/>
      <c r="Z415" s="14">
        <f t="array" ref="Z415">IF(AND(E415:G415="-"),0,IF(OR(NOT(ISERROR(SEARCH("+*",H415:L415)))),2,IF(OR(NOT(ISERROR(SEARCH("--*",E415:L415)))),-1,IF(OR(NOT(E415:G415="")),1,0))))</f>
        <v>1</v>
      </c>
      <c r="AA415" s="14">
        <v>765</v>
      </c>
      <c r="AB415" s="12"/>
    </row>
    <row r="416" spans="1:28" ht="51">
      <c r="A416" s="41">
        <v>679</v>
      </c>
      <c r="B416" s="66" t="s">
        <v>1721</v>
      </c>
      <c r="C416" s="66" t="s">
        <v>1722</v>
      </c>
      <c r="D416" s="66" t="s">
        <v>1723</v>
      </c>
      <c r="E416" s="43"/>
      <c r="F416" s="57" t="s">
        <v>42</v>
      </c>
      <c r="G416" s="53"/>
      <c r="H416" s="46"/>
      <c r="I416" s="47"/>
      <c r="J416" s="48"/>
      <c r="K416" s="49"/>
      <c r="L416" s="46"/>
      <c r="M416" s="56" t="s">
        <v>84</v>
      </c>
      <c r="N416" s="54"/>
      <c r="O416" s="56">
        <v>0</v>
      </c>
      <c r="P416" s="50" t="e">
        <v>#REF!</v>
      </c>
      <c r="Q416" s="62"/>
      <c r="R416" s="51"/>
      <c r="S416" s="51"/>
      <c r="T416" s="12"/>
      <c r="U416" s="12"/>
      <c r="V416" s="12"/>
      <c r="W416" s="12"/>
      <c r="X416" s="14" t="e">
        <f t="array" ref="X416">IF(OR(AND(#REF!=""),AND(#REF!="-"),OR(NOT(ISERROR(SEARCH("-*",H416:L416))))),0,1)</f>
        <v>#REF!</v>
      </c>
      <c r="Y416" s="12"/>
      <c r="Z416" s="14">
        <f t="array" ref="Z416">IF(AND(E416:G416="-"),0,IF(OR(NOT(ISERROR(SEARCH("+*",H416:L416)))),2,IF(OR(NOT(ISERROR(SEARCH("--*",E416:L416)))),-1,IF(OR(NOT(E416:G416="")),1,0))))</f>
        <v>1</v>
      </c>
      <c r="AA416" s="14">
        <v>768</v>
      </c>
      <c r="AB416" s="12"/>
    </row>
    <row r="417" spans="1:28" ht="51">
      <c r="A417" s="41">
        <v>680</v>
      </c>
      <c r="B417" s="66" t="s">
        <v>1724</v>
      </c>
      <c r="C417" s="66" t="s">
        <v>1725</v>
      </c>
      <c r="D417" s="66" t="s">
        <v>1726</v>
      </c>
      <c r="E417" s="43" t="s">
        <v>42</v>
      </c>
      <c r="F417" s="57" t="s">
        <v>42</v>
      </c>
      <c r="G417" s="53" t="s">
        <v>42</v>
      </c>
      <c r="H417" s="46"/>
      <c r="I417" s="47"/>
      <c r="J417" s="48"/>
      <c r="K417" s="49"/>
      <c r="L417" s="46"/>
      <c r="M417" s="56" t="s">
        <v>86</v>
      </c>
      <c r="N417" s="54" t="s">
        <v>243</v>
      </c>
      <c r="O417" s="56">
        <v>0</v>
      </c>
      <c r="P417" s="50" t="e">
        <v>#REF!</v>
      </c>
      <c r="Q417" s="62"/>
      <c r="R417" s="51"/>
      <c r="S417" s="51"/>
      <c r="T417" s="12"/>
      <c r="U417" s="12"/>
      <c r="V417" s="12"/>
      <c r="W417" s="12"/>
      <c r="X417" s="14" t="e">
        <f t="array" ref="X417">IF(OR(AND(#REF!=""),AND(#REF!="-"),OR(NOT(ISERROR(SEARCH("-*",H417:L417))))),0,1)</f>
        <v>#REF!</v>
      </c>
      <c r="Y417" s="12"/>
      <c r="Z417" s="14">
        <f t="array" ref="Z417">IF(AND(E417:G417="-"),0,IF(OR(NOT(ISERROR(SEARCH("+*",H417:L417)))),2,IF(OR(NOT(ISERROR(SEARCH("--*",E417:L417)))),-1,IF(OR(NOT(E417:G417="")),1,0))))</f>
        <v>1</v>
      </c>
      <c r="AA417" s="14">
        <v>770</v>
      </c>
      <c r="AB417" s="12"/>
    </row>
    <row r="418" spans="1:28" ht="12.75">
      <c r="A418" s="41">
        <v>681</v>
      </c>
      <c r="B418" s="66" t="s">
        <v>1727</v>
      </c>
      <c r="C418" s="66" t="s">
        <v>1728</v>
      </c>
      <c r="D418" s="66" t="s">
        <v>1729</v>
      </c>
      <c r="E418" s="43"/>
      <c r="F418" s="57" t="s">
        <v>42</v>
      </c>
      <c r="G418" s="53"/>
      <c r="H418" s="46"/>
      <c r="I418" s="47"/>
      <c r="J418" s="48"/>
      <c r="K418" s="49"/>
      <c r="L418" s="46"/>
      <c r="M418" s="56" t="s">
        <v>43</v>
      </c>
      <c r="N418" s="54"/>
      <c r="O418" s="56">
        <v>2</v>
      </c>
      <c r="P418" s="50" t="e">
        <v>#REF!</v>
      </c>
      <c r="Q418" s="62"/>
      <c r="R418" s="51"/>
      <c r="S418" s="51"/>
      <c r="T418" s="12"/>
      <c r="U418" s="12"/>
      <c r="V418" s="12"/>
      <c r="W418" s="12"/>
      <c r="X418" s="14" t="e">
        <f t="array" ref="X418">IF(OR(AND(#REF!=""),AND(#REF!="-"),OR(NOT(ISERROR(SEARCH("-*",H418:L418))))),0,1)</f>
        <v>#REF!</v>
      </c>
      <c r="Y418" s="12"/>
      <c r="Z418" s="14">
        <f t="array" ref="Z418">IF(AND(E418:G418="-"),0,IF(OR(NOT(ISERROR(SEARCH("+*",H418:L418)))),2,IF(OR(NOT(ISERROR(SEARCH("--*",E418:L418)))),-1,IF(OR(NOT(E418:G418="")),1,0))))</f>
        <v>1</v>
      </c>
      <c r="AA418" s="14">
        <v>771</v>
      </c>
      <c r="AB418" s="12"/>
    </row>
    <row r="419" spans="1:28" ht="63.75">
      <c r="A419" s="41">
        <v>682</v>
      </c>
      <c r="B419" s="66" t="s">
        <v>1730</v>
      </c>
      <c r="C419" s="66" t="s">
        <v>1731</v>
      </c>
      <c r="D419" s="66" t="s">
        <v>1732</v>
      </c>
      <c r="E419" s="43"/>
      <c r="F419" s="57" t="s">
        <v>74</v>
      </c>
      <c r="G419" s="53"/>
      <c r="H419" s="46"/>
      <c r="I419" s="47"/>
      <c r="J419" s="48"/>
      <c r="K419" s="49"/>
      <c r="L419" s="46"/>
      <c r="M419" s="56" t="s">
        <v>43</v>
      </c>
      <c r="N419" s="54" t="s">
        <v>1733</v>
      </c>
      <c r="O419" s="56">
        <v>2</v>
      </c>
      <c r="P419" s="50" t="e">
        <v>#REF!</v>
      </c>
      <c r="Q419" s="62"/>
      <c r="R419" s="51"/>
      <c r="S419" s="51"/>
      <c r="T419" s="12"/>
      <c r="U419" s="12"/>
      <c r="V419" s="12"/>
      <c r="W419" s="12"/>
      <c r="X419" s="14" t="e">
        <f t="array" ref="X419">IF(OR(AND(#REF!=""),AND(#REF!="-"),OR(NOT(ISERROR(SEARCH("-*",H419:L419))))),0,1)</f>
        <v>#REF!</v>
      </c>
      <c r="Y419" s="12"/>
      <c r="Z419" s="14">
        <f t="array" ref="Z419">IF(AND(E419:G419="-"),0,IF(OR(NOT(ISERROR(SEARCH("+*",H419:L419)))),2,IF(OR(NOT(ISERROR(SEARCH("--*",E419:L419)))),-1,IF(OR(NOT(E419:G419="")),1,0))))</f>
        <v>1</v>
      </c>
      <c r="AA419" s="14">
        <v>772</v>
      </c>
      <c r="AB419" s="12"/>
    </row>
    <row r="420" spans="1:28" ht="38.25">
      <c r="A420" s="41">
        <v>683</v>
      </c>
      <c r="B420" s="66" t="s">
        <v>1734</v>
      </c>
      <c r="C420" s="66" t="s">
        <v>1735</v>
      </c>
      <c r="D420" s="42" t="s">
        <v>1736</v>
      </c>
      <c r="E420" s="43"/>
      <c r="F420" s="57" t="s">
        <v>74</v>
      </c>
      <c r="G420" s="53"/>
      <c r="H420" s="46"/>
      <c r="I420" s="47"/>
      <c r="J420" s="48"/>
      <c r="K420" s="49"/>
      <c r="L420" s="46"/>
      <c r="M420" s="56" t="s">
        <v>43</v>
      </c>
      <c r="N420" s="66"/>
      <c r="O420" s="68">
        <v>2</v>
      </c>
      <c r="P420" s="50" t="e">
        <v>#REF!</v>
      </c>
      <c r="Q420" s="62" t="s">
        <v>62</v>
      </c>
      <c r="R420" s="51"/>
      <c r="S420" s="51"/>
      <c r="T420" s="12"/>
      <c r="U420" s="12"/>
      <c r="V420" s="12"/>
      <c r="W420" s="12"/>
      <c r="X420" s="14" t="e">
        <f t="array" ref="X420">IF(OR(AND(#REF!=""),AND(#REF!="-"),OR(NOT(ISERROR(SEARCH("-*",H420:L420))))),0,1)</f>
        <v>#REF!</v>
      </c>
      <c r="Y420" s="12"/>
      <c r="Z420" s="14">
        <f t="array" ref="Z420">IF(AND(E420:G420="-"),0,IF(OR(NOT(ISERROR(SEARCH("+*",H420:L420)))),2,IF(OR(NOT(ISERROR(SEARCH("--*",E420:L420)))),-1,IF(OR(NOT(E420:G420="")),1,0))))</f>
        <v>1</v>
      </c>
      <c r="AA420" s="14">
        <v>774</v>
      </c>
      <c r="AB420" s="12"/>
    </row>
    <row r="421" spans="1:28" ht="25.5">
      <c r="A421" s="41">
        <v>684</v>
      </c>
      <c r="B421" s="66" t="s">
        <v>1737</v>
      </c>
      <c r="C421" s="66" t="s">
        <v>1738</v>
      </c>
      <c r="D421" s="42" t="s">
        <v>1739</v>
      </c>
      <c r="E421" s="43"/>
      <c r="F421" s="57" t="s">
        <v>74</v>
      </c>
      <c r="G421" s="53"/>
      <c r="H421" s="46"/>
      <c r="I421" s="47"/>
      <c r="J421" s="48"/>
      <c r="K421" s="49"/>
      <c r="L421" s="46"/>
      <c r="M421" s="56" t="s">
        <v>86</v>
      </c>
      <c r="N421" s="54" t="s">
        <v>243</v>
      </c>
      <c r="O421" s="56">
        <v>0</v>
      </c>
      <c r="P421" s="50" t="e">
        <v>#REF!</v>
      </c>
      <c r="Q421" s="62"/>
      <c r="R421" s="51"/>
      <c r="S421" s="51"/>
      <c r="T421" s="12"/>
      <c r="U421" s="12"/>
      <c r="V421" s="12"/>
      <c r="W421" s="12"/>
      <c r="X421" s="14" t="e">
        <f t="array" ref="X421">IF(OR(AND(#REF!=""),AND(#REF!="-"),OR(NOT(ISERROR(SEARCH("-*",H421:L421))))),0,1)</f>
        <v>#REF!</v>
      </c>
      <c r="Y421" s="12"/>
      <c r="Z421" s="14">
        <f t="array" ref="Z421">IF(AND(E421:G421="-"),0,IF(OR(NOT(ISERROR(SEARCH("+*",H421:L421)))),2,IF(OR(NOT(ISERROR(SEARCH("--*",E421:L421)))),-1,IF(OR(NOT(E421:G421="")),1,0))))</f>
        <v>1</v>
      </c>
      <c r="AA421" s="14">
        <v>776</v>
      </c>
      <c r="AB421" s="12"/>
    </row>
    <row r="422" spans="1:28" ht="89.25">
      <c r="A422" s="41">
        <v>689</v>
      </c>
      <c r="B422" s="66" t="s">
        <v>1740</v>
      </c>
      <c r="C422" s="66" t="s">
        <v>1741</v>
      </c>
      <c r="D422" s="42" t="s">
        <v>1742</v>
      </c>
      <c r="E422" s="43" t="s">
        <v>42</v>
      </c>
      <c r="F422" s="44" t="s">
        <v>42</v>
      </c>
      <c r="G422" s="53"/>
      <c r="H422" s="46"/>
      <c r="I422" s="77" t="s">
        <v>1159</v>
      </c>
      <c r="J422" s="48"/>
      <c r="K422" s="78" t="s">
        <v>1159</v>
      </c>
      <c r="L422" s="46"/>
      <c r="M422" s="56" t="s">
        <v>86</v>
      </c>
      <c r="N422" s="54" t="s">
        <v>1743</v>
      </c>
      <c r="O422" s="56">
        <v>0</v>
      </c>
      <c r="P422" s="50" t="e">
        <v>#REF!</v>
      </c>
      <c r="Q422" s="62" t="s">
        <v>44</v>
      </c>
      <c r="R422" s="51" t="s">
        <v>51</v>
      </c>
      <c r="S422" s="51" t="s">
        <v>1744</v>
      </c>
      <c r="T422" s="12"/>
      <c r="U422" s="12"/>
      <c r="V422" s="12"/>
      <c r="W422" s="12"/>
      <c r="X422" s="14" t="e">
        <f t="array" ref="X422">IF(OR(AND(#REF!=""),AND(#REF!="-"),OR(NOT(ISERROR(SEARCH("-*",H422:L422))))),0,1)</f>
        <v>#REF!</v>
      </c>
      <c r="Y422" s="12"/>
      <c r="Z422" s="14">
        <f t="array" ref="Z422">IF(AND(E422:G422="-"),0,IF(OR(NOT(ISERROR(SEARCH("+*",H422:L422)))),2,IF(OR(NOT(ISERROR(SEARCH("--*",E422:L422)))),-1,IF(OR(NOT(E422:G422="")),1,0))))</f>
        <v>2</v>
      </c>
      <c r="AA422" s="14">
        <v>782</v>
      </c>
      <c r="AB422" s="12"/>
    </row>
    <row r="423" spans="1:28" ht="38.25">
      <c r="A423" s="41">
        <v>690</v>
      </c>
      <c r="B423" s="66" t="s">
        <v>1745</v>
      </c>
      <c r="C423" s="66" t="s">
        <v>1092</v>
      </c>
      <c r="D423" s="42" t="s">
        <v>1746</v>
      </c>
      <c r="E423" s="43" t="s">
        <v>74</v>
      </c>
      <c r="F423" s="57" t="s">
        <v>74</v>
      </c>
      <c r="G423" s="53"/>
      <c r="H423" s="46"/>
      <c r="I423" s="58" t="s">
        <v>111</v>
      </c>
      <c r="J423" s="48"/>
      <c r="K423" s="59" t="s">
        <v>111</v>
      </c>
      <c r="L423" s="46"/>
      <c r="M423" s="56" t="s">
        <v>86</v>
      </c>
      <c r="N423" s="54" t="s">
        <v>243</v>
      </c>
      <c r="O423" s="56">
        <v>0</v>
      </c>
      <c r="P423" s="50" t="e">
        <v>#REF!</v>
      </c>
      <c r="Q423" s="62" t="s">
        <v>86</v>
      </c>
      <c r="R423" s="51"/>
      <c r="S423" s="51"/>
      <c r="T423" s="12"/>
      <c r="U423" s="12"/>
      <c r="V423" s="12"/>
      <c r="W423" s="12"/>
      <c r="X423" s="14" t="e">
        <f t="array" ref="X423">IF(OR(AND(#REF!=""),AND(#REF!="-"),OR(NOT(ISERROR(SEARCH("-*",H423:L423))))),0,1)</f>
        <v>#REF!</v>
      </c>
      <c r="Y423" s="12"/>
      <c r="Z423" s="14">
        <f t="array" ref="Z423">IF(AND(E423:G423="-"),0,IF(OR(NOT(ISERROR(SEARCH("+*",H423:L423)))),2,IF(OR(NOT(ISERROR(SEARCH("--*",E423:L423)))),-1,IF(OR(NOT(E423:G423="")),1,0))))</f>
        <v>2</v>
      </c>
      <c r="AA423" s="14">
        <v>783</v>
      </c>
      <c r="AB423" s="12"/>
    </row>
    <row r="424" spans="1:28" ht="127.5">
      <c r="A424" s="41">
        <v>713</v>
      </c>
      <c r="B424" s="66" t="s">
        <v>1747</v>
      </c>
      <c r="C424" s="66" t="s">
        <v>1748</v>
      </c>
      <c r="D424" s="42" t="s">
        <v>1749</v>
      </c>
      <c r="E424" s="43" t="s">
        <v>74</v>
      </c>
      <c r="F424" s="57" t="s">
        <v>74</v>
      </c>
      <c r="G424" s="53" t="s">
        <v>74</v>
      </c>
      <c r="H424" s="46"/>
      <c r="I424" s="47"/>
      <c r="J424" s="48"/>
      <c r="K424" s="49"/>
      <c r="L424" s="46"/>
      <c r="M424" s="56" t="s">
        <v>43</v>
      </c>
      <c r="N424" s="54" t="s">
        <v>1750</v>
      </c>
      <c r="O424" s="56">
        <v>1</v>
      </c>
      <c r="P424" s="50" t="e">
        <v>#REF!</v>
      </c>
      <c r="Q424" s="62"/>
      <c r="R424" s="51" t="s">
        <v>295</v>
      </c>
      <c r="S424" s="51" t="s">
        <v>1751</v>
      </c>
      <c r="T424" s="12"/>
      <c r="U424" s="12"/>
      <c r="V424" s="12"/>
      <c r="W424" s="12"/>
      <c r="X424" s="14" t="e">
        <f t="array" ref="X424">IF(OR(AND(#REF!=""),AND(#REF!="-"),OR(NOT(ISERROR(SEARCH("-*",H424:L424))))),0,1)</f>
        <v>#REF!</v>
      </c>
      <c r="Y424" s="12"/>
      <c r="Z424" s="14">
        <f t="array" ref="Z424">IF(AND(E424:G424="-"),0,IF(OR(NOT(ISERROR(SEARCH("+*",H424:L424)))),2,IF(OR(NOT(ISERROR(SEARCH("--*",E424:L424)))),-1,IF(OR(NOT(E424:G424="")),1,0))))</f>
        <v>1</v>
      </c>
      <c r="AA424" s="14">
        <v>808</v>
      </c>
      <c r="AB424" s="12"/>
    </row>
    <row r="425" spans="1:28" ht="25.5">
      <c r="A425" s="41">
        <v>714</v>
      </c>
      <c r="B425" s="66" t="s">
        <v>1752</v>
      </c>
      <c r="C425" s="66" t="s">
        <v>1753</v>
      </c>
      <c r="D425" s="66" t="s">
        <v>1754</v>
      </c>
      <c r="E425" s="43" t="s">
        <v>42</v>
      </c>
      <c r="F425" s="57" t="s">
        <v>42</v>
      </c>
      <c r="G425" s="53"/>
      <c r="H425" s="46"/>
      <c r="I425" s="47"/>
      <c r="J425" s="48"/>
      <c r="K425" s="49"/>
      <c r="L425" s="46"/>
      <c r="M425" s="56" t="s">
        <v>86</v>
      </c>
      <c r="N425" s="54" t="s">
        <v>243</v>
      </c>
      <c r="O425" s="56">
        <v>0</v>
      </c>
      <c r="P425" s="50" t="e">
        <v>#REF!</v>
      </c>
      <c r="Q425" s="62" t="s">
        <v>86</v>
      </c>
      <c r="R425" s="51"/>
      <c r="S425" s="51"/>
      <c r="T425" s="12"/>
      <c r="U425" s="12"/>
      <c r="V425" s="12"/>
      <c r="W425" s="12"/>
      <c r="X425" s="14" t="e">
        <f t="array" ref="X425">IF(OR(AND(#REF!=""),AND(#REF!="-"),OR(NOT(ISERROR(SEARCH("-*",H425:L425))))),0,1)</f>
        <v>#REF!</v>
      </c>
      <c r="Y425" s="12"/>
      <c r="Z425" s="14">
        <f t="array" ref="Z425">IF(AND(E425:G425="-"),0,IF(OR(NOT(ISERROR(SEARCH("+*",H425:L425)))),2,IF(OR(NOT(ISERROR(SEARCH("--*",E425:L425)))),-1,IF(OR(NOT(E425:G425="")),1,0))))</f>
        <v>1</v>
      </c>
      <c r="AA425" s="14">
        <v>809</v>
      </c>
      <c r="AB425" s="12"/>
    </row>
    <row r="426" spans="1:28" ht="229.5">
      <c r="A426" s="41">
        <v>723</v>
      </c>
      <c r="B426" s="66" t="s">
        <v>1755</v>
      </c>
      <c r="C426" s="66" t="s">
        <v>1756</v>
      </c>
      <c r="D426" s="42" t="s">
        <v>1757</v>
      </c>
      <c r="E426" s="43"/>
      <c r="F426" s="57"/>
      <c r="G426" s="53"/>
      <c r="H426" s="46"/>
      <c r="I426" s="58" t="s">
        <v>125</v>
      </c>
      <c r="J426" s="48"/>
      <c r="K426" s="59" t="s">
        <v>125</v>
      </c>
      <c r="L426" s="46"/>
      <c r="M426" s="56" t="s">
        <v>84</v>
      </c>
      <c r="N426" s="54" t="s">
        <v>1758</v>
      </c>
      <c r="O426" s="56">
        <v>0</v>
      </c>
      <c r="P426" s="50" t="e">
        <v>#REF!</v>
      </c>
      <c r="Q426" s="62"/>
      <c r="R426" s="51" t="s">
        <v>43</v>
      </c>
      <c r="S426" s="51" t="s">
        <v>1759</v>
      </c>
      <c r="T426" s="12"/>
      <c r="U426" s="12"/>
      <c r="V426" s="12"/>
      <c r="W426" s="12"/>
      <c r="X426" s="14" t="e">
        <f t="array" ref="X426">IF(OR(AND(#REF!=""),AND(#REF!="-"),OR(NOT(ISERROR(SEARCH("-*",H426:L426))))),0,1)</f>
        <v>#REF!</v>
      </c>
      <c r="Y426" s="12"/>
      <c r="Z426" s="14">
        <f t="array" ref="Z426">IF(AND(E426:G426="-"),0,IF(OR(NOT(ISERROR(SEARCH("+*",H426:L426)))),2,IF(OR(NOT(ISERROR(SEARCH("--*",E426:L426)))),-1,IF(OR(NOT(E426:G426="")),1,0))))</f>
        <v>2</v>
      </c>
      <c r="AA426" s="14">
        <v>818</v>
      </c>
      <c r="AB426" s="12"/>
    </row>
    <row r="427" spans="1:28" ht="255">
      <c r="A427" s="41">
        <v>726</v>
      </c>
      <c r="B427" s="66" t="s">
        <v>1760</v>
      </c>
      <c r="C427" s="66" t="s">
        <v>1761</v>
      </c>
      <c r="D427" s="42" t="s">
        <v>1762</v>
      </c>
      <c r="E427" s="43"/>
      <c r="F427" s="57"/>
      <c r="G427" s="53"/>
      <c r="H427" s="46"/>
      <c r="I427" s="77" t="s">
        <v>1159</v>
      </c>
      <c r="J427" s="48"/>
      <c r="K427" s="78" t="s">
        <v>1159</v>
      </c>
      <c r="L427" s="46"/>
      <c r="M427" s="56" t="s">
        <v>84</v>
      </c>
      <c r="N427" s="54" t="s">
        <v>1758</v>
      </c>
      <c r="O427" s="56">
        <v>0</v>
      </c>
      <c r="P427" s="50" t="e">
        <v>#REF!</v>
      </c>
      <c r="Q427" s="65"/>
      <c r="R427" s="51" t="s">
        <v>295</v>
      </c>
      <c r="S427" s="51" t="s">
        <v>1763</v>
      </c>
      <c r="T427" s="12"/>
      <c r="U427" s="12"/>
      <c r="V427" s="12"/>
      <c r="W427" s="12"/>
      <c r="X427" s="14" t="e">
        <f t="array" ref="X427">IF(OR(AND(#REF!=""),AND(#REF!="-"),OR(NOT(ISERROR(SEARCH("-*",H427:L427))))),0,1)</f>
        <v>#REF!</v>
      </c>
      <c r="Y427" s="12"/>
      <c r="Z427" s="14">
        <f t="array" ref="Z427">IF(AND(E427:G427="-"),0,IF(OR(NOT(ISERROR(SEARCH("+*",H427:L427)))),2,IF(OR(NOT(ISERROR(SEARCH("--*",E427:L427)))),-1,IF(OR(NOT(E427:G427="")),1,0))))</f>
        <v>2</v>
      </c>
      <c r="AA427" s="14">
        <v>821</v>
      </c>
      <c r="AB427" s="12"/>
    </row>
    <row r="428" spans="1:28" ht="140.25">
      <c r="A428" s="41">
        <v>729</v>
      </c>
      <c r="B428" s="66" t="s">
        <v>1764</v>
      </c>
      <c r="C428" s="66" t="s">
        <v>1765</v>
      </c>
      <c r="D428" s="42" t="s">
        <v>1766</v>
      </c>
      <c r="E428" s="43" t="s">
        <v>42</v>
      </c>
      <c r="F428" s="44" t="s">
        <v>42</v>
      </c>
      <c r="G428" s="45" t="s">
        <v>42</v>
      </c>
      <c r="H428" s="46"/>
      <c r="I428" s="47"/>
      <c r="J428" s="48"/>
      <c r="K428" s="49"/>
      <c r="L428" s="46"/>
      <c r="M428" s="56" t="s">
        <v>43</v>
      </c>
      <c r="N428" s="54" t="s">
        <v>1767</v>
      </c>
      <c r="O428" s="68">
        <v>0</v>
      </c>
      <c r="P428" s="50" t="e">
        <v>#REF!</v>
      </c>
      <c r="Q428" s="62" t="s">
        <v>44</v>
      </c>
      <c r="R428" s="51" t="s">
        <v>51</v>
      </c>
      <c r="S428" s="51" t="s">
        <v>1768</v>
      </c>
      <c r="T428" s="12"/>
      <c r="U428" s="12"/>
      <c r="V428" s="12"/>
      <c r="W428" s="12"/>
      <c r="X428" s="14" t="e">
        <f t="array" ref="X428">IF(OR(AND(#REF!=""),AND(#REF!="-"),OR(NOT(ISERROR(SEARCH("-*",H428:L428))))),0,1)</f>
        <v>#REF!</v>
      </c>
      <c r="Y428" s="12"/>
      <c r="Z428" s="14">
        <f t="array" ref="Z428">IF(AND(E428:G428="-"),0,IF(OR(NOT(ISERROR(SEARCH("+*",H428:L428)))),2,IF(OR(NOT(ISERROR(SEARCH("--*",E428:L428)))),-1,IF(OR(NOT(E428:G428="")),1,0))))</f>
        <v>1</v>
      </c>
      <c r="AA428" s="14">
        <v>824</v>
      </c>
      <c r="AB428" s="12"/>
    </row>
    <row r="429" spans="1:28" ht="178.5">
      <c r="A429" s="41">
        <v>730</v>
      </c>
      <c r="B429" s="66" t="s">
        <v>1769</v>
      </c>
      <c r="C429" s="66" t="s">
        <v>1770</v>
      </c>
      <c r="D429" s="66" t="s">
        <v>1771</v>
      </c>
      <c r="E429" s="43"/>
      <c r="F429" s="57" t="s">
        <v>42</v>
      </c>
      <c r="G429" s="53"/>
      <c r="H429" s="46"/>
      <c r="I429" s="47"/>
      <c r="J429" s="48"/>
      <c r="K429" s="49"/>
      <c r="L429" s="46"/>
      <c r="M429" s="56" t="s">
        <v>43</v>
      </c>
      <c r="N429" s="54" t="s">
        <v>1772</v>
      </c>
      <c r="O429" s="56">
        <v>2</v>
      </c>
      <c r="P429" s="50" t="e">
        <v>#REF!</v>
      </c>
      <c r="Q429" s="62" t="s">
        <v>44</v>
      </c>
      <c r="R429" s="51"/>
      <c r="S429" s="51"/>
      <c r="T429" s="12"/>
      <c r="U429" s="12"/>
      <c r="V429" s="12"/>
      <c r="W429" s="12"/>
      <c r="X429" s="14" t="e">
        <f t="array" ref="X429">IF(OR(AND(#REF!=""),AND(#REF!="-"),OR(NOT(ISERROR(SEARCH("-*",H429:L429))))),0,1)</f>
        <v>#REF!</v>
      </c>
      <c r="Y429" s="12"/>
      <c r="Z429" s="14">
        <f t="array" ref="Z429">IF(AND(E429:G429="-"),0,IF(OR(NOT(ISERROR(SEARCH("+*",H429:L429)))),2,IF(OR(NOT(ISERROR(SEARCH("--*",E429:L429)))),-1,IF(OR(NOT(E429:G429="")),1,0))))</f>
        <v>1</v>
      </c>
      <c r="AA429" s="14">
        <v>825</v>
      </c>
      <c r="AB429" s="12"/>
    </row>
    <row r="430" spans="1:28" ht="51">
      <c r="A430" s="41">
        <v>731</v>
      </c>
      <c r="B430" s="66" t="s">
        <v>1773</v>
      </c>
      <c r="C430" s="66" t="s">
        <v>1774</v>
      </c>
      <c r="D430" s="66" t="s">
        <v>1775</v>
      </c>
      <c r="E430" s="43"/>
      <c r="F430" s="57" t="s">
        <v>74</v>
      </c>
      <c r="G430" s="53"/>
      <c r="H430" s="46"/>
      <c r="I430" s="47"/>
      <c r="J430" s="48"/>
      <c r="K430" s="49"/>
      <c r="L430" s="46"/>
      <c r="M430" s="56" t="s">
        <v>43</v>
      </c>
      <c r="N430" s="54" t="s">
        <v>1776</v>
      </c>
      <c r="O430" s="56">
        <v>2</v>
      </c>
      <c r="P430" s="50" t="e">
        <v>#REF!</v>
      </c>
      <c r="Q430" s="62"/>
      <c r="R430" s="51"/>
      <c r="S430" s="51"/>
      <c r="T430" s="12"/>
      <c r="U430" s="12"/>
      <c r="V430" s="12"/>
      <c r="W430" s="12"/>
      <c r="X430" s="14" t="e">
        <f t="array" ref="X430">IF(OR(AND(#REF!=""),AND(#REF!="-"),OR(NOT(ISERROR(SEARCH("-*",H430:L430))))),0,1)</f>
        <v>#REF!</v>
      </c>
      <c r="Y430" s="12"/>
      <c r="Z430" s="14">
        <f t="array" ref="Z430">IF(AND(E430:G430="-"),0,IF(OR(NOT(ISERROR(SEARCH("+*",H430:L430)))),2,IF(OR(NOT(ISERROR(SEARCH("--*",E430:L430)))),-1,IF(OR(NOT(E430:G430="")),1,0))))</f>
        <v>1</v>
      </c>
      <c r="AA430" s="14">
        <v>826</v>
      </c>
      <c r="AB430" s="12"/>
    </row>
    <row r="431" spans="1:28" ht="38.25">
      <c r="A431" s="41">
        <v>732</v>
      </c>
      <c r="B431" s="66" t="s">
        <v>1777</v>
      </c>
      <c r="C431" s="66" t="s">
        <v>1778</v>
      </c>
      <c r="D431" s="66" t="s">
        <v>1779</v>
      </c>
      <c r="E431" s="43"/>
      <c r="F431" s="57" t="s">
        <v>42</v>
      </c>
      <c r="G431" s="53"/>
      <c r="H431" s="46"/>
      <c r="I431" s="47"/>
      <c r="J431" s="48"/>
      <c r="K431" s="49"/>
      <c r="L431" s="46"/>
      <c r="M431" s="56" t="s">
        <v>43</v>
      </c>
      <c r="N431" s="54" t="s">
        <v>1780</v>
      </c>
      <c r="O431" s="56">
        <v>2</v>
      </c>
      <c r="P431" s="50" t="e">
        <v>#REF!</v>
      </c>
      <c r="Q431" s="62" t="s">
        <v>62</v>
      </c>
      <c r="R431" s="51"/>
      <c r="S431" s="51"/>
      <c r="T431" s="12"/>
      <c r="U431" s="12"/>
      <c r="V431" s="12"/>
      <c r="W431" s="12"/>
      <c r="X431" s="14" t="e">
        <f t="array" ref="X431">IF(OR(AND(#REF!=""),AND(#REF!="-"),OR(NOT(ISERROR(SEARCH("-*",H431:L431))))),0,1)</f>
        <v>#REF!</v>
      </c>
      <c r="Y431" s="12"/>
      <c r="Z431" s="14">
        <f t="array" ref="Z431">IF(AND(E431:G431="-"),0,IF(OR(NOT(ISERROR(SEARCH("+*",H431:L431)))),2,IF(OR(NOT(ISERROR(SEARCH("--*",E431:L431)))),-1,IF(OR(NOT(E431:G431="")),1,0))))</f>
        <v>1</v>
      </c>
      <c r="AA431" s="14">
        <v>827</v>
      </c>
      <c r="AB431" s="12"/>
    </row>
    <row r="432" spans="1:28" ht="51">
      <c r="A432" s="41">
        <v>733</v>
      </c>
      <c r="B432" s="66" t="s">
        <v>1781</v>
      </c>
      <c r="C432" s="66" t="s">
        <v>1782</v>
      </c>
      <c r="D432" s="42" t="s">
        <v>1783</v>
      </c>
      <c r="E432" s="43"/>
      <c r="F432" s="57" t="s">
        <v>74</v>
      </c>
      <c r="G432" s="53"/>
      <c r="H432" s="46"/>
      <c r="I432" s="47"/>
      <c r="J432" s="48"/>
      <c r="K432" s="49"/>
      <c r="L432" s="46"/>
      <c r="M432" s="56" t="s">
        <v>43</v>
      </c>
      <c r="N432" s="54" t="s">
        <v>1784</v>
      </c>
      <c r="O432" s="56">
        <v>2</v>
      </c>
      <c r="P432" s="50" t="e">
        <v>#REF!</v>
      </c>
      <c r="Q432" s="62" t="s">
        <v>86</v>
      </c>
      <c r="R432" s="51"/>
      <c r="S432" s="51"/>
      <c r="T432" s="12"/>
      <c r="U432" s="12"/>
      <c r="V432" s="12"/>
      <c r="W432" s="12"/>
      <c r="X432" s="14" t="e">
        <f t="array" ref="X432">IF(OR(AND(#REF!=""),AND(#REF!="-"),OR(NOT(ISERROR(SEARCH("-*",H432:L432))))),0,1)</f>
        <v>#REF!</v>
      </c>
      <c r="Y432" s="12"/>
      <c r="Z432" s="14">
        <f t="array" ref="Z432">IF(AND(E432:G432="-"),0,IF(OR(NOT(ISERROR(SEARCH("+*",H432:L432)))),2,IF(OR(NOT(ISERROR(SEARCH("--*",E432:L432)))),-1,IF(OR(NOT(E432:G432="")),1,0))))</f>
        <v>1</v>
      </c>
      <c r="AA432" s="14">
        <v>828</v>
      </c>
      <c r="AB432" s="12"/>
    </row>
    <row r="433" spans="1:28" ht="51">
      <c r="A433" s="41">
        <v>735</v>
      </c>
      <c r="B433" s="66" t="s">
        <v>1785</v>
      </c>
      <c r="C433" s="66" t="s">
        <v>1786</v>
      </c>
      <c r="D433" s="42" t="s">
        <v>1787</v>
      </c>
      <c r="E433" s="43"/>
      <c r="F433" s="57" t="s">
        <v>74</v>
      </c>
      <c r="G433" s="53"/>
      <c r="H433" s="46"/>
      <c r="I433" s="47"/>
      <c r="J433" s="48"/>
      <c r="K433" s="49"/>
      <c r="L433" s="46"/>
      <c r="M433" s="56" t="s">
        <v>43</v>
      </c>
      <c r="N433" s="54" t="s">
        <v>1788</v>
      </c>
      <c r="O433" s="56">
        <v>2</v>
      </c>
      <c r="P433" s="50" t="e">
        <v>#REF!</v>
      </c>
      <c r="Q433" s="62"/>
      <c r="R433" s="51"/>
      <c r="S433" s="51"/>
      <c r="T433" s="12"/>
      <c r="U433" s="12"/>
      <c r="V433" s="12"/>
      <c r="W433" s="12"/>
      <c r="X433" s="14" t="e">
        <f t="array" ref="X433">IF(OR(AND(#REF!=""),AND(#REF!="-"),OR(NOT(ISERROR(SEARCH("-*",H433:L433))))),0,1)</f>
        <v>#REF!</v>
      </c>
      <c r="Y433" s="12"/>
      <c r="Z433" s="14">
        <f t="array" ref="Z433">IF(AND(E433:G433="-"),0,IF(OR(NOT(ISERROR(SEARCH("+*",H433:L433)))),2,IF(OR(NOT(ISERROR(SEARCH("--*",E433:L433)))),-1,IF(OR(NOT(E433:G433="")),1,0))))</f>
        <v>1</v>
      </c>
      <c r="AA433" s="14">
        <v>831</v>
      </c>
      <c r="AB433" s="12"/>
    </row>
    <row r="434" spans="1:28" ht="204">
      <c r="A434" s="41">
        <v>736</v>
      </c>
      <c r="B434" s="66" t="s">
        <v>1789</v>
      </c>
      <c r="C434" s="66" t="s">
        <v>1790</v>
      </c>
      <c r="D434" s="42" t="s">
        <v>1791</v>
      </c>
      <c r="E434" s="43"/>
      <c r="F434" s="57" t="s">
        <v>42</v>
      </c>
      <c r="G434" s="53"/>
      <c r="H434" s="46"/>
      <c r="I434" s="47"/>
      <c r="J434" s="48"/>
      <c r="K434" s="49"/>
      <c r="L434" s="46"/>
      <c r="M434" s="56" t="s">
        <v>437</v>
      </c>
      <c r="N434" s="54" t="s">
        <v>1792</v>
      </c>
      <c r="O434" s="56">
        <v>2</v>
      </c>
      <c r="P434" s="50" t="e">
        <v>#REF!</v>
      </c>
      <c r="Q434" s="62" t="s">
        <v>44</v>
      </c>
      <c r="R434" s="51" t="s">
        <v>51</v>
      </c>
      <c r="S434" s="51" t="s">
        <v>1793</v>
      </c>
      <c r="T434" s="12"/>
      <c r="U434" s="12"/>
      <c r="V434" s="12"/>
      <c r="W434" s="12"/>
      <c r="X434" s="14" t="e">
        <f t="array" ref="X434">IF(OR(AND(#REF!=""),AND(#REF!="-"),OR(NOT(ISERROR(SEARCH("-*",H434:L434))))),0,1)</f>
        <v>#REF!</v>
      </c>
      <c r="Y434" s="12"/>
      <c r="Z434" s="14">
        <f t="array" ref="Z434">IF(AND(E434:G434="-"),0,IF(OR(NOT(ISERROR(SEARCH("+*",H434:L434)))),2,IF(OR(NOT(ISERROR(SEARCH("--*",E434:L434)))),-1,IF(OR(NOT(E434:G434="")),1,0))))</f>
        <v>1</v>
      </c>
      <c r="AA434" s="14">
        <v>832</v>
      </c>
      <c r="AB434" s="12"/>
    </row>
    <row r="435" spans="1:28" ht="25.5">
      <c r="A435" s="41">
        <v>737</v>
      </c>
      <c r="B435" s="66" t="s">
        <v>1794</v>
      </c>
      <c r="C435" s="66" t="s">
        <v>1774</v>
      </c>
      <c r="D435" s="66" t="s">
        <v>1795</v>
      </c>
      <c r="E435" s="43"/>
      <c r="F435" s="57" t="s">
        <v>42</v>
      </c>
      <c r="G435" s="53"/>
      <c r="H435" s="46"/>
      <c r="I435" s="47"/>
      <c r="J435" s="48"/>
      <c r="K435" s="49"/>
      <c r="L435" s="46"/>
      <c r="M435" s="56" t="s">
        <v>86</v>
      </c>
      <c r="N435" s="54" t="s">
        <v>243</v>
      </c>
      <c r="O435" s="56">
        <v>0</v>
      </c>
      <c r="P435" s="50" t="e">
        <v>#REF!</v>
      </c>
      <c r="Q435" s="62" t="s">
        <v>86</v>
      </c>
      <c r="R435" s="51"/>
      <c r="S435" s="51"/>
      <c r="T435" s="12"/>
      <c r="U435" s="12"/>
      <c r="V435" s="12"/>
      <c r="W435" s="12"/>
      <c r="X435" s="14" t="e">
        <f t="array" ref="X435">IF(OR(AND(#REF!=""),AND(#REF!="-"),OR(NOT(ISERROR(SEARCH("-*",H435:L435))))),0,1)</f>
        <v>#REF!</v>
      </c>
      <c r="Y435" s="12"/>
      <c r="Z435" s="14">
        <f t="array" ref="Z435">IF(AND(E435:G435="-"),0,IF(OR(NOT(ISERROR(SEARCH("+*",H435:L435)))),2,IF(OR(NOT(ISERROR(SEARCH("--*",E435:L435)))),-1,IF(OR(NOT(E435:G435="")),1,0))))</f>
        <v>1</v>
      </c>
      <c r="AA435" s="14">
        <v>833</v>
      </c>
      <c r="AB435" s="12"/>
    </row>
    <row r="436" spans="1:28" ht="25.5">
      <c r="A436" s="41">
        <v>738</v>
      </c>
      <c r="B436" s="66" t="s">
        <v>1796</v>
      </c>
      <c r="C436" s="66" t="s">
        <v>1797</v>
      </c>
      <c r="D436" s="66" t="s">
        <v>1798</v>
      </c>
      <c r="E436" s="43"/>
      <c r="F436" s="57" t="s">
        <v>42</v>
      </c>
      <c r="G436" s="53"/>
      <c r="H436" s="46"/>
      <c r="I436" s="47" t="s">
        <v>342</v>
      </c>
      <c r="J436" s="48"/>
      <c r="K436" s="49"/>
      <c r="L436" s="46"/>
      <c r="M436" s="56" t="s">
        <v>437</v>
      </c>
      <c r="N436" s="54" t="s">
        <v>243</v>
      </c>
      <c r="O436" s="56">
        <v>0</v>
      </c>
      <c r="P436" s="50" t="e">
        <v>#REF!</v>
      </c>
      <c r="Q436" s="62" t="s">
        <v>86</v>
      </c>
      <c r="R436" s="51"/>
      <c r="S436" s="51"/>
      <c r="T436" s="12"/>
      <c r="U436" s="12"/>
      <c r="V436" s="12"/>
      <c r="W436" s="12"/>
      <c r="X436" s="14" t="e">
        <f t="array" ref="X436">IF(OR(AND(#REF!=""),AND(#REF!="-"),OR(NOT(ISERROR(SEARCH("-*",H436:L436))))),0,1)</f>
        <v>#REF!</v>
      </c>
      <c r="Y436" s="12"/>
      <c r="Z436" s="14">
        <f t="array" ref="Z436">IF(AND(E436:G436="-"),0,IF(OR(NOT(ISERROR(SEARCH("+*",H436:L436)))),2,IF(OR(NOT(ISERROR(SEARCH("--*",E436:L436)))),-1,IF(OR(NOT(E436:G436="")),1,0))))</f>
        <v>1</v>
      </c>
      <c r="AA436" s="14">
        <v>834</v>
      </c>
      <c r="AB436" s="12"/>
    </row>
    <row r="437" spans="1:28" ht="38.25">
      <c r="A437" s="41">
        <v>739</v>
      </c>
      <c r="B437" s="66" t="s">
        <v>1799</v>
      </c>
      <c r="C437" s="66" t="s">
        <v>1800</v>
      </c>
      <c r="D437" s="66" t="s">
        <v>1801</v>
      </c>
      <c r="E437" s="43"/>
      <c r="F437" s="57"/>
      <c r="G437" s="53"/>
      <c r="H437" s="46"/>
      <c r="I437" s="58" t="s">
        <v>125</v>
      </c>
      <c r="J437" s="48"/>
      <c r="K437" s="61"/>
      <c r="L437" s="46"/>
      <c r="M437" s="56" t="s">
        <v>43</v>
      </c>
      <c r="N437" s="54" t="s">
        <v>1802</v>
      </c>
      <c r="O437" s="56">
        <v>0</v>
      </c>
      <c r="P437" s="50" t="e">
        <v>#REF!</v>
      </c>
      <c r="Q437" s="62"/>
      <c r="R437" s="51"/>
      <c r="S437" s="51"/>
      <c r="T437" s="12"/>
      <c r="U437" s="12"/>
      <c r="V437" s="12"/>
      <c r="W437" s="12"/>
      <c r="X437" s="14" t="e">
        <f t="array" ref="X437">IF(OR(AND(#REF!=""),AND(#REF!="-"),OR(NOT(ISERROR(SEARCH("-*",H437:L437))))),0,1)</f>
        <v>#REF!</v>
      </c>
      <c r="Y437" s="12"/>
      <c r="Z437" s="14">
        <f t="array" ref="Z437">IF(AND(E437:G437="-"),0,IF(OR(NOT(ISERROR(SEARCH("+*",H437:L437)))),2,IF(OR(NOT(ISERROR(SEARCH("--*",E437:L437)))),-1,IF(OR(NOT(E437:G437="")),1,0))))</f>
        <v>2</v>
      </c>
      <c r="AA437" s="14">
        <v>836</v>
      </c>
      <c r="AB437" s="12"/>
    </row>
    <row r="438" spans="1:28" ht="76.5">
      <c r="A438" s="41">
        <v>744</v>
      </c>
      <c r="B438" s="66" t="s">
        <v>1803</v>
      </c>
      <c r="C438" s="66" t="s">
        <v>1804</v>
      </c>
      <c r="D438" s="42" t="s">
        <v>1805</v>
      </c>
      <c r="E438" s="43"/>
      <c r="F438" s="57" t="s">
        <v>74</v>
      </c>
      <c r="G438" s="53"/>
      <c r="H438" s="46"/>
      <c r="I438" s="47"/>
      <c r="J438" s="48"/>
      <c r="K438" s="49"/>
      <c r="L438" s="46"/>
      <c r="M438" s="56" t="s">
        <v>437</v>
      </c>
      <c r="N438" s="54" t="s">
        <v>243</v>
      </c>
      <c r="O438" s="56">
        <v>0</v>
      </c>
      <c r="P438" s="50" t="e">
        <v>#REF!</v>
      </c>
      <c r="Q438" s="62" t="s">
        <v>86</v>
      </c>
      <c r="R438" s="51"/>
      <c r="S438" s="51"/>
      <c r="T438" s="12"/>
      <c r="U438" s="12"/>
      <c r="V438" s="12"/>
      <c r="W438" s="12"/>
      <c r="X438" s="14" t="e">
        <f t="array" ref="X438">IF(OR(AND(#REF!=""),AND(#REF!="-"),OR(NOT(ISERROR(SEARCH("-*",H438:L438))))),0,1)</f>
        <v>#REF!</v>
      </c>
      <c r="Y438" s="12"/>
      <c r="Z438" s="14">
        <f t="array" ref="Z438">IF(AND(E438:G438="-"),0,IF(OR(NOT(ISERROR(SEARCH("+*",H438:L438)))),2,IF(OR(NOT(ISERROR(SEARCH("--*",E438:L438)))),-1,IF(OR(NOT(E438:G438="")),1,0))))</f>
        <v>1</v>
      </c>
      <c r="AA438" s="14">
        <v>842</v>
      </c>
      <c r="AB438" s="12"/>
    </row>
    <row r="439" spans="1:28" ht="293.25">
      <c r="A439" s="41">
        <v>745</v>
      </c>
      <c r="B439" s="66" t="s">
        <v>1806</v>
      </c>
      <c r="C439" s="66" t="s">
        <v>1807</v>
      </c>
      <c r="D439" s="42" t="s">
        <v>1808</v>
      </c>
      <c r="E439" s="43" t="s">
        <v>42</v>
      </c>
      <c r="F439" s="57" t="s">
        <v>42</v>
      </c>
      <c r="G439" s="53" t="s">
        <v>42</v>
      </c>
      <c r="H439" s="46"/>
      <c r="I439" s="47"/>
      <c r="J439" s="48"/>
      <c r="K439" s="49"/>
      <c r="L439" s="46"/>
      <c r="M439" s="56" t="s">
        <v>56</v>
      </c>
      <c r="N439" s="54" t="s">
        <v>1809</v>
      </c>
      <c r="O439" s="56">
        <v>2</v>
      </c>
      <c r="P439" s="50" t="e">
        <v>#REF!</v>
      </c>
      <c r="Q439" s="62"/>
      <c r="R439" s="51" t="s">
        <v>51</v>
      </c>
      <c r="S439" s="51" t="s">
        <v>1810</v>
      </c>
      <c r="T439" s="12"/>
      <c r="U439" s="12"/>
      <c r="V439" s="12"/>
      <c r="W439" s="12"/>
      <c r="X439" s="14" t="e">
        <f t="array" ref="X439">IF(OR(AND(#REF!=""),AND(#REF!="-"),OR(NOT(ISERROR(SEARCH("-*",H439:L439))))),0,1)</f>
        <v>#REF!</v>
      </c>
      <c r="Y439" s="12"/>
      <c r="Z439" s="14">
        <f t="array" ref="Z439">IF(AND(E439:G439="-"),0,IF(OR(NOT(ISERROR(SEARCH("+*",H439:L439)))),2,IF(OR(NOT(ISERROR(SEARCH("--*",E439:L439)))),-1,IF(OR(NOT(E439:G439="")),1,0))))</f>
        <v>1</v>
      </c>
      <c r="AA439" s="14">
        <v>843</v>
      </c>
      <c r="AB439" s="12"/>
    </row>
    <row r="440" spans="1:28" ht="38.25">
      <c r="A440" s="41">
        <v>746</v>
      </c>
      <c r="B440" s="66" t="s">
        <v>1811</v>
      </c>
      <c r="C440" s="66" t="s">
        <v>1812</v>
      </c>
      <c r="D440" s="66" t="s">
        <v>1813</v>
      </c>
      <c r="E440" s="43" t="s">
        <v>74</v>
      </c>
      <c r="F440" s="57" t="s">
        <v>74</v>
      </c>
      <c r="G440" s="53" t="s">
        <v>74</v>
      </c>
      <c r="H440" s="46"/>
      <c r="I440" s="47"/>
      <c r="J440" s="48"/>
      <c r="K440" s="49"/>
      <c r="L440" s="46"/>
      <c r="M440" s="56" t="s">
        <v>437</v>
      </c>
      <c r="N440" s="54" t="s">
        <v>243</v>
      </c>
      <c r="O440" s="56">
        <v>0</v>
      </c>
      <c r="P440" s="50" t="e">
        <v>#REF!</v>
      </c>
      <c r="Q440" s="62"/>
      <c r="R440" s="51"/>
      <c r="S440" s="51"/>
      <c r="T440" s="12"/>
      <c r="U440" s="12"/>
      <c r="V440" s="12"/>
      <c r="W440" s="12"/>
      <c r="X440" s="14" t="e">
        <f t="array" ref="X440">IF(OR(AND(#REF!=""),AND(#REF!="-"),OR(NOT(ISERROR(SEARCH("-*",H440:L440))))),0,1)</f>
        <v>#REF!</v>
      </c>
      <c r="Y440" s="12"/>
      <c r="Z440" s="14">
        <f t="array" ref="Z440">IF(AND(E440:G440="-"),0,IF(OR(NOT(ISERROR(SEARCH("+*",H440:L440)))),2,IF(OR(NOT(ISERROR(SEARCH("--*",E440:L440)))),-1,IF(OR(NOT(E440:G440="")),1,0))))</f>
        <v>1</v>
      </c>
      <c r="AA440" s="14">
        <v>844</v>
      </c>
      <c r="AB440" s="12"/>
    </row>
    <row r="441" spans="1:28" ht="38.25">
      <c r="A441" s="41">
        <v>747</v>
      </c>
      <c r="B441" s="66" t="s">
        <v>1814</v>
      </c>
      <c r="C441" s="66" t="s">
        <v>1815</v>
      </c>
      <c r="D441" s="66" t="s">
        <v>1816</v>
      </c>
      <c r="E441" s="43" t="s">
        <v>42</v>
      </c>
      <c r="F441" s="57" t="s">
        <v>42</v>
      </c>
      <c r="G441" s="53" t="s">
        <v>42</v>
      </c>
      <c r="H441" s="46"/>
      <c r="I441" s="58" t="s">
        <v>111</v>
      </c>
      <c r="J441" s="48"/>
      <c r="K441" s="49"/>
      <c r="L441" s="46"/>
      <c r="M441" s="56" t="s">
        <v>43</v>
      </c>
      <c r="N441" s="54" t="s">
        <v>1817</v>
      </c>
      <c r="O441" s="56">
        <v>2</v>
      </c>
      <c r="P441" s="50" t="e">
        <v>#REF!</v>
      </c>
      <c r="Q441" s="62"/>
      <c r="R441" s="51"/>
      <c r="S441" s="51"/>
      <c r="T441" s="12"/>
      <c r="U441" s="12"/>
      <c r="V441" s="12"/>
      <c r="W441" s="12"/>
      <c r="X441" s="14" t="e">
        <f t="array" ref="X441">IF(OR(AND(#REF!=""),AND(#REF!="-"),OR(NOT(ISERROR(SEARCH("-*",H441:L441))))),0,1)</f>
        <v>#REF!</v>
      </c>
      <c r="Y441" s="12"/>
      <c r="Z441" s="14">
        <f t="array" ref="Z441">IF(AND(E441:G441="-"),0,IF(OR(NOT(ISERROR(SEARCH("+*",H441:L441)))),2,IF(OR(NOT(ISERROR(SEARCH("--*",E441:L441)))),-1,IF(OR(NOT(E441:G441="")),1,0))))</f>
        <v>2</v>
      </c>
      <c r="AA441" s="14">
        <v>845</v>
      </c>
      <c r="AB441" s="12"/>
    </row>
    <row r="442" spans="1:28" ht="51">
      <c r="A442" s="41">
        <v>749</v>
      </c>
      <c r="B442" s="66" t="s">
        <v>1818</v>
      </c>
      <c r="C442" s="66" t="s">
        <v>1819</v>
      </c>
      <c r="D442" s="66" t="s">
        <v>1820</v>
      </c>
      <c r="E442" s="43" t="s">
        <v>42</v>
      </c>
      <c r="F442" s="44" t="s">
        <v>42</v>
      </c>
      <c r="G442" s="53" t="s">
        <v>42</v>
      </c>
      <c r="H442" s="46"/>
      <c r="I442" s="47"/>
      <c r="J442" s="48"/>
      <c r="K442" s="49"/>
      <c r="L442" s="46"/>
      <c r="M442" s="56" t="s">
        <v>437</v>
      </c>
      <c r="N442" s="54" t="s">
        <v>1821</v>
      </c>
      <c r="O442" s="56">
        <v>2</v>
      </c>
      <c r="P442" s="50" t="e">
        <v>#REF!</v>
      </c>
      <c r="Q442" s="62" t="s">
        <v>62</v>
      </c>
      <c r="R442" s="51"/>
      <c r="S442" s="51"/>
      <c r="T442" s="12"/>
      <c r="U442" s="12"/>
      <c r="V442" s="12"/>
      <c r="W442" s="12"/>
      <c r="X442" s="14" t="e">
        <f t="array" ref="X442">IF(OR(AND(#REF!=""),AND(#REF!="-"),OR(NOT(ISERROR(SEARCH("-*",H442:L442))))),0,1)</f>
        <v>#REF!</v>
      </c>
      <c r="Y442" s="12"/>
      <c r="Z442" s="14">
        <f t="array" ref="Z442">IF(AND(E442:G442="-"),0,IF(OR(NOT(ISERROR(SEARCH("+*",H442:L442)))),2,IF(OR(NOT(ISERROR(SEARCH("--*",E442:L442)))),-1,IF(OR(NOT(E442:G442="")),1,0))))</f>
        <v>1</v>
      </c>
      <c r="AA442" s="14">
        <v>847</v>
      </c>
      <c r="AB442" s="12"/>
    </row>
    <row r="443" spans="1:28" ht="51">
      <c r="A443" s="41">
        <v>750</v>
      </c>
      <c r="B443" s="66" t="s">
        <v>1822</v>
      </c>
      <c r="C443" s="66" t="s">
        <v>1823</v>
      </c>
      <c r="D443" s="42" t="s">
        <v>1824</v>
      </c>
      <c r="E443" s="43" t="s">
        <v>42</v>
      </c>
      <c r="F443" s="44" t="s">
        <v>42</v>
      </c>
      <c r="G443" s="53" t="s">
        <v>42</v>
      </c>
      <c r="H443" s="46"/>
      <c r="I443" s="47"/>
      <c r="J443" s="48"/>
      <c r="K443" s="49"/>
      <c r="L443" s="46"/>
      <c r="M443" s="56" t="s">
        <v>56</v>
      </c>
      <c r="N443" s="54" t="s">
        <v>1825</v>
      </c>
      <c r="O443" s="56">
        <v>2</v>
      </c>
      <c r="P443" s="50" t="e">
        <v>#REF!</v>
      </c>
      <c r="Q443" s="62" t="s">
        <v>86</v>
      </c>
      <c r="R443" s="51"/>
      <c r="S443" s="51"/>
      <c r="T443" s="12"/>
      <c r="U443" s="12"/>
      <c r="V443" s="12"/>
      <c r="W443" s="12"/>
      <c r="X443" s="14" t="e">
        <f t="array" ref="X443">IF(OR(AND(#REF!=""),AND(#REF!="-"),OR(NOT(ISERROR(SEARCH("-*",H443:L443))))),0,1)</f>
        <v>#REF!</v>
      </c>
      <c r="Y443" s="12"/>
      <c r="Z443" s="14">
        <f t="array" ref="Z443">IF(AND(E443:G443="-"),0,IF(OR(NOT(ISERROR(SEARCH("+*",H443:L443)))),2,IF(OR(NOT(ISERROR(SEARCH("--*",E443:L443)))),-1,IF(OR(NOT(E443:G443="")),1,0))))</f>
        <v>1</v>
      </c>
      <c r="AA443" s="14">
        <v>848</v>
      </c>
      <c r="AB443" s="12"/>
    </row>
    <row r="444" spans="1:28" ht="38.25">
      <c r="A444" s="41">
        <v>753</v>
      </c>
      <c r="B444" s="66" t="s">
        <v>1826</v>
      </c>
      <c r="C444" s="66" t="s">
        <v>1827</v>
      </c>
      <c r="D444" s="66" t="s">
        <v>1828</v>
      </c>
      <c r="E444" s="43" t="s">
        <v>74</v>
      </c>
      <c r="F444" s="57" t="s">
        <v>74</v>
      </c>
      <c r="G444" s="53" t="s">
        <v>74</v>
      </c>
      <c r="H444" s="46"/>
      <c r="I444" s="47"/>
      <c r="J444" s="48"/>
      <c r="K444" s="49"/>
      <c r="L444" s="46"/>
      <c r="M444" s="69" t="s">
        <v>43</v>
      </c>
      <c r="N444" s="54" t="s">
        <v>1829</v>
      </c>
      <c r="O444" s="56">
        <v>2</v>
      </c>
      <c r="P444" s="50" t="e">
        <v>#REF!</v>
      </c>
      <c r="Q444" s="62"/>
      <c r="R444" s="51"/>
      <c r="S444" s="51"/>
      <c r="T444" s="12"/>
      <c r="U444" s="12"/>
      <c r="V444" s="12"/>
      <c r="W444" s="12"/>
      <c r="X444" s="14" t="e">
        <f t="array" ref="X444">IF(OR(AND(#REF!=""),AND(#REF!="-"),OR(NOT(ISERROR(SEARCH("-*",H444:L444))))),0,1)</f>
        <v>#REF!</v>
      </c>
      <c r="Y444" s="12"/>
      <c r="Z444" s="14">
        <f t="array" ref="Z444">IF(AND(E444:G444="-"),0,IF(OR(NOT(ISERROR(SEARCH("+*",H444:L444)))),2,IF(OR(NOT(ISERROR(SEARCH("--*",E444:L444)))),-1,IF(OR(NOT(E444:G444="")),1,0))))</f>
        <v>1</v>
      </c>
      <c r="AA444" s="14">
        <v>853</v>
      </c>
      <c r="AB444" s="12"/>
    </row>
    <row r="445" spans="1:28" ht="38.25">
      <c r="A445" s="41">
        <v>754</v>
      </c>
      <c r="B445" s="66" t="s">
        <v>1830</v>
      </c>
      <c r="C445" s="66" t="s">
        <v>1831</v>
      </c>
      <c r="D445" s="42" t="s">
        <v>1832</v>
      </c>
      <c r="E445" s="43" t="s">
        <v>74</v>
      </c>
      <c r="F445" s="57" t="s">
        <v>74</v>
      </c>
      <c r="G445" s="53" t="s">
        <v>74</v>
      </c>
      <c r="H445" s="46"/>
      <c r="I445" s="47"/>
      <c r="J445" s="48"/>
      <c r="K445" s="49"/>
      <c r="L445" s="46"/>
      <c r="M445" s="56" t="s">
        <v>437</v>
      </c>
      <c r="N445" s="54" t="s">
        <v>243</v>
      </c>
      <c r="O445" s="56">
        <v>0</v>
      </c>
      <c r="P445" s="50" t="e">
        <v>#REF!</v>
      </c>
      <c r="Q445" s="62"/>
      <c r="R445" s="51"/>
      <c r="S445" s="51"/>
      <c r="T445" s="12"/>
      <c r="U445" s="12"/>
      <c r="V445" s="12"/>
      <c r="W445" s="12"/>
      <c r="X445" s="14" t="e">
        <f t="array" ref="X445">IF(OR(AND(#REF!=""),AND(#REF!="-"),OR(NOT(ISERROR(SEARCH("-*",H445:L445))))),0,1)</f>
        <v>#REF!</v>
      </c>
      <c r="Y445" s="12"/>
      <c r="Z445" s="14">
        <f t="array" ref="Z445">IF(AND(E445:G445="-"),0,IF(OR(NOT(ISERROR(SEARCH("+*",H445:L445)))),2,IF(OR(NOT(ISERROR(SEARCH("--*",E445:L445)))),-1,IF(OR(NOT(E445:G445="")),1,0))))</f>
        <v>1</v>
      </c>
      <c r="AA445" s="14">
        <v>854</v>
      </c>
      <c r="AB445" s="12"/>
    </row>
    <row r="446" spans="1:28" ht="127.5">
      <c r="A446" s="41">
        <v>755</v>
      </c>
      <c r="B446" s="66" t="s">
        <v>1833</v>
      </c>
      <c r="C446" s="66" t="s">
        <v>1834</v>
      </c>
      <c r="D446" s="66" t="s">
        <v>1835</v>
      </c>
      <c r="E446" s="43" t="s">
        <v>74</v>
      </c>
      <c r="F446" s="57" t="s">
        <v>74</v>
      </c>
      <c r="G446" s="53" t="s">
        <v>74</v>
      </c>
      <c r="H446" s="46"/>
      <c r="I446" s="47"/>
      <c r="J446" s="48"/>
      <c r="K446" s="49"/>
      <c r="L446" s="46"/>
      <c r="M446" s="56" t="s">
        <v>437</v>
      </c>
      <c r="N446" s="54" t="s">
        <v>1836</v>
      </c>
      <c r="O446" s="56">
        <v>2</v>
      </c>
      <c r="P446" s="50" t="e">
        <v>#REF!</v>
      </c>
      <c r="Q446" s="62" t="s">
        <v>44</v>
      </c>
      <c r="R446" s="51" t="s">
        <v>51</v>
      </c>
      <c r="S446" s="51" t="s">
        <v>1837</v>
      </c>
      <c r="T446" s="12"/>
      <c r="U446" s="12"/>
      <c r="V446" s="12"/>
      <c r="W446" s="12"/>
      <c r="X446" s="14" t="e">
        <f t="array" ref="X446">IF(OR(AND(#REF!=""),AND(#REF!="-"),OR(NOT(ISERROR(SEARCH("-*",H446:L446))))),0,1)</f>
        <v>#REF!</v>
      </c>
      <c r="Y446" s="12"/>
      <c r="Z446" s="14">
        <f t="array" ref="Z446">IF(AND(E446:G446="-"),0,IF(OR(NOT(ISERROR(SEARCH("+*",H446:L446)))),2,IF(OR(NOT(ISERROR(SEARCH("--*",E446:L446)))),-1,IF(OR(NOT(E446:G446="")),1,0))))</f>
        <v>1</v>
      </c>
      <c r="AA446" s="14">
        <v>855</v>
      </c>
      <c r="AB446" s="12"/>
    </row>
    <row r="447" spans="1:28" ht="114.75">
      <c r="A447" s="41">
        <v>757</v>
      </c>
      <c r="B447" s="66" t="s">
        <v>1838</v>
      </c>
      <c r="C447" s="66" t="s">
        <v>1839</v>
      </c>
      <c r="D447" s="66" t="s">
        <v>1840</v>
      </c>
      <c r="E447" s="43" t="s">
        <v>74</v>
      </c>
      <c r="F447" s="57" t="s">
        <v>74</v>
      </c>
      <c r="G447" s="53" t="s">
        <v>74</v>
      </c>
      <c r="H447" s="46"/>
      <c r="I447" s="58" t="s">
        <v>111</v>
      </c>
      <c r="J447" s="48"/>
      <c r="K447" s="59" t="s">
        <v>111</v>
      </c>
      <c r="L447" s="46"/>
      <c r="M447" s="56" t="s">
        <v>84</v>
      </c>
      <c r="N447" s="54" t="s">
        <v>1841</v>
      </c>
      <c r="O447" s="56">
        <v>0</v>
      </c>
      <c r="P447" s="50" t="e">
        <v>#REF!</v>
      </c>
      <c r="Q447" s="62" t="s">
        <v>86</v>
      </c>
      <c r="R447" s="51" t="s">
        <v>43</v>
      </c>
      <c r="S447" s="51" t="s">
        <v>1842</v>
      </c>
      <c r="T447" s="12"/>
      <c r="U447" s="12"/>
      <c r="V447" s="12"/>
      <c r="W447" s="12"/>
      <c r="X447" s="14" t="e">
        <f t="array" ref="X447">IF(OR(AND(#REF!=""),AND(#REF!="-"),OR(NOT(ISERROR(SEARCH("-*",H447:L447))))),0,1)</f>
        <v>#REF!</v>
      </c>
      <c r="Y447" s="12"/>
      <c r="Z447" s="14">
        <f t="array" ref="Z447">IF(AND(E447:G447="-"),0,IF(OR(NOT(ISERROR(SEARCH("+*",H447:L447)))),2,IF(OR(NOT(ISERROR(SEARCH("--*",E447:L447)))),-1,IF(OR(NOT(E447:G447="")),1,0))))</f>
        <v>2</v>
      </c>
      <c r="AA447" s="14">
        <v>857</v>
      </c>
      <c r="AB447" s="12"/>
    </row>
    <row r="448" spans="1:28" ht="38.25">
      <c r="A448" s="41">
        <v>758</v>
      </c>
      <c r="B448" s="66" t="s">
        <v>1843</v>
      </c>
      <c r="C448" s="66" t="s">
        <v>1844</v>
      </c>
      <c r="D448" s="66" t="s">
        <v>1845</v>
      </c>
      <c r="E448" s="43" t="s">
        <v>74</v>
      </c>
      <c r="F448" s="57" t="s">
        <v>74</v>
      </c>
      <c r="G448" s="53" t="s">
        <v>74</v>
      </c>
      <c r="H448" s="46"/>
      <c r="I448" s="47"/>
      <c r="J448" s="48"/>
      <c r="K448" s="49"/>
      <c r="L448" s="46"/>
      <c r="M448" s="56" t="s">
        <v>84</v>
      </c>
      <c r="N448" s="54" t="s">
        <v>1841</v>
      </c>
      <c r="O448" s="56">
        <v>0</v>
      </c>
      <c r="P448" s="50" t="e">
        <v>#REF!</v>
      </c>
      <c r="Q448" s="62"/>
      <c r="R448" s="51"/>
      <c r="S448" s="51"/>
      <c r="T448" s="12"/>
      <c r="U448" s="12"/>
      <c r="V448" s="12"/>
      <c r="W448" s="12"/>
      <c r="X448" s="14" t="e">
        <f t="array" ref="X448">IF(OR(AND(#REF!=""),AND(#REF!="-"),OR(NOT(ISERROR(SEARCH("-*",H448:L448))))),0,1)</f>
        <v>#REF!</v>
      </c>
      <c r="Y448" s="12"/>
      <c r="Z448" s="14">
        <f t="array" ref="Z448">IF(AND(E448:G448="-"),0,IF(OR(NOT(ISERROR(SEARCH("+*",H448:L448)))),2,IF(OR(NOT(ISERROR(SEARCH("--*",E448:L448)))),-1,IF(OR(NOT(E448:G448="")),1,0))))</f>
        <v>1</v>
      </c>
      <c r="AA448" s="14">
        <v>858</v>
      </c>
      <c r="AB448" s="12"/>
    </row>
    <row r="449" spans="1:28" ht="38.25">
      <c r="A449" s="41">
        <v>759</v>
      </c>
      <c r="B449" s="66" t="s">
        <v>1846</v>
      </c>
      <c r="C449" s="66" t="s">
        <v>1847</v>
      </c>
      <c r="D449" s="66" t="s">
        <v>1848</v>
      </c>
      <c r="E449" s="43" t="s">
        <v>74</v>
      </c>
      <c r="F449" s="57" t="s">
        <v>74</v>
      </c>
      <c r="G449" s="53" t="s">
        <v>74</v>
      </c>
      <c r="H449" s="46"/>
      <c r="I449" s="47"/>
      <c r="J449" s="48"/>
      <c r="K449" s="49"/>
      <c r="L449" s="46"/>
      <c r="M449" s="56" t="s">
        <v>43</v>
      </c>
      <c r="N449" s="54" t="s">
        <v>1849</v>
      </c>
      <c r="O449" s="56">
        <v>2</v>
      </c>
      <c r="P449" s="50" t="e">
        <v>#REF!</v>
      </c>
      <c r="Q449" s="62"/>
      <c r="R449" s="51"/>
      <c r="S449" s="51"/>
      <c r="T449" s="12"/>
      <c r="U449" s="12"/>
      <c r="V449" s="12"/>
      <c r="W449" s="12"/>
      <c r="X449" s="14" t="e">
        <f t="array" ref="X449">IF(OR(AND(#REF!=""),AND(#REF!="-"),OR(NOT(ISERROR(SEARCH("-*",H449:L449))))),0,1)</f>
        <v>#REF!</v>
      </c>
      <c r="Y449" s="12"/>
      <c r="Z449" s="14">
        <f t="array" ref="Z449">IF(AND(E449:G449="-"),0,IF(OR(NOT(ISERROR(SEARCH("+*",H449:L449)))),2,IF(OR(NOT(ISERROR(SEARCH("--*",E449:L449)))),-1,IF(OR(NOT(E449:G449="")),1,0))))</f>
        <v>1</v>
      </c>
      <c r="AA449" s="14">
        <v>859</v>
      </c>
      <c r="AB449" s="12"/>
    </row>
    <row r="450" spans="1:28" ht="318.75">
      <c r="A450" s="41">
        <v>762</v>
      </c>
      <c r="B450" s="66" t="s">
        <v>1850</v>
      </c>
      <c r="C450" s="66" t="s">
        <v>1851</v>
      </c>
      <c r="D450" s="42" t="s">
        <v>1852</v>
      </c>
      <c r="E450" s="43" t="s">
        <v>74</v>
      </c>
      <c r="F450" s="57" t="s">
        <v>74</v>
      </c>
      <c r="G450" s="53" t="s">
        <v>74</v>
      </c>
      <c r="H450" s="46"/>
      <c r="I450" s="58" t="s">
        <v>111</v>
      </c>
      <c r="J450" s="48"/>
      <c r="K450" s="59" t="s">
        <v>111</v>
      </c>
      <c r="L450" s="46"/>
      <c r="M450" s="56" t="s">
        <v>43</v>
      </c>
      <c r="N450" s="54" t="s">
        <v>1853</v>
      </c>
      <c r="O450" s="56">
        <v>2</v>
      </c>
      <c r="P450" s="50" t="e">
        <v>#REF!</v>
      </c>
      <c r="Q450" s="62"/>
      <c r="R450" s="51" t="s">
        <v>43</v>
      </c>
      <c r="S450" s="51" t="s">
        <v>1854</v>
      </c>
      <c r="T450" s="12"/>
      <c r="U450" s="12"/>
      <c r="V450" s="12"/>
      <c r="W450" s="12"/>
      <c r="X450" s="14" t="e">
        <f t="array" ref="X450">IF(OR(AND(#REF!=""),AND(#REF!="-"),OR(NOT(ISERROR(SEARCH("-*",H450:L450))))),0,1)</f>
        <v>#REF!</v>
      </c>
      <c r="Y450" s="12"/>
      <c r="Z450" s="14">
        <f t="array" ref="Z450">IF(AND(E450:G450="-"),0,IF(OR(NOT(ISERROR(SEARCH("+*",H450:L450)))),2,IF(OR(NOT(ISERROR(SEARCH("--*",E450:L450)))),-1,IF(OR(NOT(E450:G450="")),1,0))))</f>
        <v>2</v>
      </c>
      <c r="AA450" s="14">
        <v>862</v>
      </c>
      <c r="AB450" s="12"/>
    </row>
    <row r="451" spans="1:28" ht="25.5">
      <c r="A451" s="41">
        <v>763</v>
      </c>
      <c r="B451" s="66" t="s">
        <v>1855</v>
      </c>
      <c r="C451" s="66" t="s">
        <v>1856</v>
      </c>
      <c r="D451" s="42" t="s">
        <v>1857</v>
      </c>
      <c r="E451" s="43" t="s">
        <v>74</v>
      </c>
      <c r="F451" s="57" t="s">
        <v>74</v>
      </c>
      <c r="G451" s="53" t="s">
        <v>74</v>
      </c>
      <c r="H451" s="46"/>
      <c r="I451" s="47"/>
      <c r="J451" s="48"/>
      <c r="K451" s="49"/>
      <c r="L451" s="46"/>
      <c r="M451" s="56" t="s">
        <v>43</v>
      </c>
      <c r="N451" s="54" t="s">
        <v>1858</v>
      </c>
      <c r="O451" s="56">
        <v>2</v>
      </c>
      <c r="P451" s="50" t="e">
        <v>#REF!</v>
      </c>
      <c r="Q451" s="62" t="s">
        <v>86</v>
      </c>
      <c r="R451" s="51"/>
      <c r="S451" s="51"/>
      <c r="T451" s="12"/>
      <c r="U451" s="12"/>
      <c r="V451" s="12"/>
      <c r="W451" s="12"/>
      <c r="X451" s="14" t="e">
        <f t="array" ref="X451">IF(OR(AND(#REF!=""),AND(#REF!="-"),OR(NOT(ISERROR(SEARCH("-*",H451:L451))))),0,1)</f>
        <v>#REF!</v>
      </c>
      <c r="Y451" s="12"/>
      <c r="Z451" s="14">
        <f t="array" ref="Z451">IF(AND(E451:G451="-"),0,IF(OR(NOT(ISERROR(SEARCH("+*",H451:L451)))),2,IF(OR(NOT(ISERROR(SEARCH("--*",E451:L451)))),-1,IF(OR(NOT(E451:G451="")),1,0))))</f>
        <v>1</v>
      </c>
      <c r="AA451" s="14">
        <v>863</v>
      </c>
      <c r="AB451" s="12"/>
    </row>
    <row r="452" spans="1:28" ht="38.25">
      <c r="A452" s="41">
        <v>764</v>
      </c>
      <c r="B452" s="66" t="s">
        <v>1859</v>
      </c>
      <c r="C452" s="66" t="s">
        <v>1860</v>
      </c>
      <c r="D452" s="42" t="s">
        <v>1861</v>
      </c>
      <c r="E452" s="43"/>
      <c r="F452" s="57"/>
      <c r="G452" s="53"/>
      <c r="H452" s="46"/>
      <c r="I452" s="58" t="s">
        <v>111</v>
      </c>
      <c r="J452" s="48"/>
      <c r="K452" s="59" t="s">
        <v>111</v>
      </c>
      <c r="L452" s="46"/>
      <c r="M452" s="56" t="s">
        <v>43</v>
      </c>
      <c r="N452" s="54" t="s">
        <v>1862</v>
      </c>
      <c r="O452" s="56">
        <v>2</v>
      </c>
      <c r="P452" s="50" t="e">
        <v>#REF!</v>
      </c>
      <c r="Q452" s="62" t="s">
        <v>86</v>
      </c>
      <c r="R452" s="51"/>
      <c r="S452" s="51"/>
      <c r="T452" s="12"/>
      <c r="U452" s="12"/>
      <c r="V452" s="12"/>
      <c r="W452" s="12"/>
      <c r="X452" s="14" t="e">
        <f t="array" ref="X452">IF(OR(AND(#REF!=""),AND(#REF!="-"),OR(NOT(ISERROR(SEARCH("-*",H452:L452))))),0,1)</f>
        <v>#REF!</v>
      </c>
      <c r="Y452" s="12"/>
      <c r="Z452" s="14">
        <f t="array" ref="Z452">IF(AND(E452:G452="-"),0,IF(OR(NOT(ISERROR(SEARCH("+*",H452:L452)))),2,IF(OR(NOT(ISERROR(SEARCH("--*",E452:L452)))),-1,IF(OR(NOT(E452:G452="")),1,0))))</f>
        <v>2</v>
      </c>
      <c r="AA452" s="14">
        <v>864</v>
      </c>
      <c r="AB452" s="12"/>
    </row>
    <row r="453" spans="1:28" ht="38.25">
      <c r="A453" s="41">
        <v>765</v>
      </c>
      <c r="B453" s="66" t="s">
        <v>1863</v>
      </c>
      <c r="C453" s="66" t="s">
        <v>1864</v>
      </c>
      <c r="D453" s="42" t="s">
        <v>1865</v>
      </c>
      <c r="E453" s="43" t="s">
        <v>74</v>
      </c>
      <c r="F453" s="57" t="s">
        <v>74</v>
      </c>
      <c r="G453" s="53" t="s">
        <v>74</v>
      </c>
      <c r="H453" s="46"/>
      <c r="I453" s="47"/>
      <c r="J453" s="48"/>
      <c r="K453" s="49"/>
      <c r="L453" s="46"/>
      <c r="M453" s="56" t="s">
        <v>437</v>
      </c>
      <c r="N453" s="54" t="s">
        <v>243</v>
      </c>
      <c r="O453" s="56">
        <v>0</v>
      </c>
      <c r="P453" s="50" t="e">
        <v>#REF!</v>
      </c>
      <c r="Q453" s="62"/>
      <c r="R453" s="51"/>
      <c r="S453" s="51"/>
      <c r="T453" s="12"/>
      <c r="U453" s="12"/>
      <c r="V453" s="12"/>
      <c r="W453" s="12"/>
      <c r="X453" s="14" t="e">
        <f t="array" ref="X453">IF(OR(AND(#REF!=""),AND(#REF!="-"),OR(NOT(ISERROR(SEARCH("-*",H453:L453))))),0,1)</f>
        <v>#REF!</v>
      </c>
      <c r="Y453" s="12"/>
      <c r="Z453" s="14">
        <f t="array" ref="Z453">IF(AND(E453:G453="-"),0,IF(OR(NOT(ISERROR(SEARCH("+*",H453:L453)))),2,IF(OR(NOT(ISERROR(SEARCH("--*",E453:L453)))),-1,IF(OR(NOT(E453:G453="")),1,0))))</f>
        <v>1</v>
      </c>
      <c r="AA453" s="14">
        <v>865</v>
      </c>
      <c r="AB453" s="12"/>
    </row>
    <row r="454" spans="1:28" ht="38.25">
      <c r="A454" s="41">
        <v>766</v>
      </c>
      <c r="B454" s="66" t="s">
        <v>1866</v>
      </c>
      <c r="C454" s="66" t="s">
        <v>1867</v>
      </c>
      <c r="D454" s="42" t="s">
        <v>1868</v>
      </c>
      <c r="E454" s="43" t="s">
        <v>74</v>
      </c>
      <c r="F454" s="57" t="s">
        <v>74</v>
      </c>
      <c r="G454" s="53" t="s">
        <v>74</v>
      </c>
      <c r="H454" s="46"/>
      <c r="I454" s="47"/>
      <c r="J454" s="48"/>
      <c r="K454" s="49"/>
      <c r="L454" s="46"/>
      <c r="M454" s="56" t="s">
        <v>43</v>
      </c>
      <c r="N454" s="54" t="s">
        <v>1869</v>
      </c>
      <c r="O454" s="56">
        <v>2</v>
      </c>
      <c r="P454" s="50" t="e">
        <v>#REF!</v>
      </c>
      <c r="Q454" s="62" t="s">
        <v>86</v>
      </c>
      <c r="R454" s="51"/>
      <c r="S454" s="51"/>
      <c r="T454" s="12"/>
      <c r="U454" s="12"/>
      <c r="V454" s="12"/>
      <c r="W454" s="12"/>
      <c r="X454" s="14" t="e">
        <f t="array" ref="X454">IF(OR(AND(#REF!=""),AND(#REF!="-"),OR(NOT(ISERROR(SEARCH("-*",H454:L454))))),0,1)</f>
        <v>#REF!</v>
      </c>
      <c r="Y454" s="12"/>
      <c r="Z454" s="14">
        <f t="array" ref="Z454">IF(AND(E454:G454="-"),0,IF(OR(NOT(ISERROR(SEARCH("+*",H454:L454)))),2,IF(OR(NOT(ISERROR(SEARCH("--*",E454:L454)))),-1,IF(OR(NOT(E454:G454="")),1,0))))</f>
        <v>1</v>
      </c>
      <c r="AA454" s="14">
        <v>866</v>
      </c>
      <c r="AB454" s="12"/>
    </row>
    <row r="455" spans="1:28" ht="255">
      <c r="A455" s="41">
        <v>768</v>
      </c>
      <c r="B455" s="66" t="s">
        <v>1870</v>
      </c>
      <c r="C455" s="66" t="s">
        <v>1871</v>
      </c>
      <c r="D455" s="66" t="s">
        <v>1872</v>
      </c>
      <c r="E455" s="43"/>
      <c r="F455" s="57" t="s">
        <v>42</v>
      </c>
      <c r="G455" s="53"/>
      <c r="H455" s="46"/>
      <c r="I455" s="47"/>
      <c r="J455" s="48"/>
      <c r="K455" s="49"/>
      <c r="L455" s="46"/>
      <c r="M455" s="56" t="s">
        <v>43</v>
      </c>
      <c r="N455" s="76" t="s">
        <v>1873</v>
      </c>
      <c r="O455" s="56">
        <v>1</v>
      </c>
      <c r="P455" s="50" t="e">
        <v>#REF!</v>
      </c>
      <c r="Q455" s="62" t="s">
        <v>44</v>
      </c>
      <c r="R455" s="51" t="s">
        <v>43</v>
      </c>
      <c r="S455" s="51" t="s">
        <v>1874</v>
      </c>
      <c r="T455" s="12"/>
      <c r="U455" s="12"/>
      <c r="V455" s="12"/>
      <c r="W455" s="12"/>
      <c r="X455" s="14" t="e">
        <f t="array" ref="X455">IF(OR(AND(#REF!=""),AND(#REF!="-"),OR(NOT(ISERROR(SEARCH("-*",H455:L455))))),0,1)</f>
        <v>#REF!</v>
      </c>
      <c r="Y455" s="12"/>
      <c r="Z455" s="14">
        <f t="array" ref="Z455">IF(AND(E455:G455="-"),0,IF(OR(NOT(ISERROR(SEARCH("+*",H455:L455)))),2,IF(OR(NOT(ISERROR(SEARCH("--*",E455:L455)))),-1,IF(OR(NOT(E455:G455="")),1,0))))</f>
        <v>1</v>
      </c>
      <c r="AA455" s="14">
        <v>868</v>
      </c>
      <c r="AB455" s="12"/>
    </row>
    <row r="456" spans="1:28" ht="25.5">
      <c r="A456" s="41">
        <v>773</v>
      </c>
      <c r="B456" s="66" t="s">
        <v>1875</v>
      </c>
      <c r="C456" s="66" t="s">
        <v>1876</v>
      </c>
      <c r="D456" s="42" t="s">
        <v>1877</v>
      </c>
      <c r="E456" s="43"/>
      <c r="F456" s="57" t="s">
        <v>42</v>
      </c>
      <c r="G456" s="53"/>
      <c r="H456" s="46"/>
      <c r="I456" s="58" t="s">
        <v>111</v>
      </c>
      <c r="J456" s="48"/>
      <c r="K456" s="49"/>
      <c r="L456" s="46"/>
      <c r="M456" s="56" t="s">
        <v>56</v>
      </c>
      <c r="N456" s="54" t="s">
        <v>1878</v>
      </c>
      <c r="O456" s="56">
        <v>2</v>
      </c>
      <c r="P456" s="50" t="e">
        <v>#REF!</v>
      </c>
      <c r="Q456" s="62" t="s">
        <v>86</v>
      </c>
      <c r="R456" s="51"/>
      <c r="S456" s="51"/>
      <c r="T456" s="12"/>
      <c r="U456" s="12"/>
      <c r="V456" s="12"/>
      <c r="W456" s="12"/>
      <c r="X456" s="14" t="e">
        <f t="array" ref="X456">IF(OR(AND(#REF!=""),AND(#REF!="-"),OR(NOT(ISERROR(SEARCH("-*",H456:L456))))),0,1)</f>
        <v>#REF!</v>
      </c>
      <c r="Y456" s="12"/>
      <c r="Z456" s="14">
        <f t="array" ref="Z456">IF(AND(E456:G456="-"),0,IF(OR(NOT(ISERROR(SEARCH("+*",H456:L456)))),2,IF(OR(NOT(ISERROR(SEARCH("--*",E456:L456)))),-1,IF(OR(NOT(E456:G456="")),1,0))))</f>
        <v>2</v>
      </c>
      <c r="AA456" s="14">
        <v>874</v>
      </c>
      <c r="AB456" s="12"/>
    </row>
    <row r="457" spans="1:28" ht="114.75">
      <c r="A457" s="41">
        <v>774</v>
      </c>
      <c r="B457" s="66" t="s">
        <v>1879</v>
      </c>
      <c r="C457" s="66" t="s">
        <v>1880</v>
      </c>
      <c r="D457" s="42" t="s">
        <v>1881</v>
      </c>
      <c r="E457" s="43"/>
      <c r="F457" s="57" t="s">
        <v>42</v>
      </c>
      <c r="G457" s="53"/>
      <c r="H457" s="46"/>
      <c r="I457" s="58" t="s">
        <v>111</v>
      </c>
      <c r="J457" s="48"/>
      <c r="K457" s="49"/>
      <c r="L457" s="46"/>
      <c r="M457" s="56" t="s">
        <v>56</v>
      </c>
      <c r="N457" s="54" t="s">
        <v>1882</v>
      </c>
      <c r="O457" s="56">
        <v>2</v>
      </c>
      <c r="P457" s="50" t="e">
        <v>#REF!</v>
      </c>
      <c r="Q457" s="62"/>
      <c r="R457" s="51"/>
      <c r="S457" s="51"/>
      <c r="T457" s="12"/>
      <c r="U457" s="12"/>
      <c r="V457" s="12"/>
      <c r="W457" s="12"/>
      <c r="X457" s="14" t="e">
        <f t="array" ref="X457">IF(OR(AND(#REF!=""),AND(#REF!="-"),OR(NOT(ISERROR(SEARCH("-*",H457:L457))))),0,1)</f>
        <v>#REF!</v>
      </c>
      <c r="Y457" s="12"/>
      <c r="Z457" s="14">
        <f t="array" ref="Z457">IF(AND(E457:G457="-"),0,IF(OR(NOT(ISERROR(SEARCH("+*",H457:L457)))),2,IF(OR(NOT(ISERROR(SEARCH("--*",E457:L457)))),-1,IF(OR(NOT(E457:G457="")),1,0))))</f>
        <v>2</v>
      </c>
      <c r="AA457" s="14">
        <v>875</v>
      </c>
      <c r="AB457" s="12"/>
    </row>
    <row r="458" spans="1:28" ht="38.25">
      <c r="A458" s="41">
        <v>775</v>
      </c>
      <c r="B458" s="66" t="s">
        <v>1883</v>
      </c>
      <c r="C458" s="66" t="s">
        <v>1884</v>
      </c>
      <c r="D458" s="42" t="s">
        <v>1885</v>
      </c>
      <c r="E458" s="43"/>
      <c r="F458" s="57"/>
      <c r="G458" s="53"/>
      <c r="H458" s="46"/>
      <c r="I458" s="58" t="s">
        <v>111</v>
      </c>
      <c r="J458" s="48"/>
      <c r="K458" s="49"/>
      <c r="L458" s="46"/>
      <c r="M458" s="56" t="s">
        <v>56</v>
      </c>
      <c r="N458" s="54" t="s">
        <v>1886</v>
      </c>
      <c r="O458" s="56">
        <v>2</v>
      </c>
      <c r="P458" s="50" t="e">
        <v>#REF!</v>
      </c>
      <c r="Q458" s="62"/>
      <c r="R458" s="51"/>
      <c r="S458" s="51"/>
      <c r="T458" s="12"/>
      <c r="U458" s="12"/>
      <c r="V458" s="12"/>
      <c r="W458" s="12"/>
      <c r="X458" s="14" t="e">
        <f t="array" ref="X458">IF(OR(AND(#REF!=""),AND(#REF!="-"),OR(NOT(ISERROR(SEARCH("-*",H458:L458))))),0,1)</f>
        <v>#REF!</v>
      </c>
      <c r="Y458" s="12"/>
      <c r="Z458" s="14">
        <f t="array" ref="Z458">IF(AND(E458:G458="-"),0,IF(OR(NOT(ISERROR(SEARCH("+*",H458:L458)))),2,IF(OR(NOT(ISERROR(SEARCH("--*",E458:L458)))),-1,IF(OR(NOT(E458:G458="")),1,0))))</f>
        <v>2</v>
      </c>
      <c r="AA458" s="14">
        <v>876</v>
      </c>
      <c r="AB458" s="12"/>
    </row>
    <row r="459" spans="1:28" ht="165.75">
      <c r="A459" s="41">
        <v>779</v>
      </c>
      <c r="B459" s="66" t="s">
        <v>1887</v>
      </c>
      <c r="C459" s="66" t="s">
        <v>1888</v>
      </c>
      <c r="D459" s="42" t="s">
        <v>1889</v>
      </c>
      <c r="E459" s="43"/>
      <c r="F459" s="57" t="s">
        <v>42</v>
      </c>
      <c r="G459" s="53"/>
      <c r="H459" s="46"/>
      <c r="I459" s="47"/>
      <c r="J459" s="48"/>
      <c r="K459" s="49"/>
      <c r="L459" s="46"/>
      <c r="M459" s="56" t="s">
        <v>56</v>
      </c>
      <c r="N459" s="54" t="s">
        <v>1890</v>
      </c>
      <c r="O459" s="56">
        <v>2</v>
      </c>
      <c r="P459" s="50" t="e">
        <v>#REF!</v>
      </c>
      <c r="Q459" s="62"/>
      <c r="R459" s="51" t="s">
        <v>51</v>
      </c>
      <c r="S459" s="51" t="s">
        <v>1891</v>
      </c>
      <c r="T459" s="12"/>
      <c r="U459" s="12"/>
      <c r="V459" s="12"/>
      <c r="W459" s="12"/>
      <c r="X459" s="14" t="e">
        <f t="array" ref="X459">IF(OR(AND(#REF!=""),AND(#REF!="-"),OR(NOT(ISERROR(SEARCH("-*",H459:L459))))),0,1)</f>
        <v>#REF!</v>
      </c>
      <c r="Y459" s="12"/>
      <c r="Z459" s="14">
        <f t="array" ref="Z459">IF(AND(E459:G459="-"),0,IF(OR(NOT(ISERROR(SEARCH("+*",H459:L459)))),2,IF(OR(NOT(ISERROR(SEARCH("--*",E459:L459)))),-1,IF(OR(NOT(E459:G459="")),1,0))))</f>
        <v>1</v>
      </c>
      <c r="AA459" s="14">
        <v>881</v>
      </c>
      <c r="AB459" s="12"/>
    </row>
    <row r="460" spans="1:28" ht="38.25">
      <c r="A460" s="41">
        <v>780</v>
      </c>
      <c r="B460" s="66" t="s">
        <v>1892</v>
      </c>
      <c r="C460" s="66" t="s">
        <v>1893</v>
      </c>
      <c r="D460" s="42" t="s">
        <v>1894</v>
      </c>
      <c r="E460" s="43"/>
      <c r="F460" s="57" t="s">
        <v>74</v>
      </c>
      <c r="G460" s="53"/>
      <c r="H460" s="46"/>
      <c r="I460" s="47"/>
      <c r="J460" s="48"/>
      <c r="K460" s="49"/>
      <c r="L460" s="46"/>
      <c r="M460" s="56" t="s">
        <v>56</v>
      </c>
      <c r="N460" s="75" t="s">
        <v>1895</v>
      </c>
      <c r="O460" s="56">
        <v>2</v>
      </c>
      <c r="P460" s="50" t="e">
        <v>#REF!</v>
      </c>
      <c r="Q460" s="62"/>
      <c r="R460" s="51"/>
      <c r="S460" s="51"/>
      <c r="T460" s="12"/>
      <c r="U460" s="12"/>
      <c r="V460" s="12"/>
      <c r="W460" s="12"/>
      <c r="X460" s="14" t="e">
        <f t="array" ref="X460">IF(OR(AND(#REF!=""),AND(#REF!="-"),OR(NOT(ISERROR(SEARCH("-*",H460:L460))))),0,1)</f>
        <v>#REF!</v>
      </c>
      <c r="Y460" s="12"/>
      <c r="Z460" s="14">
        <f t="array" ref="Z460">IF(AND(E460:G460="-"),0,IF(OR(NOT(ISERROR(SEARCH("+*",H460:L460)))),2,IF(OR(NOT(ISERROR(SEARCH("--*",E460:L460)))),-1,IF(OR(NOT(E460:G460="")),1,0))))</f>
        <v>1</v>
      </c>
      <c r="AA460" s="14">
        <v>882</v>
      </c>
      <c r="AB460" s="12"/>
    </row>
    <row r="461" spans="1:28" ht="76.5">
      <c r="A461" s="41">
        <v>786</v>
      </c>
      <c r="B461" s="66" t="s">
        <v>1896</v>
      </c>
      <c r="C461" s="66" t="s">
        <v>1897</v>
      </c>
      <c r="D461" s="66" t="s">
        <v>1898</v>
      </c>
      <c r="E461" s="43"/>
      <c r="F461" s="57" t="s">
        <v>74</v>
      </c>
      <c r="G461" s="53"/>
      <c r="H461" s="46"/>
      <c r="I461" s="47"/>
      <c r="J461" s="48"/>
      <c r="K461" s="49"/>
      <c r="L461" s="46"/>
      <c r="M461" s="56" t="s">
        <v>56</v>
      </c>
      <c r="N461" s="54"/>
      <c r="O461" s="56">
        <v>2</v>
      </c>
      <c r="P461" s="50" t="e">
        <v>#REF!</v>
      </c>
      <c r="Q461" s="62" t="s">
        <v>86</v>
      </c>
      <c r="R461" s="51"/>
      <c r="S461" s="51"/>
      <c r="T461" s="12"/>
      <c r="U461" s="12"/>
      <c r="V461" s="12"/>
      <c r="W461" s="12"/>
      <c r="X461" s="14" t="e">
        <f t="array" ref="X461">IF(OR(AND(#REF!=""),AND(#REF!="-"),OR(NOT(ISERROR(SEARCH("-*",H461:L461))))),0,1)</f>
        <v>#REF!</v>
      </c>
      <c r="Y461" s="12"/>
      <c r="Z461" s="14">
        <f t="array" ref="Z461">IF(AND(E461:G461="-"),0,IF(OR(NOT(ISERROR(SEARCH("+*",H461:L461)))),2,IF(OR(NOT(ISERROR(SEARCH("--*",E461:L461)))),-1,IF(OR(NOT(E461:G461="")),1,0))))</f>
        <v>1</v>
      </c>
      <c r="AA461" s="14">
        <v>888</v>
      </c>
      <c r="AB461" s="12"/>
    </row>
    <row r="462" spans="1:28" ht="76.5">
      <c r="A462" s="41">
        <v>789</v>
      </c>
      <c r="B462" s="66" t="s">
        <v>1899</v>
      </c>
      <c r="C462" s="66" t="s">
        <v>1900</v>
      </c>
      <c r="D462" s="66" t="s">
        <v>1901</v>
      </c>
      <c r="E462" s="43"/>
      <c r="F462" s="57" t="s">
        <v>42</v>
      </c>
      <c r="G462" s="53" t="s">
        <v>42</v>
      </c>
      <c r="H462" s="46"/>
      <c r="I462" s="47"/>
      <c r="J462" s="48"/>
      <c r="K462" s="49"/>
      <c r="L462" s="46"/>
      <c r="M462" s="56" t="s">
        <v>84</v>
      </c>
      <c r="N462" s="54" t="s">
        <v>1902</v>
      </c>
      <c r="O462" s="56">
        <v>0</v>
      </c>
      <c r="P462" s="50" t="e">
        <v>#REF!</v>
      </c>
      <c r="Q462" s="62"/>
      <c r="R462" s="51"/>
      <c r="S462" s="51"/>
      <c r="T462" s="12"/>
      <c r="U462" s="12"/>
      <c r="V462" s="12"/>
      <c r="W462" s="12"/>
      <c r="X462" s="14" t="e">
        <f t="array" ref="X462">IF(OR(AND(#REF!=""),AND(#REF!="-"),OR(NOT(ISERROR(SEARCH("-*",H462:L462))))),0,1)</f>
        <v>#REF!</v>
      </c>
      <c r="Y462" s="12"/>
      <c r="Z462" s="14">
        <f t="array" ref="Z462">IF(AND(E462:G462="-"),0,IF(OR(NOT(ISERROR(SEARCH("+*",H462:L462)))),2,IF(OR(NOT(ISERROR(SEARCH("--*",E462:L462)))),-1,IF(OR(NOT(E462:G462="")),1,0))))</f>
        <v>1</v>
      </c>
      <c r="AA462" s="14">
        <v>891</v>
      </c>
      <c r="AB462" s="12"/>
    </row>
    <row r="463" spans="1:28" ht="25.5">
      <c r="A463" s="41">
        <v>790</v>
      </c>
      <c r="B463" s="66" t="s">
        <v>1903</v>
      </c>
      <c r="C463" s="66" t="s">
        <v>1774</v>
      </c>
      <c r="D463" s="66" t="s">
        <v>1904</v>
      </c>
      <c r="E463" s="43"/>
      <c r="F463" s="57" t="s">
        <v>42</v>
      </c>
      <c r="G463" s="53" t="s">
        <v>42</v>
      </c>
      <c r="H463" s="46"/>
      <c r="I463" s="47"/>
      <c r="J463" s="48"/>
      <c r="K463" s="49"/>
      <c r="L463" s="46"/>
      <c r="M463" s="56" t="s">
        <v>84</v>
      </c>
      <c r="N463" s="54" t="s">
        <v>1902</v>
      </c>
      <c r="O463" s="56">
        <v>0</v>
      </c>
      <c r="P463" s="50" t="e">
        <v>#REF!</v>
      </c>
      <c r="Q463" s="62"/>
      <c r="R463" s="51"/>
      <c r="S463" s="51"/>
      <c r="T463" s="12"/>
      <c r="U463" s="12"/>
      <c r="V463" s="12"/>
      <c r="W463" s="12"/>
      <c r="X463" s="14" t="e">
        <f t="array" ref="X463">IF(OR(AND(#REF!=""),AND(#REF!="-"),OR(NOT(ISERROR(SEARCH("-*",H463:L463))))),0,1)</f>
        <v>#REF!</v>
      </c>
      <c r="Y463" s="12"/>
      <c r="Z463" s="14">
        <f t="array" ref="Z463">IF(AND(E463:G463="-"),0,IF(OR(NOT(ISERROR(SEARCH("+*",H463:L463)))),2,IF(OR(NOT(ISERROR(SEARCH("--*",E463:L463)))),-1,IF(OR(NOT(E463:G463="")),1,0))))</f>
        <v>1</v>
      </c>
      <c r="AA463" s="14">
        <v>892</v>
      </c>
      <c r="AB463" s="12"/>
    </row>
    <row r="464" spans="1:28" ht="12.75">
      <c r="A464" s="41">
        <v>791</v>
      </c>
      <c r="B464" s="66" t="s">
        <v>1905</v>
      </c>
      <c r="C464" s="66" t="s">
        <v>1797</v>
      </c>
      <c r="D464" s="66" t="s">
        <v>1906</v>
      </c>
      <c r="E464" s="43"/>
      <c r="F464" s="57" t="s">
        <v>42</v>
      </c>
      <c r="G464" s="53" t="s">
        <v>42</v>
      </c>
      <c r="H464" s="46"/>
      <c r="I464" s="47"/>
      <c r="J464" s="48"/>
      <c r="K464" s="49"/>
      <c r="L464" s="46"/>
      <c r="M464" s="56" t="s">
        <v>84</v>
      </c>
      <c r="N464" s="54" t="s">
        <v>1902</v>
      </c>
      <c r="O464" s="56">
        <v>0</v>
      </c>
      <c r="P464" s="50" t="e">
        <v>#REF!</v>
      </c>
      <c r="Q464" s="62"/>
      <c r="R464" s="51"/>
      <c r="S464" s="51"/>
      <c r="T464" s="12"/>
      <c r="U464" s="12"/>
      <c r="V464" s="12"/>
      <c r="W464" s="12"/>
      <c r="X464" s="14" t="e">
        <f t="array" ref="X464">IF(OR(AND(#REF!=""),AND(#REF!="-"),OR(NOT(ISERROR(SEARCH("-*",H464:L464))))),0,1)</f>
        <v>#REF!</v>
      </c>
      <c r="Y464" s="12"/>
      <c r="Z464" s="14">
        <f t="array" ref="Z464">IF(AND(E464:G464="-"),0,IF(OR(NOT(ISERROR(SEARCH("+*",H464:L464)))),2,IF(OR(NOT(ISERROR(SEARCH("--*",E464:L464)))),-1,IF(OR(NOT(E464:G464="")),1,0))))</f>
        <v>1</v>
      </c>
      <c r="AA464" s="14">
        <v>893</v>
      </c>
      <c r="AB464" s="12"/>
    </row>
    <row r="465" spans="1:28" ht="38.25">
      <c r="A465" s="41">
        <v>793</v>
      </c>
      <c r="B465" s="66" t="s">
        <v>1907</v>
      </c>
      <c r="C465" s="66" t="s">
        <v>1908</v>
      </c>
      <c r="D465" s="66" t="s">
        <v>1909</v>
      </c>
      <c r="E465" s="43"/>
      <c r="F465" s="57" t="s">
        <v>42</v>
      </c>
      <c r="G465" s="53"/>
      <c r="H465" s="46"/>
      <c r="I465" s="47"/>
      <c r="J465" s="48"/>
      <c r="K465" s="49"/>
      <c r="L465" s="46"/>
      <c r="M465" s="56" t="s">
        <v>43</v>
      </c>
      <c r="N465" s="54" t="s">
        <v>1910</v>
      </c>
      <c r="O465" s="56">
        <v>2</v>
      </c>
      <c r="P465" s="50" t="e">
        <v>#REF!</v>
      </c>
      <c r="Q465" s="62" t="s">
        <v>44</v>
      </c>
      <c r="R465" s="51"/>
      <c r="S465" s="51"/>
      <c r="T465" s="12"/>
      <c r="U465" s="12"/>
      <c r="V465" s="12"/>
      <c r="W465" s="12"/>
      <c r="X465" s="14" t="e">
        <f t="array" ref="X465">IF(OR(AND(#REF!=""),AND(#REF!="-"),OR(NOT(ISERROR(SEARCH("-*",H465:L465))))),0,1)</f>
        <v>#REF!</v>
      </c>
      <c r="Y465" s="12"/>
      <c r="Z465" s="14">
        <f t="array" ref="Z465">IF(AND(E465:G465="-"),0,IF(OR(NOT(ISERROR(SEARCH("+*",H465:L465)))),2,IF(OR(NOT(ISERROR(SEARCH("--*",E465:L465)))),-1,IF(OR(NOT(E465:G465="")),1,0))))</f>
        <v>1</v>
      </c>
      <c r="AA465" s="14">
        <v>896</v>
      </c>
      <c r="AB465" s="12"/>
    </row>
    <row r="466" spans="1:28" ht="25.5">
      <c r="A466" s="41">
        <v>796</v>
      </c>
      <c r="B466" s="66" t="s">
        <v>1911</v>
      </c>
      <c r="C466" s="66" t="s">
        <v>1912</v>
      </c>
      <c r="D466" s="66" t="s">
        <v>1913</v>
      </c>
      <c r="E466" s="43"/>
      <c r="F466" s="57" t="s">
        <v>74</v>
      </c>
      <c r="G466" s="53"/>
      <c r="H466" s="46"/>
      <c r="I466" s="58" t="s">
        <v>111</v>
      </c>
      <c r="J466" s="48"/>
      <c r="K466" s="49"/>
      <c r="L466" s="46"/>
      <c r="M466" s="56" t="s">
        <v>43</v>
      </c>
      <c r="N466" s="54" t="s">
        <v>1914</v>
      </c>
      <c r="O466" s="56">
        <v>2</v>
      </c>
      <c r="P466" s="50" t="e">
        <v>#REF!</v>
      </c>
      <c r="Q466" s="62"/>
      <c r="R466" s="51"/>
      <c r="S466" s="51"/>
      <c r="T466" s="12"/>
      <c r="U466" s="12"/>
      <c r="V466" s="12"/>
      <c r="W466" s="12"/>
      <c r="X466" s="14" t="e">
        <f t="array" ref="X466">IF(OR(AND(#REF!=""),AND(#REF!="-"),OR(NOT(ISERROR(SEARCH("-*",H466:L466))))),0,1)</f>
        <v>#REF!</v>
      </c>
      <c r="Y466" s="12"/>
      <c r="Z466" s="14">
        <f t="array" ref="Z466">IF(AND(E466:G466="-"),0,IF(OR(NOT(ISERROR(SEARCH("+*",H466:L466)))),2,IF(OR(NOT(ISERROR(SEARCH("--*",E466:L466)))),-1,IF(OR(NOT(E466:G466="")),1,0))))</f>
        <v>2</v>
      </c>
      <c r="AA466" s="14">
        <v>899</v>
      </c>
      <c r="AB466" s="12"/>
    </row>
    <row r="467" spans="1:28" ht="76.5">
      <c r="A467" s="41">
        <v>799</v>
      </c>
      <c r="B467" s="66" t="s">
        <v>1915</v>
      </c>
      <c r="C467" s="66" t="s">
        <v>1916</v>
      </c>
      <c r="D467" s="42" t="s">
        <v>1917</v>
      </c>
      <c r="E467" s="43"/>
      <c r="F467" s="57" t="s">
        <v>42</v>
      </c>
      <c r="G467" s="53"/>
      <c r="H467" s="46"/>
      <c r="I467" s="47"/>
      <c r="J467" s="48"/>
      <c r="K467" s="49"/>
      <c r="L467" s="46"/>
      <c r="M467" s="56" t="s">
        <v>43</v>
      </c>
      <c r="N467" s="54" t="s">
        <v>1918</v>
      </c>
      <c r="O467" s="56">
        <v>2</v>
      </c>
      <c r="P467" s="50" t="e">
        <v>#REF!</v>
      </c>
      <c r="Q467" s="62" t="s">
        <v>86</v>
      </c>
      <c r="R467" s="51"/>
      <c r="S467" s="51"/>
      <c r="T467" s="12"/>
      <c r="U467" s="12"/>
      <c r="V467" s="12"/>
      <c r="W467" s="12"/>
      <c r="X467" s="14" t="e">
        <f t="array" ref="X467">IF(OR(AND(#REF!=""),AND(#REF!="-"),OR(NOT(ISERROR(SEARCH("-*",H467:L467))))),0,1)</f>
        <v>#REF!</v>
      </c>
      <c r="Y467" s="12"/>
      <c r="Z467" s="14">
        <f t="array" ref="Z467">IF(AND(E467:G467="-"),0,IF(OR(NOT(ISERROR(SEARCH("+*",H467:L467)))),2,IF(OR(NOT(ISERROR(SEARCH("--*",E467:L467)))),-1,IF(OR(NOT(E467:G467="")),1,0))))</f>
        <v>1</v>
      </c>
      <c r="AA467" s="14">
        <v>902</v>
      </c>
      <c r="AB467" s="12"/>
    </row>
    <row r="468" spans="1:28" ht="204">
      <c r="A468" s="41">
        <v>800</v>
      </c>
      <c r="B468" s="66" t="s">
        <v>1919</v>
      </c>
      <c r="C468" s="66" t="s">
        <v>1920</v>
      </c>
      <c r="D468" s="66" t="s">
        <v>1921</v>
      </c>
      <c r="E468" s="43" t="s">
        <v>42</v>
      </c>
      <c r="F468" s="44" t="s">
        <v>42</v>
      </c>
      <c r="G468" s="53"/>
      <c r="H468" s="46"/>
      <c r="I468" s="47"/>
      <c r="J468" s="48"/>
      <c r="K468" s="49"/>
      <c r="L468" s="46"/>
      <c r="M468" s="69" t="s">
        <v>84</v>
      </c>
      <c r="N468" s="54"/>
      <c r="O468" s="56">
        <v>0</v>
      </c>
      <c r="P468" s="50" t="e">
        <v>#REF!</v>
      </c>
      <c r="Q468" s="62" t="s">
        <v>86</v>
      </c>
      <c r="R468" s="51" t="s">
        <v>43</v>
      </c>
      <c r="S468" s="51" t="s">
        <v>1922</v>
      </c>
      <c r="T468" s="12"/>
      <c r="U468" s="12"/>
      <c r="V468" s="12"/>
      <c r="W468" s="12"/>
      <c r="X468" s="14" t="e">
        <f t="array" ref="X468">IF(OR(AND(#REF!=""),AND(#REF!="-"),OR(NOT(ISERROR(SEARCH("-*",H468:L468))))),0,1)</f>
        <v>#REF!</v>
      </c>
      <c r="Y468" s="12"/>
      <c r="Z468" s="14">
        <f t="array" ref="Z468">IF(AND(E468:G468="-"),0,IF(OR(NOT(ISERROR(SEARCH("+*",H468:L468)))),2,IF(OR(NOT(ISERROR(SEARCH("--*",E468:L468)))),-1,IF(OR(NOT(E468:G468="")),1,0))))</f>
        <v>1</v>
      </c>
      <c r="AA468" s="14">
        <v>903</v>
      </c>
      <c r="AB468" s="12"/>
    </row>
    <row r="469" spans="1:28" ht="38.25">
      <c r="A469" s="41">
        <v>807</v>
      </c>
      <c r="B469" s="66" t="s">
        <v>1923</v>
      </c>
      <c r="C469" s="66" t="s">
        <v>1924</v>
      </c>
      <c r="D469" s="42" t="s">
        <v>1925</v>
      </c>
      <c r="E469" s="43"/>
      <c r="F469" s="57"/>
      <c r="G469" s="53"/>
      <c r="H469" s="46"/>
      <c r="I469" s="58" t="s">
        <v>111</v>
      </c>
      <c r="J469" s="48"/>
      <c r="K469" s="61"/>
      <c r="L469" s="46"/>
      <c r="M469" s="56" t="s">
        <v>43</v>
      </c>
      <c r="N469" s="54" t="s">
        <v>1926</v>
      </c>
      <c r="O469" s="56">
        <v>2</v>
      </c>
      <c r="P469" s="50" t="e">
        <v>#REF!</v>
      </c>
      <c r="Q469" s="62"/>
      <c r="R469" s="51"/>
      <c r="S469" s="51"/>
      <c r="T469" s="12"/>
      <c r="U469" s="12"/>
      <c r="V469" s="12"/>
      <c r="W469" s="12"/>
      <c r="X469" s="14" t="e">
        <f t="array" ref="X469">IF(OR(AND(#REF!=""),AND(#REF!="-"),OR(NOT(ISERROR(SEARCH("-*",H469:L469))))),0,1)</f>
        <v>#REF!</v>
      </c>
      <c r="Y469" s="12"/>
      <c r="Z469" s="14">
        <f t="array" ref="Z469">IF(AND(E469:G469="-"),0,IF(OR(NOT(ISERROR(SEARCH("+*",H469:L469)))),2,IF(OR(NOT(ISERROR(SEARCH("--*",E469:L469)))),-1,IF(OR(NOT(E469:G469="")),1,0))))</f>
        <v>2</v>
      </c>
      <c r="AA469" s="14">
        <v>911</v>
      </c>
      <c r="AB469" s="12"/>
    </row>
    <row r="470" spans="1:28" ht="38.25">
      <c r="A470" s="41">
        <v>809</v>
      </c>
      <c r="B470" s="66" t="s">
        <v>1927</v>
      </c>
      <c r="C470" s="66" t="s">
        <v>1928</v>
      </c>
      <c r="D470" s="42" t="s">
        <v>1929</v>
      </c>
      <c r="E470" s="43"/>
      <c r="F470" s="57" t="s">
        <v>42</v>
      </c>
      <c r="G470" s="53"/>
      <c r="H470" s="46"/>
      <c r="I470" s="47"/>
      <c r="J470" s="48"/>
      <c r="K470" s="49"/>
      <c r="L470" s="46"/>
      <c r="M470" s="56" t="s">
        <v>86</v>
      </c>
      <c r="N470" s="54" t="s">
        <v>1085</v>
      </c>
      <c r="O470" s="56">
        <v>0</v>
      </c>
      <c r="P470" s="50" t="e">
        <v>#REF!</v>
      </c>
      <c r="Q470" s="62"/>
      <c r="R470" s="51"/>
      <c r="S470" s="51"/>
      <c r="T470" s="12"/>
      <c r="U470" s="12"/>
      <c r="V470" s="12"/>
      <c r="W470" s="12"/>
      <c r="X470" s="14" t="e">
        <f t="array" ref="X470">IF(OR(AND(#REF!=""),AND(#REF!="-"),OR(NOT(ISERROR(SEARCH("-*",H470:L470))))),0,1)</f>
        <v>#REF!</v>
      </c>
      <c r="Y470" s="12"/>
      <c r="Z470" s="14">
        <f t="array" ref="Z470">IF(AND(E470:G470="-"),0,IF(OR(NOT(ISERROR(SEARCH("+*",H470:L470)))),2,IF(OR(NOT(ISERROR(SEARCH("--*",E470:L470)))),-1,IF(OR(NOT(E470:G470="")),1,0))))</f>
        <v>1</v>
      </c>
      <c r="AA470" s="14">
        <v>913</v>
      </c>
      <c r="AB470" s="12"/>
    </row>
    <row r="471" spans="1:28" ht="280.5">
      <c r="A471" s="41">
        <v>811</v>
      </c>
      <c r="B471" s="66" t="s">
        <v>1930</v>
      </c>
      <c r="C471" s="66" t="s">
        <v>1931</v>
      </c>
      <c r="D471" s="66" t="s">
        <v>1932</v>
      </c>
      <c r="E471" s="43" t="s">
        <v>42</v>
      </c>
      <c r="F471" s="44" t="s">
        <v>42</v>
      </c>
      <c r="G471" s="53" t="s">
        <v>42</v>
      </c>
      <c r="H471" s="46"/>
      <c r="I471" s="47"/>
      <c r="J471" s="48"/>
      <c r="K471" s="49"/>
      <c r="L471" s="46"/>
      <c r="M471" s="56"/>
      <c r="N471" s="66"/>
      <c r="O471" s="68"/>
      <c r="P471" s="50" t="e">
        <v>#REF!</v>
      </c>
      <c r="Q471" s="62" t="s">
        <v>44</v>
      </c>
      <c r="R471" s="51" t="s">
        <v>51</v>
      </c>
      <c r="S471" s="51" t="s">
        <v>1933</v>
      </c>
      <c r="T471" s="12"/>
      <c r="U471" s="12"/>
      <c r="V471" s="12"/>
      <c r="W471" s="12"/>
      <c r="X471" s="14" t="e">
        <f t="array" ref="X471">IF(OR(AND(#REF!=""),AND(#REF!="-"),OR(NOT(ISERROR(SEARCH("-*",H471:L471))))),0,1)</f>
        <v>#REF!</v>
      </c>
      <c r="Y471" s="12"/>
      <c r="Z471" s="14">
        <f t="array" ref="Z471">IF(AND(E471:G471="-"),0,IF(OR(NOT(ISERROR(SEARCH("+*",H471:L471)))),2,IF(OR(NOT(ISERROR(SEARCH("--*",E471:L471)))),-1,IF(OR(NOT(E471:G471="")),1,0))))</f>
        <v>1</v>
      </c>
      <c r="AA471" s="14">
        <v>915</v>
      </c>
      <c r="AB471" s="12"/>
    </row>
    <row r="472" spans="1:28" ht="38.25">
      <c r="A472" s="41">
        <v>812</v>
      </c>
      <c r="B472" s="66" t="s">
        <v>1934</v>
      </c>
      <c r="C472" s="66" t="s">
        <v>1935</v>
      </c>
      <c r="D472" s="66" t="s">
        <v>1936</v>
      </c>
      <c r="E472" s="43" t="s">
        <v>42</v>
      </c>
      <c r="F472" s="44" t="s">
        <v>42</v>
      </c>
      <c r="G472" s="53" t="s">
        <v>42</v>
      </c>
      <c r="H472" s="46"/>
      <c r="I472" s="47"/>
      <c r="J472" s="48"/>
      <c r="K472" s="49"/>
      <c r="L472" s="46"/>
      <c r="M472" s="34"/>
      <c r="N472" s="66"/>
      <c r="O472" s="68"/>
      <c r="P472" s="50" t="e">
        <v>#REF!</v>
      </c>
      <c r="Q472" s="62" t="s">
        <v>86</v>
      </c>
      <c r="R472" s="51"/>
      <c r="S472" s="51"/>
      <c r="T472" s="12"/>
      <c r="U472" s="12"/>
      <c r="V472" s="12"/>
      <c r="W472" s="12"/>
      <c r="X472" s="14" t="e">
        <f t="array" ref="X472">IF(OR(AND(#REF!=""),AND(#REF!="-"),OR(NOT(ISERROR(SEARCH("-*",H472:L472))))),0,1)</f>
        <v>#REF!</v>
      </c>
      <c r="Y472" s="12"/>
      <c r="Z472" s="14">
        <f t="array" ref="Z472">IF(AND(E472:G472="-"),0,IF(OR(NOT(ISERROR(SEARCH("+*",H472:L472)))),2,IF(OR(NOT(ISERROR(SEARCH("--*",E472:L472)))),-1,IF(OR(NOT(E472:G472="")),1,0))))</f>
        <v>1</v>
      </c>
      <c r="AA472" s="14">
        <v>916</v>
      </c>
      <c r="AB472" s="12"/>
    </row>
    <row r="473" spans="1:28" ht="102">
      <c r="A473" s="41">
        <v>813</v>
      </c>
      <c r="B473" s="66" t="s">
        <v>1937</v>
      </c>
      <c r="C473" s="66" t="s">
        <v>1938</v>
      </c>
      <c r="D473" s="66" t="s">
        <v>1939</v>
      </c>
      <c r="E473" s="43" t="s">
        <v>42</v>
      </c>
      <c r="F473" s="44" t="s">
        <v>42</v>
      </c>
      <c r="G473" s="53" t="s">
        <v>42</v>
      </c>
      <c r="H473" s="46"/>
      <c r="I473" s="47"/>
      <c r="J473" s="48"/>
      <c r="K473" s="49"/>
      <c r="L473" s="46"/>
      <c r="M473" s="34"/>
      <c r="N473" s="66"/>
      <c r="O473" s="68"/>
      <c r="P473" s="50" t="e">
        <v>#REF!</v>
      </c>
      <c r="Q473" s="62"/>
      <c r="R473" s="51"/>
      <c r="S473" s="51"/>
      <c r="T473" s="12"/>
      <c r="U473" s="12"/>
      <c r="V473" s="12"/>
      <c r="W473" s="12"/>
      <c r="X473" s="14" t="e">
        <f t="array" ref="X473">IF(OR(AND(#REF!=""),AND(#REF!="-"),OR(NOT(ISERROR(SEARCH("-*",H473:L473))))),0,1)</f>
        <v>#REF!</v>
      </c>
      <c r="Y473" s="12"/>
      <c r="Z473" s="14">
        <f t="array" ref="Z473">IF(AND(E473:G473="-"),0,IF(OR(NOT(ISERROR(SEARCH("+*",H473:L473)))),2,IF(OR(NOT(ISERROR(SEARCH("--*",E473:L473)))),-1,IF(OR(NOT(E473:G473="")),1,0))))</f>
        <v>1</v>
      </c>
      <c r="AA473" s="14">
        <v>917</v>
      </c>
      <c r="AB473" s="12"/>
    </row>
    <row r="474" spans="1:28" ht="140.25">
      <c r="A474" s="41">
        <v>814</v>
      </c>
      <c r="B474" s="66" t="s">
        <v>1940</v>
      </c>
      <c r="C474" s="66" t="s">
        <v>1941</v>
      </c>
      <c r="D474" s="66" t="s">
        <v>1942</v>
      </c>
      <c r="E474" s="43" t="s">
        <v>42</v>
      </c>
      <c r="F474" s="44" t="s">
        <v>42</v>
      </c>
      <c r="G474" s="53" t="s">
        <v>42</v>
      </c>
      <c r="H474" s="46"/>
      <c r="I474" s="47"/>
      <c r="J474" s="48"/>
      <c r="K474" s="49"/>
      <c r="L474" s="46"/>
      <c r="M474" s="34"/>
      <c r="N474" s="66"/>
      <c r="O474" s="68"/>
      <c r="P474" s="50" t="e">
        <v>#REF!</v>
      </c>
      <c r="Q474" s="62" t="s">
        <v>86</v>
      </c>
      <c r="R474" s="51" t="s">
        <v>43</v>
      </c>
      <c r="S474" s="51" t="s">
        <v>1943</v>
      </c>
      <c r="T474" s="12"/>
      <c r="U474" s="12"/>
      <c r="V474" s="12"/>
      <c r="W474" s="12"/>
      <c r="X474" s="14" t="e">
        <f t="array" ref="X474">IF(OR(AND(#REF!=""),AND(#REF!="-"),OR(NOT(ISERROR(SEARCH("-*",H474:L474))))),0,1)</f>
        <v>#REF!</v>
      </c>
      <c r="Y474" s="12"/>
      <c r="Z474" s="14">
        <f t="array" ref="Z474">IF(AND(E474:G474="-"),0,IF(OR(NOT(ISERROR(SEARCH("+*",H474:L474)))),2,IF(OR(NOT(ISERROR(SEARCH("--*",E474:L474)))),-1,IF(OR(NOT(E474:G474="")),1,0))))</f>
        <v>1</v>
      </c>
      <c r="AA474" s="14">
        <v>918</v>
      </c>
      <c r="AB474" s="12"/>
    </row>
    <row r="475" spans="1:28" ht="38.25">
      <c r="A475" s="41">
        <v>815</v>
      </c>
      <c r="B475" s="66" t="s">
        <v>1944</v>
      </c>
      <c r="C475" s="66" t="s">
        <v>1945</v>
      </c>
      <c r="D475" s="66" t="s">
        <v>1946</v>
      </c>
      <c r="E475" s="43" t="s">
        <v>42</v>
      </c>
      <c r="F475" s="44" t="s">
        <v>42</v>
      </c>
      <c r="G475" s="53" t="s">
        <v>42</v>
      </c>
      <c r="H475" s="46"/>
      <c r="I475" s="47"/>
      <c r="J475" s="48"/>
      <c r="K475" s="49"/>
      <c r="L475" s="46"/>
      <c r="M475" s="34"/>
      <c r="N475" s="66"/>
      <c r="O475" s="68"/>
      <c r="P475" s="50" t="e">
        <v>#REF!</v>
      </c>
      <c r="Q475" s="62" t="s">
        <v>86</v>
      </c>
      <c r="R475" s="51" t="s">
        <v>51</v>
      </c>
      <c r="S475" s="51" t="s">
        <v>1947</v>
      </c>
      <c r="T475" s="12"/>
      <c r="U475" s="12"/>
      <c r="V475" s="12"/>
      <c r="W475" s="12"/>
      <c r="X475" s="14" t="e">
        <f t="array" ref="X475">IF(OR(AND(#REF!=""),AND(#REF!="-"),OR(NOT(ISERROR(SEARCH("-*",H475:L475))))),0,1)</f>
        <v>#REF!</v>
      </c>
      <c r="Y475" s="12"/>
      <c r="Z475" s="14">
        <f t="array" ref="Z475">IF(AND(E475:G475="-"),0,IF(OR(NOT(ISERROR(SEARCH("+*",H475:L475)))),2,IF(OR(NOT(ISERROR(SEARCH("--*",E475:L475)))),-1,IF(OR(NOT(E475:G475="")),1,0))))</f>
        <v>1</v>
      </c>
      <c r="AA475" s="14">
        <v>919</v>
      </c>
      <c r="AB475" s="12"/>
    </row>
    <row r="476" spans="1:28" ht="89.25">
      <c r="A476" s="41">
        <v>816</v>
      </c>
      <c r="B476" s="66" t="s">
        <v>1948</v>
      </c>
      <c r="C476" s="66" t="s">
        <v>1949</v>
      </c>
      <c r="D476" s="66" t="s">
        <v>1950</v>
      </c>
      <c r="E476" s="43" t="s">
        <v>42</v>
      </c>
      <c r="F476" s="44" t="s">
        <v>42</v>
      </c>
      <c r="G476" s="53" t="s">
        <v>42</v>
      </c>
      <c r="H476" s="46"/>
      <c r="I476" s="47"/>
      <c r="J476" s="48"/>
      <c r="K476" s="49"/>
      <c r="L476" s="46"/>
      <c r="M476" s="34"/>
      <c r="N476" s="66"/>
      <c r="O476" s="68"/>
      <c r="P476" s="50" t="e">
        <v>#REF!</v>
      </c>
      <c r="Q476" s="62" t="s">
        <v>86</v>
      </c>
      <c r="R476" s="51" t="s">
        <v>43</v>
      </c>
      <c r="S476" s="51" t="s">
        <v>1951</v>
      </c>
      <c r="T476" s="12"/>
      <c r="U476" s="12"/>
      <c r="V476" s="12"/>
      <c r="W476" s="12"/>
      <c r="X476" s="14" t="e">
        <f t="array" ref="X476">IF(OR(AND(#REF!=""),AND(#REF!="-"),OR(NOT(ISERROR(SEARCH("-*",H476:L476))))),0,1)</f>
        <v>#REF!</v>
      </c>
      <c r="Y476" s="12"/>
      <c r="Z476" s="14">
        <f t="array" ref="Z476">IF(AND(E476:G476="-"),0,IF(OR(NOT(ISERROR(SEARCH("+*",H476:L476)))),2,IF(OR(NOT(ISERROR(SEARCH("--*",E476:L476)))),-1,IF(OR(NOT(E476:G476="")),1,0))))</f>
        <v>1</v>
      </c>
      <c r="AA476" s="14">
        <v>920</v>
      </c>
      <c r="AB476" s="12"/>
    </row>
    <row r="477" spans="1:28" ht="114.75">
      <c r="A477" s="41">
        <v>817</v>
      </c>
      <c r="B477" s="66" t="s">
        <v>1952</v>
      </c>
      <c r="C477" s="66" t="s">
        <v>1953</v>
      </c>
      <c r="D477" s="66" t="s">
        <v>1954</v>
      </c>
      <c r="E477" s="43" t="s">
        <v>42</v>
      </c>
      <c r="F477" s="44" t="s">
        <v>42</v>
      </c>
      <c r="G477" s="53" t="s">
        <v>42</v>
      </c>
      <c r="H477" s="46"/>
      <c r="I477" s="47"/>
      <c r="J477" s="48"/>
      <c r="K477" s="49"/>
      <c r="L477" s="46"/>
      <c r="M477" s="34"/>
      <c r="N477" s="66"/>
      <c r="O477" s="68"/>
      <c r="P477" s="50" t="e">
        <v>#REF!</v>
      </c>
      <c r="Q477" s="62" t="s">
        <v>86</v>
      </c>
      <c r="R477" s="51" t="s">
        <v>43</v>
      </c>
      <c r="S477" s="51" t="s">
        <v>1955</v>
      </c>
      <c r="T477" s="12"/>
      <c r="U477" s="12"/>
      <c r="V477" s="12"/>
      <c r="W477" s="12"/>
      <c r="X477" s="14" t="e">
        <f t="array" ref="X477">IF(OR(AND(#REF!=""),AND(#REF!="-"),OR(NOT(ISERROR(SEARCH("-*",H477:L477))))),0,1)</f>
        <v>#REF!</v>
      </c>
      <c r="Y477" s="12"/>
      <c r="Z477" s="14">
        <f t="array" ref="Z477">IF(AND(E477:G477="-"),0,IF(OR(NOT(ISERROR(SEARCH("+*",H477:L477)))),2,IF(OR(NOT(ISERROR(SEARCH("--*",E477:L477)))),-1,IF(OR(NOT(E477:G477="")),1,0))))</f>
        <v>1</v>
      </c>
      <c r="AA477" s="14">
        <v>921</v>
      </c>
      <c r="AB477" s="12"/>
    </row>
    <row r="478" spans="1:28" ht="242.25">
      <c r="A478" s="41">
        <v>818</v>
      </c>
      <c r="B478" s="66" t="s">
        <v>1956</v>
      </c>
      <c r="C478" s="66" t="s">
        <v>1957</v>
      </c>
      <c r="D478" s="66" t="s">
        <v>1958</v>
      </c>
      <c r="E478" s="43" t="s">
        <v>42</v>
      </c>
      <c r="F478" s="44" t="s">
        <v>42</v>
      </c>
      <c r="G478" s="53" t="s">
        <v>42</v>
      </c>
      <c r="H478" s="46"/>
      <c r="I478" s="47"/>
      <c r="J478" s="48"/>
      <c r="K478" s="49"/>
      <c r="L478" s="46"/>
      <c r="M478" s="34"/>
      <c r="N478" s="66"/>
      <c r="O478" s="68"/>
      <c r="P478" s="50" t="e">
        <v>#REF!</v>
      </c>
      <c r="Q478" s="62" t="s">
        <v>86</v>
      </c>
      <c r="R478" s="51" t="s">
        <v>43</v>
      </c>
      <c r="S478" s="51" t="s">
        <v>1959</v>
      </c>
      <c r="T478" s="12"/>
      <c r="U478" s="12"/>
      <c r="V478" s="12"/>
      <c r="W478" s="12"/>
      <c r="X478" s="14" t="e">
        <f t="array" ref="X478">IF(OR(AND(#REF!=""),AND(#REF!="-"),OR(NOT(ISERROR(SEARCH("-*",H478:L478))))),0,1)</f>
        <v>#REF!</v>
      </c>
      <c r="Y478" s="12"/>
      <c r="Z478" s="14">
        <f t="array" ref="Z478">IF(AND(E478:G478="-"),0,IF(OR(NOT(ISERROR(SEARCH("+*",H478:L478)))),2,IF(OR(NOT(ISERROR(SEARCH("--*",E478:L478)))),-1,IF(OR(NOT(E478:G478="")),1,0))))</f>
        <v>1</v>
      </c>
      <c r="AA478" s="14">
        <v>922</v>
      </c>
      <c r="AB478" s="12"/>
    </row>
    <row r="479" spans="1:28" ht="178.5">
      <c r="A479" s="41">
        <v>819</v>
      </c>
      <c r="B479" s="66" t="s">
        <v>1960</v>
      </c>
      <c r="C479" s="66" t="s">
        <v>1961</v>
      </c>
      <c r="D479" s="66" t="s">
        <v>1962</v>
      </c>
      <c r="E479" s="43" t="s">
        <v>42</v>
      </c>
      <c r="F479" s="44" t="s">
        <v>42</v>
      </c>
      <c r="G479" s="53" t="s">
        <v>42</v>
      </c>
      <c r="H479" s="46"/>
      <c r="I479" s="47"/>
      <c r="J479" s="48"/>
      <c r="K479" s="49"/>
      <c r="L479" s="46"/>
      <c r="M479" s="34"/>
      <c r="N479" s="66"/>
      <c r="O479" s="68"/>
      <c r="P479" s="50" t="e">
        <v>#REF!</v>
      </c>
      <c r="Q479" s="62" t="s">
        <v>62</v>
      </c>
      <c r="R479" s="51" t="s">
        <v>43</v>
      </c>
      <c r="S479" s="51" t="s">
        <v>1963</v>
      </c>
      <c r="T479" s="12"/>
      <c r="U479" s="12"/>
      <c r="V479" s="12"/>
      <c r="W479" s="12"/>
      <c r="X479" s="14" t="e">
        <f t="array" ref="X479">IF(OR(AND(#REF!=""),AND(#REF!="-"),OR(NOT(ISERROR(SEARCH("-*",H479:L479))))),0,1)</f>
        <v>#REF!</v>
      </c>
      <c r="Y479" s="12"/>
      <c r="Z479" s="14">
        <f t="array" ref="Z479">IF(AND(E479:G479="-"),0,IF(OR(NOT(ISERROR(SEARCH("+*",H479:L479)))),2,IF(OR(NOT(ISERROR(SEARCH("--*",E479:L479)))),-1,IF(OR(NOT(E479:G479="")),1,0))))</f>
        <v>1</v>
      </c>
      <c r="AA479" s="14">
        <v>923</v>
      </c>
      <c r="AB479" s="12"/>
    </row>
    <row r="480" spans="1:28" ht="178.5">
      <c r="A480" s="41">
        <v>820</v>
      </c>
      <c r="B480" s="66" t="s">
        <v>1964</v>
      </c>
      <c r="C480" s="66" t="s">
        <v>1965</v>
      </c>
      <c r="D480" s="66" t="s">
        <v>1966</v>
      </c>
      <c r="E480" s="43" t="s">
        <v>42</v>
      </c>
      <c r="F480" s="44" t="s">
        <v>42</v>
      </c>
      <c r="G480" s="53" t="s">
        <v>42</v>
      </c>
      <c r="H480" s="46"/>
      <c r="I480" s="47"/>
      <c r="J480" s="48"/>
      <c r="K480" s="49"/>
      <c r="L480" s="46"/>
      <c r="M480" s="34"/>
      <c r="N480" s="66"/>
      <c r="O480" s="68"/>
      <c r="P480" s="50" t="e">
        <v>#REF!</v>
      </c>
      <c r="Q480" s="62"/>
      <c r="R480" s="51" t="s">
        <v>43</v>
      </c>
      <c r="S480" s="51" t="s">
        <v>1967</v>
      </c>
      <c r="T480" s="12"/>
      <c r="U480" s="12"/>
      <c r="V480" s="12"/>
      <c r="W480" s="12"/>
      <c r="X480" s="14" t="e">
        <f t="array" ref="X480">IF(OR(AND(#REF!=""),AND(#REF!="-"),OR(NOT(ISERROR(SEARCH("-*",H480:L480))))),0,1)</f>
        <v>#REF!</v>
      </c>
      <c r="Y480" s="12"/>
      <c r="Z480" s="14">
        <f t="array" ref="Z480">IF(AND(E480:G480="-"),0,IF(OR(NOT(ISERROR(SEARCH("+*",H480:L480)))),2,IF(OR(NOT(ISERROR(SEARCH("--*",E480:L480)))),-1,IF(OR(NOT(E480:G480="")),1,0))))</f>
        <v>1</v>
      </c>
      <c r="AA480" s="14">
        <v>924</v>
      </c>
      <c r="AB480" s="12"/>
    </row>
    <row r="481" spans="1:28" ht="140.25">
      <c r="A481" s="41">
        <v>821</v>
      </c>
      <c r="B481" s="66" t="s">
        <v>1968</v>
      </c>
      <c r="C481" s="66" t="s">
        <v>1969</v>
      </c>
      <c r="D481" s="66" t="s">
        <v>1970</v>
      </c>
      <c r="E481" s="43" t="s">
        <v>42</v>
      </c>
      <c r="F481" s="44" t="s">
        <v>42</v>
      </c>
      <c r="G481" s="45" t="s">
        <v>42</v>
      </c>
      <c r="H481" s="46"/>
      <c r="I481" s="47"/>
      <c r="J481" s="48"/>
      <c r="K481" s="49"/>
      <c r="L481" s="46"/>
      <c r="M481" s="34"/>
      <c r="N481" s="66"/>
      <c r="O481" s="68"/>
      <c r="P481" s="50" t="e">
        <v>#REF!</v>
      </c>
      <c r="Q481" s="62" t="s">
        <v>86</v>
      </c>
      <c r="R481" s="51" t="s">
        <v>43</v>
      </c>
      <c r="S481" s="51" t="s">
        <v>1971</v>
      </c>
      <c r="T481" s="12"/>
      <c r="U481" s="12"/>
      <c r="V481" s="12"/>
      <c r="W481" s="12"/>
      <c r="X481" s="14" t="e">
        <f t="array" ref="X481">IF(OR(AND(#REF!=""),AND(#REF!="-"),OR(NOT(ISERROR(SEARCH("-*",H481:L481))))),0,1)</f>
        <v>#REF!</v>
      </c>
      <c r="Y481" s="12"/>
      <c r="Z481" s="14">
        <f t="array" ref="Z481">IF(AND(E481:G481="-"),0,IF(OR(NOT(ISERROR(SEARCH("+*",H481:L481)))),2,IF(OR(NOT(ISERROR(SEARCH("--*",E481:L481)))),-1,IF(OR(NOT(E481:G481="")),1,0))))</f>
        <v>1</v>
      </c>
      <c r="AA481" s="14">
        <v>925</v>
      </c>
      <c r="AB481" s="12"/>
    </row>
    <row r="482" spans="1:28" ht="216.75">
      <c r="A482" s="41">
        <v>822</v>
      </c>
      <c r="B482" s="66" t="s">
        <v>1972</v>
      </c>
      <c r="C482" s="66" t="s">
        <v>1973</v>
      </c>
      <c r="D482" s="66" t="s">
        <v>1974</v>
      </c>
      <c r="E482" s="43" t="s">
        <v>42</v>
      </c>
      <c r="F482" s="57" t="s">
        <v>42</v>
      </c>
      <c r="G482" s="53" t="s">
        <v>42</v>
      </c>
      <c r="H482" s="46"/>
      <c r="I482" s="47"/>
      <c r="J482" s="48"/>
      <c r="K482" s="49"/>
      <c r="L482" s="46"/>
      <c r="M482" s="34"/>
      <c r="N482" s="66"/>
      <c r="O482" s="68"/>
      <c r="P482" s="50" t="e">
        <v>#REF!</v>
      </c>
      <c r="Q482" s="62" t="s">
        <v>86</v>
      </c>
      <c r="R482" s="51" t="s">
        <v>43</v>
      </c>
      <c r="S482" s="51" t="s">
        <v>1975</v>
      </c>
      <c r="T482" s="12"/>
      <c r="U482" s="12"/>
      <c r="V482" s="12"/>
      <c r="W482" s="12"/>
      <c r="X482" s="14" t="e">
        <f t="array" ref="X482">IF(OR(AND(#REF!=""),AND(#REF!="-"),OR(NOT(ISERROR(SEARCH("-*",H482:L482))))),0,1)</f>
        <v>#REF!</v>
      </c>
      <c r="Y482" s="12"/>
      <c r="Z482" s="14">
        <f t="array" ref="Z482">IF(AND(E482:G482="-"),0,IF(OR(NOT(ISERROR(SEARCH("+*",H482:L482)))),2,IF(OR(NOT(ISERROR(SEARCH("--*",E482:L482)))),-1,IF(OR(NOT(E482:G482="")),1,0))))</f>
        <v>1</v>
      </c>
      <c r="AA482" s="14">
        <v>926</v>
      </c>
      <c r="AB482" s="12"/>
    </row>
    <row r="483" spans="1:28" ht="25.5">
      <c r="A483" s="41">
        <v>823</v>
      </c>
      <c r="B483" s="66" t="s">
        <v>1976</v>
      </c>
      <c r="C483" s="66" t="s">
        <v>1977</v>
      </c>
      <c r="D483" s="66" t="s">
        <v>1978</v>
      </c>
      <c r="E483" s="43" t="s">
        <v>42</v>
      </c>
      <c r="F483" s="44" t="s">
        <v>42</v>
      </c>
      <c r="G483" s="53" t="s">
        <v>42</v>
      </c>
      <c r="H483" s="46"/>
      <c r="I483" s="47"/>
      <c r="J483" s="48"/>
      <c r="K483" s="49"/>
      <c r="L483" s="46"/>
      <c r="M483" s="34"/>
      <c r="N483" s="66"/>
      <c r="O483" s="68"/>
      <c r="P483" s="50" t="e">
        <v>#REF!</v>
      </c>
      <c r="Q483" s="62" t="s">
        <v>86</v>
      </c>
      <c r="R483" s="51"/>
      <c r="S483" s="51"/>
      <c r="T483" s="12"/>
      <c r="U483" s="12"/>
      <c r="V483" s="12"/>
      <c r="W483" s="12"/>
      <c r="X483" s="14" t="e">
        <f t="array" ref="X483">IF(OR(AND(#REF!=""),AND(#REF!="-"),OR(NOT(ISERROR(SEARCH("-*",H483:L483))))),0,1)</f>
        <v>#REF!</v>
      </c>
      <c r="Y483" s="12"/>
      <c r="Z483" s="14">
        <f t="array" ref="Z483">IF(AND(E483:G483="-"),0,IF(OR(NOT(ISERROR(SEARCH("+*",H483:L483)))),2,IF(OR(NOT(ISERROR(SEARCH("--*",E483:L483)))),-1,IF(OR(NOT(E483:G483="")),1,0))))</f>
        <v>1</v>
      </c>
      <c r="AA483" s="14">
        <v>927</v>
      </c>
      <c r="AB483" s="12"/>
    </row>
    <row r="484" spans="1:28" ht="114.75">
      <c r="A484" s="41">
        <v>824</v>
      </c>
      <c r="B484" s="66" t="s">
        <v>1979</v>
      </c>
      <c r="C484" s="66" t="s">
        <v>1980</v>
      </c>
      <c r="D484" s="66" t="s">
        <v>1981</v>
      </c>
      <c r="E484" s="43" t="s">
        <v>42</v>
      </c>
      <c r="F484" s="44" t="s">
        <v>42</v>
      </c>
      <c r="G484" s="53" t="s">
        <v>42</v>
      </c>
      <c r="H484" s="46"/>
      <c r="I484" s="47"/>
      <c r="J484" s="48"/>
      <c r="K484" s="49"/>
      <c r="L484" s="46"/>
      <c r="M484" s="34"/>
      <c r="N484" s="66"/>
      <c r="O484" s="68"/>
      <c r="P484" s="50" t="e">
        <v>#REF!</v>
      </c>
      <c r="Q484" s="62"/>
      <c r="R484" s="51"/>
      <c r="S484" s="51"/>
      <c r="T484" s="12"/>
      <c r="U484" s="12"/>
      <c r="V484" s="12"/>
      <c r="W484" s="12"/>
      <c r="X484" s="14" t="e">
        <f t="array" ref="X484">IF(OR(AND(#REF!=""),AND(#REF!="-"),OR(NOT(ISERROR(SEARCH("-*",H484:L484))))),0,1)</f>
        <v>#REF!</v>
      </c>
      <c r="Y484" s="12"/>
      <c r="Z484" s="14">
        <f t="array" ref="Z484">IF(AND(E484:G484="-"),0,IF(OR(NOT(ISERROR(SEARCH("+*",H484:L484)))),2,IF(OR(NOT(ISERROR(SEARCH("--*",E484:L484)))),-1,IF(OR(NOT(E484:G484="")),1,0))))</f>
        <v>1</v>
      </c>
      <c r="AA484" s="14">
        <v>928</v>
      </c>
      <c r="AB484" s="12"/>
    </row>
    <row r="485" spans="1:28" ht="102">
      <c r="A485" s="41">
        <v>825</v>
      </c>
      <c r="B485" s="66" t="s">
        <v>1982</v>
      </c>
      <c r="C485" s="66" t="s">
        <v>1983</v>
      </c>
      <c r="D485" s="66" t="s">
        <v>1984</v>
      </c>
      <c r="E485" s="43" t="s">
        <v>42</v>
      </c>
      <c r="F485" s="44" t="s">
        <v>42</v>
      </c>
      <c r="G485" s="53" t="s">
        <v>42</v>
      </c>
      <c r="H485" s="46"/>
      <c r="I485" s="47"/>
      <c r="J485" s="48"/>
      <c r="K485" s="49"/>
      <c r="L485" s="46"/>
      <c r="M485" s="34"/>
      <c r="N485" s="66"/>
      <c r="O485" s="68"/>
      <c r="P485" s="50" t="e">
        <v>#REF!</v>
      </c>
      <c r="Q485" s="62" t="s">
        <v>86</v>
      </c>
      <c r="R485" s="51"/>
      <c r="S485" s="51"/>
      <c r="T485" s="12"/>
      <c r="U485" s="12"/>
      <c r="V485" s="12"/>
      <c r="W485" s="12"/>
      <c r="X485" s="14" t="e">
        <f t="array" ref="X485">IF(OR(AND(#REF!=""),AND(#REF!="-"),OR(NOT(ISERROR(SEARCH("-*",H485:L485))))),0,1)</f>
        <v>#REF!</v>
      </c>
      <c r="Y485" s="12"/>
      <c r="Z485" s="14">
        <f t="array" ref="Z485">IF(AND(E485:G485="-"),0,IF(OR(NOT(ISERROR(SEARCH("+*",H485:L485)))),2,IF(OR(NOT(ISERROR(SEARCH("--*",E485:L485)))),-1,IF(OR(NOT(E485:G485="")),1,0))))</f>
        <v>1</v>
      </c>
      <c r="AA485" s="14">
        <v>929</v>
      </c>
      <c r="AB485" s="12"/>
    </row>
    <row r="486" spans="1:28" ht="178.5">
      <c r="A486" s="41">
        <v>826</v>
      </c>
      <c r="B486" s="66" t="s">
        <v>1985</v>
      </c>
      <c r="C486" s="66" t="s">
        <v>1986</v>
      </c>
      <c r="D486" s="66" t="s">
        <v>1987</v>
      </c>
      <c r="E486" s="19" t="s">
        <v>42</v>
      </c>
      <c r="F486" s="57" t="s">
        <v>42</v>
      </c>
      <c r="G486" s="53" t="s">
        <v>42</v>
      </c>
      <c r="H486" s="46"/>
      <c r="I486" s="71"/>
      <c r="J486" s="48"/>
      <c r="K486" s="74"/>
      <c r="L486" s="46"/>
      <c r="M486" s="34"/>
      <c r="N486" s="66"/>
      <c r="O486" s="68"/>
      <c r="P486" s="50" t="e">
        <v>#REF!</v>
      </c>
      <c r="Q486" s="82"/>
      <c r="R486" s="51" t="s">
        <v>51</v>
      </c>
      <c r="S486" s="51" t="s">
        <v>1988</v>
      </c>
      <c r="T486" s="12"/>
      <c r="U486" s="12"/>
      <c r="V486" s="12"/>
      <c r="W486" s="12"/>
      <c r="X486" s="14" t="e">
        <f t="array" ref="X486">IF(OR(AND(#REF!=""),AND(#REF!="-"),OR(NOT(ISERROR(SEARCH("-*",H486:L486))))),0,1)</f>
        <v>#REF!</v>
      </c>
      <c r="Y486" s="12"/>
      <c r="Z486" s="14">
        <f t="array" ref="Z486">IF(AND(E486:G486="-"),0,IF(OR(NOT(ISERROR(SEARCH("+*",H486:L486)))),2,IF(OR(NOT(ISERROR(SEARCH("--*",E486:L486)))),-1,IF(OR(NOT(E486:G486="")),1,0))))</f>
        <v>1</v>
      </c>
      <c r="AA486" s="14">
        <v>930</v>
      </c>
      <c r="AB486" s="12"/>
    </row>
    <row r="487" spans="1:28" ht="12.75">
      <c r="A487" s="12"/>
      <c r="B487" s="12"/>
      <c r="C487" s="83"/>
      <c r="D487" s="12"/>
      <c r="E487" s="84"/>
      <c r="F487" s="84"/>
      <c r="G487" s="84"/>
      <c r="H487" s="12"/>
      <c r="I487" s="12"/>
      <c r="J487" s="12"/>
      <c r="K487" s="85"/>
      <c r="L487" s="12"/>
      <c r="M487" s="86"/>
      <c r="N487" s="88"/>
      <c r="O487" s="87"/>
      <c r="P487" s="12"/>
      <c r="Q487" s="12"/>
      <c r="R487" s="12"/>
      <c r="S487" s="12"/>
      <c r="T487" s="12"/>
      <c r="U487" s="12"/>
      <c r="V487" s="12"/>
      <c r="W487" s="12"/>
      <c r="X487" s="12"/>
      <c r="Y487" s="12"/>
      <c r="Z487" s="12"/>
      <c r="AA487" s="12"/>
      <c r="AB487" s="12"/>
    </row>
    <row r="488" spans="1:28" ht="12.75">
      <c r="A488" s="12"/>
      <c r="B488" s="12"/>
      <c r="C488" s="83"/>
      <c r="D488" s="12"/>
      <c r="E488" s="84"/>
      <c r="F488" s="84"/>
      <c r="G488" s="84"/>
      <c r="H488" s="12"/>
      <c r="I488" s="12"/>
      <c r="J488" s="12"/>
      <c r="K488" s="85"/>
      <c r="L488" s="12"/>
      <c r="M488" s="86"/>
      <c r="N488" s="88"/>
      <c r="O488" s="87"/>
      <c r="P488" s="12"/>
      <c r="Q488" s="12"/>
      <c r="R488" s="12"/>
      <c r="S488" s="12"/>
      <c r="T488" s="12"/>
      <c r="U488" s="12"/>
      <c r="V488" s="12"/>
      <c r="W488" s="12"/>
      <c r="X488" s="12"/>
      <c r="Y488" s="12"/>
      <c r="Z488" s="12"/>
      <c r="AA488" s="12"/>
      <c r="AB488" s="12"/>
    </row>
    <row r="489" spans="1:28" ht="12.75">
      <c r="A489" s="12"/>
      <c r="B489" s="12"/>
      <c r="C489" s="83"/>
      <c r="D489" s="12"/>
      <c r="E489" s="84"/>
      <c r="F489" s="84"/>
      <c r="G489" s="84"/>
      <c r="H489" s="12"/>
      <c r="I489" s="12"/>
      <c r="J489" s="12"/>
      <c r="K489" s="85"/>
      <c r="L489" s="12"/>
      <c r="M489" s="86"/>
      <c r="N489" s="88"/>
      <c r="O489" s="87"/>
      <c r="P489" s="12"/>
      <c r="Q489" s="12"/>
      <c r="R489" s="12"/>
      <c r="S489" s="12"/>
      <c r="T489" s="12"/>
      <c r="U489" s="12"/>
      <c r="V489" s="12"/>
      <c r="W489" s="12"/>
      <c r="X489" s="12"/>
      <c r="Y489" s="12"/>
      <c r="Z489" s="12"/>
      <c r="AA489" s="12"/>
      <c r="AB489" s="12"/>
    </row>
    <row r="490" spans="1:28" ht="12.75">
      <c r="A490" s="12"/>
      <c r="B490" s="12"/>
      <c r="C490" s="83"/>
      <c r="D490" s="12"/>
      <c r="E490" s="84"/>
      <c r="F490" s="84"/>
      <c r="G490" s="84"/>
      <c r="H490" s="12"/>
      <c r="I490" s="12"/>
      <c r="J490" s="12"/>
      <c r="K490" s="85"/>
      <c r="L490" s="12"/>
      <c r="M490" s="86"/>
      <c r="N490" s="88"/>
      <c r="O490" s="87"/>
      <c r="P490" s="12"/>
      <c r="Q490" s="12"/>
      <c r="R490" s="12"/>
      <c r="S490" s="12"/>
      <c r="T490" s="12"/>
      <c r="U490" s="12"/>
      <c r="V490" s="12"/>
      <c r="W490" s="12"/>
      <c r="X490" s="12"/>
      <c r="Y490" s="12"/>
      <c r="Z490" s="12"/>
      <c r="AA490" s="12"/>
      <c r="AB490" s="12"/>
    </row>
    <row r="491" spans="1:28" ht="12.75">
      <c r="A491" s="12"/>
      <c r="B491" s="12"/>
      <c r="C491" s="83"/>
      <c r="D491" s="12"/>
      <c r="E491" s="84"/>
      <c r="F491" s="84"/>
      <c r="G491" s="84"/>
      <c r="H491" s="12"/>
      <c r="I491" s="12"/>
      <c r="J491" s="12"/>
      <c r="K491" s="85"/>
      <c r="L491" s="12"/>
      <c r="M491" s="86"/>
      <c r="N491" s="88"/>
      <c r="O491" s="87"/>
      <c r="P491" s="12"/>
      <c r="Q491" s="12"/>
      <c r="R491" s="12"/>
      <c r="S491" s="12"/>
      <c r="T491" s="12"/>
      <c r="U491" s="12"/>
      <c r="V491" s="12"/>
      <c r="W491" s="12"/>
      <c r="X491" s="12"/>
      <c r="Y491" s="12"/>
      <c r="Z491" s="12"/>
      <c r="AA491" s="12"/>
      <c r="AB491" s="12"/>
    </row>
    <row r="492" spans="1:28" ht="12.75">
      <c r="A492" s="12"/>
      <c r="B492" s="12"/>
      <c r="C492" s="83"/>
      <c r="D492" s="12"/>
      <c r="E492" s="84"/>
      <c r="F492" s="84"/>
      <c r="G492" s="84"/>
      <c r="H492" s="12"/>
      <c r="I492" s="12"/>
      <c r="J492" s="12"/>
      <c r="K492" s="85"/>
      <c r="L492" s="12"/>
      <c r="M492" s="86"/>
      <c r="N492" s="88"/>
      <c r="O492" s="87"/>
      <c r="P492" s="12"/>
      <c r="Q492" s="12"/>
      <c r="R492" s="12"/>
      <c r="S492" s="12"/>
      <c r="T492" s="12"/>
      <c r="U492" s="12"/>
      <c r="V492" s="12"/>
      <c r="W492" s="12"/>
      <c r="X492" s="12"/>
      <c r="Y492" s="12"/>
      <c r="Z492" s="12"/>
      <c r="AA492" s="12"/>
      <c r="AB492" s="12"/>
    </row>
    <row r="493" spans="1:28" ht="12.75">
      <c r="A493" s="12"/>
      <c r="B493" s="12"/>
      <c r="C493" s="83"/>
      <c r="D493" s="12"/>
      <c r="E493" s="84"/>
      <c r="F493" s="84"/>
      <c r="G493" s="84"/>
      <c r="H493" s="12"/>
      <c r="I493" s="12"/>
      <c r="J493" s="12"/>
      <c r="K493" s="85"/>
      <c r="L493" s="12"/>
      <c r="M493" s="86"/>
      <c r="N493" s="88"/>
      <c r="O493" s="87"/>
      <c r="P493" s="12"/>
      <c r="Q493" s="12"/>
      <c r="R493" s="12"/>
      <c r="S493" s="12"/>
      <c r="T493" s="12"/>
      <c r="U493" s="12"/>
      <c r="V493" s="12"/>
      <c r="W493" s="12"/>
      <c r="X493" s="12"/>
      <c r="Y493" s="12"/>
      <c r="Z493" s="12"/>
      <c r="AA493" s="12"/>
      <c r="AB493" s="12"/>
    </row>
    <row r="494" spans="1:28" ht="12.75">
      <c r="A494" s="12"/>
      <c r="B494" s="12"/>
      <c r="C494" s="83"/>
      <c r="D494" s="12"/>
      <c r="E494" s="84"/>
      <c r="F494" s="84"/>
      <c r="G494" s="84"/>
      <c r="H494" s="12"/>
      <c r="I494" s="12"/>
      <c r="J494" s="12"/>
      <c r="K494" s="85"/>
      <c r="L494" s="12"/>
      <c r="M494" s="86"/>
      <c r="N494" s="88"/>
      <c r="O494" s="87"/>
      <c r="P494" s="12"/>
      <c r="Q494" s="12"/>
      <c r="R494" s="12"/>
      <c r="S494" s="12"/>
      <c r="T494" s="12"/>
      <c r="U494" s="12"/>
      <c r="V494" s="12"/>
      <c r="W494" s="12"/>
      <c r="X494" s="12"/>
      <c r="Y494" s="12"/>
      <c r="Z494" s="12"/>
      <c r="AA494" s="12"/>
      <c r="AB494" s="12"/>
    </row>
    <row r="495" spans="1:28" ht="12.75">
      <c r="A495" s="12"/>
      <c r="B495" s="12"/>
      <c r="C495" s="83"/>
      <c r="D495" s="12"/>
      <c r="E495" s="84"/>
      <c r="F495" s="84"/>
      <c r="G495" s="84"/>
      <c r="H495" s="12"/>
      <c r="I495" s="12"/>
      <c r="J495" s="12"/>
      <c r="K495" s="85"/>
      <c r="L495" s="12"/>
      <c r="M495" s="86"/>
      <c r="N495" s="88"/>
      <c r="O495" s="87"/>
      <c r="P495" s="12"/>
      <c r="Q495" s="12"/>
      <c r="R495" s="12"/>
      <c r="S495" s="12"/>
      <c r="T495" s="12"/>
      <c r="U495" s="12"/>
      <c r="V495" s="12"/>
      <c r="W495" s="12"/>
      <c r="X495" s="12"/>
      <c r="Y495" s="12"/>
      <c r="Z495" s="12"/>
      <c r="AA495" s="12"/>
      <c r="AB495" s="12"/>
    </row>
    <row r="496" spans="1:28" ht="12.75">
      <c r="A496" s="12"/>
      <c r="B496" s="12"/>
      <c r="C496" s="83"/>
      <c r="D496" s="12"/>
      <c r="E496" s="84"/>
      <c r="F496" s="84"/>
      <c r="G496" s="84"/>
      <c r="H496" s="12"/>
      <c r="I496" s="12"/>
      <c r="J496" s="12"/>
      <c r="K496" s="85"/>
      <c r="L496" s="12"/>
      <c r="M496" s="86"/>
      <c r="N496" s="88"/>
      <c r="O496" s="87"/>
      <c r="P496" s="12"/>
      <c r="Q496" s="12"/>
      <c r="R496" s="12"/>
      <c r="S496" s="12"/>
      <c r="T496" s="12"/>
      <c r="U496" s="12"/>
      <c r="V496" s="12"/>
      <c r="W496" s="12"/>
      <c r="X496" s="12"/>
      <c r="Y496" s="12"/>
      <c r="Z496" s="12"/>
      <c r="AA496" s="12"/>
      <c r="AB496" s="12"/>
    </row>
    <row r="497" spans="1:28" ht="12.75">
      <c r="A497" s="12"/>
      <c r="B497" s="12"/>
      <c r="C497" s="83"/>
      <c r="D497" s="12"/>
      <c r="E497" s="84"/>
      <c r="F497" s="84"/>
      <c r="G497" s="84"/>
      <c r="H497" s="12"/>
      <c r="I497" s="12"/>
      <c r="J497" s="12"/>
      <c r="K497" s="85"/>
      <c r="L497" s="12"/>
      <c r="M497" s="86"/>
      <c r="N497" s="88"/>
      <c r="O497" s="87"/>
      <c r="P497" s="12"/>
      <c r="Q497" s="12"/>
      <c r="R497" s="12"/>
      <c r="S497" s="12"/>
      <c r="T497" s="12"/>
      <c r="U497" s="12"/>
      <c r="V497" s="12"/>
      <c r="W497" s="12"/>
      <c r="X497" s="12"/>
      <c r="Y497" s="12"/>
      <c r="Z497" s="12"/>
      <c r="AA497" s="12"/>
      <c r="AB497" s="12"/>
    </row>
    <row r="498" spans="1:28" ht="12.75">
      <c r="A498" s="12"/>
      <c r="B498" s="12"/>
      <c r="C498" s="83"/>
      <c r="D498" s="12"/>
      <c r="E498" s="84"/>
      <c r="F498" s="84"/>
      <c r="G498" s="84"/>
      <c r="H498" s="12"/>
      <c r="I498" s="12"/>
      <c r="J498" s="12"/>
      <c r="K498" s="85"/>
      <c r="L498" s="12"/>
      <c r="M498" s="86"/>
      <c r="N498" s="88"/>
      <c r="O498" s="87"/>
      <c r="P498" s="12"/>
      <c r="Q498" s="12"/>
      <c r="R498" s="12"/>
      <c r="S498" s="12"/>
      <c r="T498" s="12"/>
      <c r="U498" s="12"/>
      <c r="V498" s="12"/>
      <c r="W498" s="12"/>
      <c r="X498" s="12"/>
      <c r="Y498" s="12"/>
      <c r="Z498" s="12"/>
      <c r="AA498" s="12"/>
      <c r="AB498" s="12"/>
    </row>
    <row r="499" spans="1:28" ht="12.75">
      <c r="A499" s="12"/>
      <c r="B499" s="12"/>
      <c r="C499" s="83"/>
      <c r="D499" s="12"/>
      <c r="E499" s="84"/>
      <c r="F499" s="84"/>
      <c r="G499" s="84"/>
      <c r="H499" s="12"/>
      <c r="I499" s="12"/>
      <c r="J499" s="12"/>
      <c r="K499" s="85"/>
      <c r="L499" s="12"/>
      <c r="M499" s="86"/>
      <c r="N499" s="88"/>
      <c r="O499" s="87"/>
      <c r="P499" s="12"/>
      <c r="Q499" s="12"/>
      <c r="R499" s="12"/>
      <c r="S499" s="12"/>
      <c r="T499" s="12"/>
      <c r="U499" s="12"/>
      <c r="V499" s="12"/>
      <c r="W499" s="12"/>
      <c r="X499" s="12"/>
      <c r="Y499" s="12"/>
      <c r="Z499" s="12"/>
      <c r="AA499" s="12"/>
      <c r="AB499" s="12"/>
    </row>
    <row r="500" spans="1:28" ht="12.75">
      <c r="A500" s="12"/>
      <c r="B500" s="12"/>
      <c r="C500" s="83"/>
      <c r="D500" s="12"/>
      <c r="E500" s="84"/>
      <c r="F500" s="84"/>
      <c r="G500" s="84"/>
      <c r="H500" s="12"/>
      <c r="I500" s="12"/>
      <c r="J500" s="12"/>
      <c r="K500" s="85"/>
      <c r="L500" s="12"/>
      <c r="M500" s="86"/>
      <c r="N500" s="88"/>
      <c r="O500" s="87"/>
      <c r="P500" s="12"/>
      <c r="Q500" s="12"/>
      <c r="R500" s="12"/>
      <c r="S500" s="12"/>
      <c r="T500" s="12"/>
      <c r="U500" s="12"/>
      <c r="V500" s="12"/>
      <c r="W500" s="12"/>
      <c r="X500" s="12"/>
      <c r="Y500" s="12"/>
      <c r="Z500" s="12"/>
      <c r="AA500" s="12"/>
      <c r="AB500" s="12"/>
    </row>
    <row r="501" spans="1:28" ht="12.75">
      <c r="A501" s="12"/>
      <c r="B501" s="12"/>
      <c r="C501" s="83"/>
      <c r="D501" s="12"/>
      <c r="E501" s="84"/>
      <c r="F501" s="84"/>
      <c r="G501" s="84"/>
      <c r="H501" s="12"/>
      <c r="I501" s="12"/>
      <c r="J501" s="12"/>
      <c r="K501" s="85"/>
      <c r="L501" s="12"/>
      <c r="M501" s="86"/>
      <c r="N501" s="88"/>
      <c r="O501" s="87"/>
      <c r="P501" s="12"/>
      <c r="Q501" s="12"/>
      <c r="R501" s="12"/>
      <c r="S501" s="12"/>
      <c r="T501" s="12"/>
      <c r="U501" s="12"/>
      <c r="V501" s="12"/>
      <c r="W501" s="12"/>
      <c r="X501" s="12"/>
      <c r="Y501" s="12"/>
      <c r="Z501" s="12"/>
      <c r="AA501" s="12"/>
      <c r="AB501" s="12"/>
    </row>
    <row r="502" spans="1:28" ht="12.75">
      <c r="A502" s="12"/>
      <c r="B502" s="12"/>
      <c r="C502" s="83"/>
      <c r="D502" s="12"/>
      <c r="E502" s="84"/>
      <c r="F502" s="84"/>
      <c r="G502" s="84"/>
      <c r="H502" s="12"/>
      <c r="I502" s="12"/>
      <c r="J502" s="12"/>
      <c r="K502" s="85"/>
      <c r="L502" s="12"/>
      <c r="M502" s="86"/>
      <c r="N502" s="88"/>
      <c r="O502" s="87"/>
      <c r="P502" s="12"/>
      <c r="Q502" s="12"/>
      <c r="R502" s="12"/>
      <c r="S502" s="12"/>
      <c r="T502" s="12"/>
      <c r="U502" s="12"/>
      <c r="V502" s="12"/>
      <c r="W502" s="12"/>
      <c r="X502" s="12"/>
      <c r="Y502" s="12"/>
      <c r="Z502" s="12"/>
      <c r="AA502" s="12"/>
      <c r="AB502" s="12"/>
    </row>
    <row r="503" spans="1:28" ht="12.75">
      <c r="A503" s="12"/>
      <c r="B503" s="12"/>
      <c r="C503" s="83"/>
      <c r="D503" s="12"/>
      <c r="E503" s="84"/>
      <c r="F503" s="84"/>
      <c r="G503" s="84"/>
      <c r="H503" s="12"/>
      <c r="I503" s="12"/>
      <c r="J503" s="12"/>
      <c r="K503" s="85"/>
      <c r="L503" s="12"/>
      <c r="M503" s="86"/>
      <c r="N503" s="88"/>
      <c r="O503" s="87"/>
      <c r="P503" s="12"/>
      <c r="Q503" s="12"/>
      <c r="R503" s="12"/>
      <c r="S503" s="12"/>
      <c r="T503" s="12"/>
      <c r="U503" s="12"/>
      <c r="V503" s="12"/>
      <c r="W503" s="12"/>
      <c r="X503" s="12"/>
      <c r="Y503" s="12"/>
      <c r="Z503" s="12"/>
      <c r="AA503" s="12"/>
      <c r="AB503" s="12"/>
    </row>
    <row r="504" spans="1:28" ht="12.75">
      <c r="A504" s="12"/>
      <c r="B504" s="12"/>
      <c r="C504" s="83"/>
      <c r="D504" s="12"/>
      <c r="E504" s="84"/>
      <c r="F504" s="84"/>
      <c r="G504" s="84"/>
      <c r="H504" s="12"/>
      <c r="I504" s="12"/>
      <c r="J504" s="12"/>
      <c r="K504" s="85"/>
      <c r="L504" s="12"/>
      <c r="M504" s="86"/>
      <c r="N504" s="88"/>
      <c r="O504" s="87"/>
      <c r="P504" s="12"/>
      <c r="Q504" s="12"/>
      <c r="R504" s="12"/>
      <c r="S504" s="12"/>
      <c r="T504" s="12"/>
      <c r="U504" s="12"/>
      <c r="V504" s="12"/>
      <c r="W504" s="12"/>
      <c r="X504" s="12"/>
      <c r="Y504" s="12"/>
      <c r="Z504" s="12"/>
      <c r="AA504" s="12"/>
      <c r="AB504" s="12"/>
    </row>
    <row r="505" spans="1:28" ht="12.75">
      <c r="A505" s="12"/>
      <c r="B505" s="12"/>
      <c r="C505" s="83"/>
      <c r="D505" s="12"/>
      <c r="E505" s="84"/>
      <c r="F505" s="84"/>
      <c r="G505" s="84"/>
      <c r="H505" s="12"/>
      <c r="I505" s="12"/>
      <c r="J505" s="12"/>
      <c r="K505" s="85"/>
      <c r="L505" s="12"/>
      <c r="M505" s="86"/>
      <c r="N505" s="88"/>
      <c r="O505" s="87"/>
      <c r="P505" s="12"/>
      <c r="Q505" s="12"/>
      <c r="R505" s="12"/>
      <c r="S505" s="12"/>
      <c r="T505" s="12"/>
      <c r="U505" s="12"/>
      <c r="V505" s="12"/>
      <c r="W505" s="12"/>
      <c r="X505" s="12"/>
      <c r="Y505" s="12"/>
      <c r="Z505" s="12"/>
      <c r="AA505" s="12"/>
      <c r="AB505" s="12"/>
    </row>
    <row r="506" spans="1:28" ht="12.75">
      <c r="A506" s="12"/>
      <c r="B506" s="12"/>
      <c r="C506" s="83"/>
      <c r="D506" s="12"/>
      <c r="E506" s="84"/>
      <c r="F506" s="84"/>
      <c r="G506" s="84"/>
      <c r="H506" s="12"/>
      <c r="I506" s="12"/>
      <c r="J506" s="12"/>
      <c r="K506" s="85"/>
      <c r="L506" s="12"/>
      <c r="M506" s="86"/>
      <c r="N506" s="88"/>
      <c r="O506" s="87"/>
      <c r="P506" s="12"/>
      <c r="Q506" s="12"/>
      <c r="R506" s="12"/>
      <c r="S506" s="12"/>
      <c r="T506" s="12"/>
      <c r="U506" s="12"/>
      <c r="V506" s="12"/>
      <c r="W506" s="12"/>
      <c r="X506" s="12"/>
      <c r="Y506" s="12"/>
      <c r="Z506" s="12"/>
      <c r="AA506" s="12"/>
      <c r="AB506" s="12"/>
    </row>
    <row r="507" spans="1:28" ht="12.75">
      <c r="A507" s="12"/>
      <c r="B507" s="12"/>
      <c r="C507" s="83"/>
      <c r="D507" s="12"/>
      <c r="E507" s="84"/>
      <c r="F507" s="84"/>
      <c r="G507" s="84"/>
      <c r="H507" s="12"/>
      <c r="I507" s="12"/>
      <c r="J507" s="12"/>
      <c r="K507" s="85"/>
      <c r="L507" s="12"/>
      <c r="M507" s="86"/>
      <c r="N507" s="88"/>
      <c r="O507" s="87"/>
      <c r="P507" s="12"/>
      <c r="Q507" s="12"/>
      <c r="R507" s="12"/>
      <c r="S507" s="12"/>
      <c r="T507" s="12"/>
      <c r="U507" s="12"/>
      <c r="V507" s="12"/>
      <c r="W507" s="12"/>
      <c r="X507" s="12"/>
      <c r="Y507" s="12"/>
      <c r="Z507" s="12"/>
      <c r="AA507" s="12"/>
      <c r="AB507" s="12"/>
    </row>
    <row r="508" spans="1:28" ht="12.75">
      <c r="A508" s="12"/>
      <c r="B508" s="12"/>
      <c r="C508" s="83"/>
      <c r="D508" s="12"/>
      <c r="E508" s="84"/>
      <c r="F508" s="84"/>
      <c r="G508" s="84"/>
      <c r="H508" s="12"/>
      <c r="I508" s="12"/>
      <c r="J508" s="12"/>
      <c r="K508" s="85"/>
      <c r="L508" s="12"/>
      <c r="M508" s="86"/>
      <c r="N508" s="88"/>
      <c r="O508" s="87"/>
      <c r="P508" s="12"/>
      <c r="Q508" s="12"/>
      <c r="R508" s="12"/>
      <c r="S508" s="12"/>
      <c r="T508" s="12"/>
      <c r="U508" s="12"/>
      <c r="V508" s="12"/>
      <c r="W508" s="12"/>
      <c r="X508" s="12"/>
      <c r="Y508" s="12"/>
      <c r="Z508" s="12"/>
      <c r="AA508" s="12"/>
      <c r="AB508" s="12"/>
    </row>
    <row r="509" spans="1:28" ht="12.75">
      <c r="A509" s="12"/>
      <c r="B509" s="12"/>
      <c r="C509" s="83"/>
      <c r="D509" s="12"/>
      <c r="E509" s="84"/>
      <c r="F509" s="84"/>
      <c r="G509" s="84"/>
      <c r="H509" s="12"/>
      <c r="I509" s="12"/>
      <c r="J509" s="12"/>
      <c r="K509" s="85"/>
      <c r="L509" s="12"/>
      <c r="M509" s="86"/>
      <c r="N509" s="88"/>
      <c r="O509" s="87"/>
      <c r="P509" s="12"/>
      <c r="Q509" s="12"/>
      <c r="R509" s="12"/>
      <c r="S509" s="12"/>
      <c r="T509" s="12"/>
      <c r="U509" s="12"/>
      <c r="V509" s="12"/>
      <c r="W509" s="12"/>
      <c r="X509" s="12"/>
      <c r="Y509" s="12"/>
      <c r="Z509" s="12"/>
      <c r="AA509" s="12"/>
      <c r="AB509" s="12"/>
    </row>
    <row r="510" spans="1:28" ht="12.75">
      <c r="A510" s="12"/>
      <c r="B510" s="12"/>
      <c r="C510" s="83"/>
      <c r="D510" s="12"/>
      <c r="E510" s="84"/>
      <c r="F510" s="84"/>
      <c r="G510" s="84"/>
      <c r="H510" s="12"/>
      <c r="I510" s="12"/>
      <c r="J510" s="12"/>
      <c r="K510" s="85"/>
      <c r="L510" s="12"/>
      <c r="M510" s="86"/>
      <c r="N510" s="88"/>
      <c r="O510" s="87"/>
      <c r="P510" s="12"/>
      <c r="Q510" s="12"/>
      <c r="R510" s="12"/>
      <c r="S510" s="12"/>
      <c r="T510" s="12"/>
      <c r="U510" s="12"/>
      <c r="V510" s="12"/>
      <c r="W510" s="12"/>
      <c r="X510" s="12"/>
      <c r="Y510" s="12"/>
      <c r="Z510" s="12"/>
      <c r="AA510" s="12"/>
      <c r="AB510" s="12"/>
    </row>
    <row r="511" spans="1:28" ht="12.75">
      <c r="A511" s="12"/>
      <c r="B511" s="12"/>
      <c r="C511" s="83"/>
      <c r="D511" s="12"/>
      <c r="E511" s="84"/>
      <c r="F511" s="84"/>
      <c r="G511" s="84"/>
      <c r="H511" s="12"/>
      <c r="I511" s="12"/>
      <c r="J511" s="12"/>
      <c r="K511" s="85"/>
      <c r="L511" s="12"/>
      <c r="M511" s="86"/>
      <c r="N511" s="88"/>
      <c r="O511" s="87"/>
      <c r="P511" s="12"/>
      <c r="Q511" s="12"/>
      <c r="R511" s="12"/>
      <c r="S511" s="12"/>
      <c r="T511" s="12"/>
      <c r="U511" s="12"/>
      <c r="V511" s="12"/>
      <c r="W511" s="12"/>
      <c r="X511" s="12"/>
      <c r="Y511" s="12"/>
      <c r="Z511" s="12"/>
      <c r="AA511" s="12"/>
      <c r="AB511" s="12"/>
    </row>
    <row r="512" spans="1:28" ht="12.75">
      <c r="A512" s="12"/>
      <c r="B512" s="12"/>
      <c r="C512" s="83"/>
      <c r="D512" s="12"/>
      <c r="E512" s="84"/>
      <c r="F512" s="84"/>
      <c r="G512" s="84"/>
      <c r="H512" s="12"/>
      <c r="I512" s="12"/>
      <c r="J512" s="12"/>
      <c r="K512" s="85"/>
      <c r="L512" s="12"/>
      <c r="M512" s="86"/>
      <c r="N512" s="88"/>
      <c r="O512" s="87"/>
      <c r="P512" s="12"/>
      <c r="Q512" s="12"/>
      <c r="R512" s="12"/>
      <c r="S512" s="12"/>
      <c r="T512" s="12"/>
      <c r="U512" s="12"/>
      <c r="V512" s="12"/>
      <c r="W512" s="12"/>
      <c r="X512" s="12"/>
      <c r="Y512" s="12"/>
      <c r="Z512" s="12"/>
      <c r="AA512" s="12"/>
      <c r="AB512" s="12"/>
    </row>
    <row r="513" spans="1:28" ht="12.75">
      <c r="A513" s="12"/>
      <c r="B513" s="12"/>
      <c r="C513" s="83"/>
      <c r="D513" s="12"/>
      <c r="E513" s="84"/>
      <c r="F513" s="84"/>
      <c r="G513" s="84"/>
      <c r="H513" s="12"/>
      <c r="I513" s="12"/>
      <c r="J513" s="12"/>
      <c r="K513" s="85"/>
      <c r="L513" s="12"/>
      <c r="M513" s="86"/>
      <c r="N513" s="88"/>
      <c r="O513" s="87"/>
      <c r="P513" s="12"/>
      <c r="Q513" s="12"/>
      <c r="R513" s="12"/>
      <c r="S513" s="12"/>
      <c r="T513" s="12"/>
      <c r="U513" s="12"/>
      <c r="V513" s="12"/>
      <c r="W513" s="12"/>
      <c r="X513" s="12"/>
      <c r="Y513" s="12"/>
      <c r="Z513" s="12"/>
      <c r="AA513" s="12"/>
      <c r="AB513" s="12"/>
    </row>
    <row r="514" spans="1:28" ht="12.75">
      <c r="A514" s="12"/>
      <c r="B514" s="12"/>
      <c r="C514" s="83"/>
      <c r="D514" s="12"/>
      <c r="E514" s="84"/>
      <c r="F514" s="84"/>
      <c r="G514" s="84"/>
      <c r="H514" s="12"/>
      <c r="I514" s="12"/>
      <c r="J514" s="12"/>
      <c r="K514" s="85"/>
      <c r="L514" s="12"/>
      <c r="M514" s="86"/>
      <c r="N514" s="88"/>
      <c r="O514" s="87"/>
      <c r="P514" s="12"/>
      <c r="Q514" s="12"/>
      <c r="R514" s="12"/>
      <c r="S514" s="12"/>
      <c r="T514" s="12"/>
      <c r="U514" s="12"/>
      <c r="V514" s="12"/>
      <c r="W514" s="12"/>
      <c r="X514" s="12"/>
      <c r="Y514" s="12"/>
      <c r="Z514" s="12"/>
      <c r="AA514" s="12"/>
      <c r="AB514" s="12"/>
    </row>
    <row r="515" spans="1:28" ht="12.75">
      <c r="A515" s="12"/>
      <c r="B515" s="12"/>
      <c r="C515" s="83"/>
      <c r="D515" s="12"/>
      <c r="E515" s="84"/>
      <c r="F515" s="84"/>
      <c r="G515" s="84"/>
      <c r="H515" s="12"/>
      <c r="I515" s="12"/>
      <c r="J515" s="12"/>
      <c r="K515" s="85"/>
      <c r="L515" s="12"/>
      <c r="M515" s="86"/>
      <c r="N515" s="88"/>
      <c r="O515" s="87"/>
      <c r="P515" s="12"/>
      <c r="Q515" s="12"/>
      <c r="R515" s="12"/>
      <c r="S515" s="12"/>
      <c r="T515" s="12"/>
      <c r="U515" s="12"/>
      <c r="V515" s="12"/>
      <c r="W515" s="12"/>
      <c r="X515" s="12"/>
      <c r="Y515" s="12"/>
      <c r="Z515" s="12"/>
      <c r="AA515" s="12"/>
      <c r="AB515" s="12"/>
    </row>
    <row r="516" spans="1:28" ht="12.75">
      <c r="A516" s="12"/>
      <c r="B516" s="12"/>
      <c r="C516" s="83"/>
      <c r="D516" s="12"/>
      <c r="E516" s="84"/>
      <c r="F516" s="84"/>
      <c r="G516" s="84"/>
      <c r="H516" s="12"/>
      <c r="I516" s="12"/>
      <c r="J516" s="12"/>
      <c r="K516" s="85"/>
      <c r="L516" s="12"/>
      <c r="M516" s="86"/>
      <c r="N516" s="88"/>
      <c r="O516" s="87"/>
      <c r="P516" s="12"/>
      <c r="Q516" s="12"/>
      <c r="R516" s="12"/>
      <c r="S516" s="12"/>
      <c r="T516" s="12"/>
      <c r="U516" s="12"/>
      <c r="V516" s="12"/>
      <c r="W516" s="12"/>
      <c r="X516" s="12"/>
      <c r="Y516" s="12"/>
      <c r="Z516" s="12"/>
      <c r="AA516" s="12"/>
      <c r="AB516" s="12"/>
    </row>
    <row r="517" spans="1:28" ht="12.75">
      <c r="A517" s="12"/>
      <c r="B517" s="12"/>
      <c r="C517" s="83"/>
      <c r="D517" s="12"/>
      <c r="E517" s="84"/>
      <c r="F517" s="84"/>
      <c r="G517" s="84"/>
      <c r="H517" s="12"/>
      <c r="I517" s="12"/>
      <c r="J517" s="12"/>
      <c r="K517" s="85"/>
      <c r="L517" s="12"/>
      <c r="M517" s="86"/>
      <c r="N517" s="88"/>
      <c r="O517" s="87"/>
      <c r="P517" s="12"/>
      <c r="Q517" s="12"/>
      <c r="R517" s="12"/>
      <c r="S517" s="12"/>
      <c r="T517" s="12"/>
      <c r="U517" s="12"/>
      <c r="V517" s="12"/>
      <c r="W517" s="12"/>
      <c r="X517" s="12"/>
      <c r="Y517" s="12"/>
      <c r="Z517" s="12"/>
      <c r="AA517" s="12"/>
      <c r="AB517" s="12"/>
    </row>
    <row r="518" spans="1:28" ht="12.75">
      <c r="A518" s="12"/>
      <c r="B518" s="12"/>
      <c r="C518" s="83"/>
      <c r="D518" s="12"/>
      <c r="E518" s="84"/>
      <c r="F518" s="84"/>
      <c r="G518" s="84"/>
      <c r="H518" s="12"/>
      <c r="I518" s="12"/>
      <c r="J518" s="12"/>
      <c r="K518" s="85"/>
      <c r="L518" s="12"/>
      <c r="M518" s="86"/>
      <c r="N518" s="88"/>
      <c r="O518" s="87"/>
      <c r="P518" s="12"/>
      <c r="Q518" s="12"/>
      <c r="R518" s="12"/>
      <c r="S518" s="12"/>
      <c r="T518" s="12"/>
      <c r="U518" s="12"/>
      <c r="V518" s="12"/>
      <c r="W518" s="12"/>
      <c r="X518" s="12"/>
      <c r="Y518" s="12"/>
      <c r="Z518" s="12"/>
      <c r="AA518" s="12"/>
      <c r="AB518" s="12"/>
    </row>
    <row r="519" spans="1:28" ht="12.75">
      <c r="A519" s="12"/>
      <c r="B519" s="12"/>
      <c r="C519" s="83"/>
      <c r="D519" s="12"/>
      <c r="E519" s="84"/>
      <c r="F519" s="84"/>
      <c r="G519" s="84"/>
      <c r="H519" s="12"/>
      <c r="I519" s="12"/>
      <c r="J519" s="12"/>
      <c r="K519" s="85"/>
      <c r="L519" s="12"/>
      <c r="M519" s="86"/>
      <c r="N519" s="88"/>
      <c r="O519" s="87"/>
      <c r="P519" s="12"/>
      <c r="Q519" s="12"/>
      <c r="R519" s="12"/>
      <c r="S519" s="12"/>
      <c r="T519" s="12"/>
      <c r="U519" s="12"/>
      <c r="V519" s="12"/>
      <c r="W519" s="12"/>
      <c r="X519" s="12"/>
      <c r="Y519" s="12"/>
      <c r="Z519" s="12"/>
      <c r="AA519" s="12"/>
      <c r="AB519" s="12"/>
    </row>
    <row r="520" spans="1:28" ht="12.75">
      <c r="A520" s="12"/>
      <c r="B520" s="12"/>
      <c r="C520" s="83"/>
      <c r="D520" s="12"/>
      <c r="E520" s="84"/>
      <c r="F520" s="84"/>
      <c r="G520" s="84"/>
      <c r="H520" s="12"/>
      <c r="I520" s="12"/>
      <c r="J520" s="12"/>
      <c r="K520" s="85"/>
      <c r="L520" s="12"/>
      <c r="M520" s="86"/>
      <c r="N520" s="88"/>
      <c r="O520" s="87"/>
      <c r="P520" s="12"/>
      <c r="Q520" s="12"/>
      <c r="R520" s="12"/>
      <c r="S520" s="12"/>
      <c r="T520" s="12"/>
      <c r="U520" s="12"/>
      <c r="V520" s="12"/>
      <c r="W520" s="12"/>
      <c r="X520" s="12"/>
      <c r="Y520" s="12"/>
      <c r="Z520" s="12"/>
      <c r="AA520" s="12"/>
      <c r="AB520" s="12"/>
    </row>
    <row r="521" spans="1:28" ht="12.75">
      <c r="A521" s="12"/>
      <c r="B521" s="12"/>
      <c r="C521" s="83"/>
      <c r="D521" s="12"/>
      <c r="E521" s="84"/>
      <c r="F521" s="84"/>
      <c r="G521" s="84"/>
      <c r="H521" s="12"/>
      <c r="I521" s="12"/>
      <c r="J521" s="12"/>
      <c r="K521" s="85"/>
      <c r="L521" s="12"/>
      <c r="M521" s="86"/>
      <c r="N521" s="88"/>
      <c r="O521" s="87"/>
      <c r="P521" s="12"/>
      <c r="Q521" s="12"/>
      <c r="R521" s="12"/>
      <c r="S521" s="12"/>
      <c r="T521" s="12"/>
      <c r="U521" s="12"/>
      <c r="V521" s="12"/>
      <c r="W521" s="12"/>
      <c r="X521" s="12"/>
      <c r="Y521" s="12"/>
      <c r="Z521" s="12"/>
      <c r="AA521" s="12"/>
      <c r="AB521" s="12"/>
    </row>
    <row r="522" spans="1:28" ht="12.75">
      <c r="A522" s="12"/>
      <c r="B522" s="12"/>
      <c r="C522" s="83"/>
      <c r="D522" s="12"/>
      <c r="E522" s="84"/>
      <c r="F522" s="84"/>
      <c r="G522" s="84"/>
      <c r="H522" s="12"/>
      <c r="I522" s="12"/>
      <c r="J522" s="12"/>
      <c r="K522" s="85"/>
      <c r="L522" s="12"/>
      <c r="M522" s="86"/>
      <c r="N522" s="88"/>
      <c r="O522" s="87"/>
      <c r="P522" s="12"/>
      <c r="Q522" s="12"/>
      <c r="R522" s="12"/>
      <c r="S522" s="12"/>
      <c r="T522" s="12"/>
      <c r="U522" s="12"/>
      <c r="V522" s="12"/>
      <c r="W522" s="12"/>
      <c r="X522" s="12"/>
      <c r="Y522" s="12"/>
      <c r="Z522" s="12"/>
      <c r="AA522" s="12"/>
      <c r="AB522" s="12"/>
    </row>
    <row r="523" spans="1:28" ht="12.75">
      <c r="A523" s="12"/>
      <c r="B523" s="12"/>
      <c r="C523" s="83"/>
      <c r="D523" s="12"/>
      <c r="E523" s="84"/>
      <c r="F523" s="84"/>
      <c r="G523" s="84"/>
      <c r="H523" s="12"/>
      <c r="I523" s="12"/>
      <c r="J523" s="12"/>
      <c r="K523" s="85"/>
      <c r="L523" s="12"/>
      <c r="M523" s="86"/>
      <c r="N523" s="88"/>
      <c r="O523" s="87"/>
      <c r="P523" s="12"/>
      <c r="Q523" s="12"/>
      <c r="R523" s="12"/>
      <c r="S523" s="12"/>
      <c r="T523" s="12"/>
      <c r="U523" s="12"/>
      <c r="V523" s="12"/>
      <c r="W523" s="12"/>
      <c r="X523" s="12"/>
      <c r="Y523" s="12"/>
      <c r="Z523" s="12"/>
      <c r="AA523" s="12"/>
      <c r="AB523" s="12"/>
    </row>
    <row r="524" spans="1:28" ht="12.75">
      <c r="A524" s="12"/>
      <c r="B524" s="12"/>
      <c r="C524" s="83"/>
      <c r="D524" s="12"/>
      <c r="E524" s="84"/>
      <c r="F524" s="84"/>
      <c r="G524" s="84"/>
      <c r="H524" s="12"/>
      <c r="I524" s="12"/>
      <c r="J524" s="12"/>
      <c r="K524" s="85"/>
      <c r="L524" s="12"/>
      <c r="M524" s="86"/>
      <c r="N524" s="88"/>
      <c r="O524" s="87"/>
      <c r="P524" s="12"/>
      <c r="Q524" s="12"/>
      <c r="R524" s="12"/>
      <c r="S524" s="12"/>
      <c r="T524" s="12"/>
      <c r="U524" s="12"/>
      <c r="V524" s="12"/>
      <c r="W524" s="12"/>
      <c r="X524" s="12"/>
      <c r="Y524" s="12"/>
      <c r="Z524" s="12"/>
      <c r="AA524" s="12"/>
      <c r="AB524" s="12"/>
    </row>
    <row r="525" spans="1:28" ht="12.75">
      <c r="A525" s="12"/>
      <c r="B525" s="12"/>
      <c r="C525" s="83"/>
      <c r="D525" s="12"/>
      <c r="E525" s="84"/>
      <c r="F525" s="84"/>
      <c r="G525" s="84"/>
      <c r="H525" s="12"/>
      <c r="I525" s="12"/>
      <c r="J525" s="12"/>
      <c r="K525" s="85"/>
      <c r="L525" s="12"/>
      <c r="M525" s="86"/>
      <c r="N525" s="88"/>
      <c r="O525" s="87"/>
      <c r="P525" s="12"/>
      <c r="Q525" s="12"/>
      <c r="R525" s="12"/>
      <c r="S525" s="12"/>
      <c r="T525" s="12"/>
      <c r="U525" s="12"/>
      <c r="V525" s="12"/>
      <c r="W525" s="12"/>
      <c r="X525" s="12"/>
      <c r="Y525" s="12"/>
      <c r="Z525" s="12"/>
      <c r="AA525" s="12"/>
      <c r="AB525" s="12"/>
    </row>
    <row r="526" spans="1:28" ht="12.75">
      <c r="A526" s="12"/>
      <c r="B526" s="12"/>
      <c r="C526" s="83"/>
      <c r="D526" s="12"/>
      <c r="E526" s="84"/>
      <c r="F526" s="84"/>
      <c r="G526" s="84"/>
      <c r="H526" s="12"/>
      <c r="I526" s="12"/>
      <c r="J526" s="12"/>
      <c r="K526" s="85"/>
      <c r="L526" s="12"/>
      <c r="M526" s="86"/>
      <c r="N526" s="88"/>
      <c r="O526" s="87"/>
      <c r="P526" s="12"/>
      <c r="Q526" s="12"/>
      <c r="R526" s="12"/>
      <c r="S526" s="12"/>
      <c r="T526" s="12"/>
      <c r="U526" s="12"/>
      <c r="V526" s="12"/>
      <c r="W526" s="12"/>
      <c r="X526" s="12"/>
      <c r="Y526" s="12"/>
      <c r="Z526" s="12"/>
      <c r="AA526" s="12"/>
      <c r="AB526" s="12"/>
    </row>
    <row r="527" spans="1:28" ht="12.75">
      <c r="A527" s="12"/>
      <c r="B527" s="12"/>
      <c r="C527" s="83"/>
      <c r="D527" s="12"/>
      <c r="E527" s="84"/>
      <c r="F527" s="84"/>
      <c r="G527" s="84"/>
      <c r="H527" s="12"/>
      <c r="I527" s="12"/>
      <c r="J527" s="12"/>
      <c r="K527" s="85"/>
      <c r="L527" s="12"/>
      <c r="M527" s="86"/>
      <c r="N527" s="88"/>
      <c r="O527" s="87"/>
      <c r="P527" s="12"/>
      <c r="Q527" s="12"/>
      <c r="R527" s="12"/>
      <c r="S527" s="12"/>
      <c r="T527" s="12"/>
      <c r="U527" s="12"/>
      <c r="V527" s="12"/>
      <c r="W527" s="12"/>
      <c r="X527" s="12"/>
      <c r="Y527" s="12"/>
      <c r="Z527" s="12"/>
      <c r="AA527" s="12"/>
      <c r="AB527" s="12"/>
    </row>
    <row r="528" spans="1:28" ht="12.75">
      <c r="A528" s="12"/>
      <c r="B528" s="12"/>
      <c r="C528" s="83"/>
      <c r="D528" s="12"/>
      <c r="E528" s="84"/>
      <c r="F528" s="84"/>
      <c r="G528" s="84"/>
      <c r="H528" s="12"/>
      <c r="I528" s="12"/>
      <c r="J528" s="12"/>
      <c r="K528" s="85"/>
      <c r="L528" s="12"/>
      <c r="M528" s="86"/>
      <c r="N528" s="88"/>
      <c r="O528" s="87"/>
      <c r="P528" s="12"/>
      <c r="Q528" s="12"/>
      <c r="R528" s="12"/>
      <c r="S528" s="12"/>
      <c r="T528" s="12"/>
      <c r="U528" s="12"/>
      <c r="V528" s="12"/>
      <c r="W528" s="12"/>
      <c r="X528" s="12"/>
      <c r="Y528" s="12"/>
      <c r="Z528" s="12"/>
      <c r="AA528" s="12"/>
      <c r="AB528" s="12"/>
    </row>
    <row r="529" spans="1:28" ht="12.75">
      <c r="A529" s="12"/>
      <c r="B529" s="12"/>
      <c r="C529" s="83"/>
      <c r="D529" s="12"/>
      <c r="E529" s="84"/>
      <c r="F529" s="84"/>
      <c r="G529" s="84"/>
      <c r="H529" s="12"/>
      <c r="I529" s="12"/>
      <c r="J529" s="12"/>
      <c r="K529" s="85"/>
      <c r="L529" s="12"/>
      <c r="M529" s="86"/>
      <c r="N529" s="88"/>
      <c r="O529" s="87"/>
      <c r="P529" s="12"/>
      <c r="Q529" s="12"/>
      <c r="R529" s="12"/>
      <c r="S529" s="12"/>
      <c r="T529" s="12"/>
      <c r="U529" s="12"/>
      <c r="V529" s="12"/>
      <c r="W529" s="12"/>
      <c r="X529" s="12"/>
      <c r="Y529" s="12"/>
      <c r="Z529" s="12"/>
      <c r="AA529" s="12"/>
      <c r="AB529" s="12"/>
    </row>
    <row r="530" spans="1:28" ht="12.75">
      <c r="A530" s="12"/>
      <c r="B530" s="12"/>
      <c r="C530" s="83"/>
      <c r="D530" s="12"/>
      <c r="E530" s="84"/>
      <c r="F530" s="84"/>
      <c r="G530" s="84"/>
      <c r="H530" s="12"/>
      <c r="I530" s="12"/>
      <c r="J530" s="12"/>
      <c r="K530" s="85"/>
      <c r="L530" s="12"/>
      <c r="M530" s="86"/>
      <c r="N530" s="88"/>
      <c r="O530" s="87"/>
      <c r="P530" s="12"/>
      <c r="Q530" s="12"/>
      <c r="R530" s="12"/>
      <c r="S530" s="12"/>
      <c r="T530" s="12"/>
      <c r="U530" s="12"/>
      <c r="V530" s="12"/>
      <c r="W530" s="12"/>
      <c r="X530" s="12"/>
      <c r="Y530" s="12"/>
      <c r="Z530" s="12"/>
      <c r="AA530" s="12"/>
      <c r="AB530" s="12"/>
    </row>
    <row r="531" spans="1:28" ht="12.75">
      <c r="A531" s="12"/>
      <c r="B531" s="12"/>
      <c r="C531" s="83"/>
      <c r="D531" s="12"/>
      <c r="E531" s="84"/>
      <c r="F531" s="84"/>
      <c r="G531" s="84"/>
      <c r="H531" s="12"/>
      <c r="I531" s="12"/>
      <c r="J531" s="12"/>
      <c r="K531" s="85"/>
      <c r="L531" s="12"/>
      <c r="M531" s="86"/>
      <c r="N531" s="88"/>
      <c r="O531" s="87"/>
      <c r="P531" s="12"/>
      <c r="Q531" s="12"/>
      <c r="R531" s="12"/>
      <c r="S531" s="12"/>
      <c r="T531" s="12"/>
      <c r="U531" s="12"/>
      <c r="V531" s="12"/>
      <c r="W531" s="12"/>
      <c r="X531" s="12"/>
      <c r="Y531" s="12"/>
      <c r="Z531" s="12"/>
      <c r="AA531" s="12"/>
      <c r="AB531" s="12"/>
    </row>
    <row r="532" spans="1:28" ht="12.75">
      <c r="A532" s="12"/>
      <c r="B532" s="12"/>
      <c r="C532" s="83"/>
      <c r="D532" s="12"/>
      <c r="E532" s="84"/>
      <c r="F532" s="84"/>
      <c r="G532" s="84"/>
      <c r="H532" s="12"/>
      <c r="I532" s="12"/>
      <c r="J532" s="12"/>
      <c r="K532" s="85"/>
      <c r="L532" s="12"/>
      <c r="M532" s="86"/>
      <c r="N532" s="88"/>
      <c r="O532" s="87"/>
      <c r="P532" s="12"/>
      <c r="Q532" s="12"/>
      <c r="R532" s="12"/>
      <c r="S532" s="12"/>
      <c r="T532" s="12"/>
      <c r="U532" s="12"/>
      <c r="V532" s="12"/>
      <c r="W532" s="12"/>
      <c r="X532" s="12"/>
      <c r="Y532" s="12"/>
      <c r="Z532" s="12"/>
      <c r="AA532" s="12"/>
      <c r="AB532" s="12"/>
    </row>
    <row r="533" spans="1:28" ht="12.75">
      <c r="A533" s="12"/>
      <c r="B533" s="12"/>
      <c r="C533" s="83"/>
      <c r="D533" s="12"/>
      <c r="E533" s="84"/>
      <c r="F533" s="84"/>
      <c r="G533" s="84"/>
      <c r="H533" s="12"/>
      <c r="I533" s="12"/>
      <c r="J533" s="12"/>
      <c r="K533" s="85"/>
      <c r="L533" s="12"/>
      <c r="M533" s="86"/>
      <c r="N533" s="88"/>
      <c r="O533" s="87"/>
      <c r="P533" s="12"/>
      <c r="Q533" s="12"/>
      <c r="R533" s="12"/>
      <c r="S533" s="12"/>
      <c r="T533" s="12"/>
      <c r="U533" s="12"/>
      <c r="V533" s="12"/>
      <c r="W533" s="12"/>
      <c r="X533" s="12"/>
      <c r="Y533" s="12"/>
      <c r="Z533" s="12"/>
      <c r="AA533" s="12"/>
      <c r="AB533" s="12"/>
    </row>
    <row r="534" spans="1:28" ht="12.75">
      <c r="A534" s="12"/>
      <c r="B534" s="12"/>
      <c r="C534" s="83"/>
      <c r="D534" s="12"/>
      <c r="E534" s="84"/>
      <c r="F534" s="84"/>
      <c r="G534" s="84"/>
      <c r="H534" s="12"/>
      <c r="I534" s="12"/>
      <c r="J534" s="12"/>
      <c r="K534" s="85"/>
      <c r="L534" s="12"/>
      <c r="M534" s="86"/>
      <c r="N534" s="88"/>
      <c r="O534" s="87"/>
      <c r="P534" s="12"/>
      <c r="Q534" s="12"/>
      <c r="R534" s="12"/>
      <c r="S534" s="12"/>
      <c r="T534" s="12"/>
      <c r="U534" s="12"/>
      <c r="V534" s="12"/>
      <c r="W534" s="12"/>
      <c r="X534" s="12"/>
      <c r="Y534" s="12"/>
      <c r="Z534" s="12"/>
      <c r="AA534" s="12"/>
      <c r="AB534" s="12"/>
    </row>
    <row r="535" spans="1:28" ht="12.75">
      <c r="A535" s="12"/>
      <c r="B535" s="12"/>
      <c r="C535" s="83"/>
      <c r="D535" s="12"/>
      <c r="E535" s="84"/>
      <c r="F535" s="84"/>
      <c r="G535" s="84"/>
      <c r="H535" s="12"/>
      <c r="I535" s="12"/>
      <c r="J535" s="12"/>
      <c r="K535" s="85"/>
      <c r="L535" s="12"/>
      <c r="M535" s="86"/>
      <c r="N535" s="88"/>
      <c r="O535" s="87"/>
      <c r="P535" s="12"/>
      <c r="Q535" s="12"/>
      <c r="R535" s="12"/>
      <c r="S535" s="12"/>
      <c r="T535" s="12"/>
      <c r="U535" s="12"/>
      <c r="V535" s="12"/>
      <c r="W535" s="12"/>
      <c r="X535" s="12"/>
      <c r="Y535" s="12"/>
      <c r="Z535" s="12"/>
      <c r="AA535" s="12"/>
      <c r="AB535" s="12"/>
    </row>
    <row r="536" spans="1:28" ht="12.75">
      <c r="A536" s="12"/>
      <c r="B536" s="12"/>
      <c r="C536" s="83"/>
      <c r="D536" s="12"/>
      <c r="E536" s="84"/>
      <c r="F536" s="84"/>
      <c r="G536" s="84"/>
      <c r="H536" s="12"/>
      <c r="I536" s="12"/>
      <c r="J536" s="12"/>
      <c r="K536" s="85"/>
      <c r="L536" s="12"/>
      <c r="M536" s="86"/>
      <c r="N536" s="88"/>
      <c r="O536" s="87"/>
      <c r="P536" s="12"/>
      <c r="Q536" s="12"/>
      <c r="R536" s="12"/>
      <c r="S536" s="12"/>
      <c r="T536" s="12"/>
      <c r="U536" s="12"/>
      <c r="V536" s="12"/>
      <c r="W536" s="12"/>
      <c r="X536" s="12"/>
      <c r="Y536" s="12"/>
      <c r="Z536" s="12"/>
      <c r="AA536" s="12"/>
      <c r="AB536" s="12"/>
    </row>
    <row r="537" spans="1:28" ht="12.75">
      <c r="A537" s="12"/>
      <c r="B537" s="12"/>
      <c r="C537" s="83"/>
      <c r="D537" s="12"/>
      <c r="E537" s="84"/>
      <c r="F537" s="84"/>
      <c r="G537" s="84"/>
      <c r="H537" s="12"/>
      <c r="I537" s="12"/>
      <c r="J537" s="12"/>
      <c r="K537" s="85"/>
      <c r="L537" s="12"/>
      <c r="M537" s="86"/>
      <c r="N537" s="88"/>
      <c r="O537" s="87"/>
      <c r="P537" s="12"/>
      <c r="Q537" s="12"/>
      <c r="R537" s="12"/>
      <c r="S537" s="12"/>
      <c r="T537" s="12"/>
      <c r="U537" s="12"/>
      <c r="V537" s="12"/>
      <c r="W537" s="12"/>
      <c r="X537" s="12"/>
      <c r="Y537" s="12"/>
      <c r="Z537" s="12"/>
      <c r="AA537" s="12"/>
      <c r="AB537" s="12"/>
    </row>
    <row r="538" spans="1:28" ht="12.75">
      <c r="A538" s="12"/>
      <c r="B538" s="12"/>
      <c r="C538" s="83"/>
      <c r="D538" s="12"/>
      <c r="E538" s="84"/>
      <c r="F538" s="84"/>
      <c r="G538" s="84"/>
      <c r="H538" s="12"/>
      <c r="I538" s="12"/>
      <c r="J538" s="12"/>
      <c r="K538" s="85"/>
      <c r="L538" s="12"/>
      <c r="M538" s="86"/>
      <c r="N538" s="88"/>
      <c r="O538" s="87"/>
      <c r="P538" s="12"/>
      <c r="Q538" s="12"/>
      <c r="R538" s="12"/>
      <c r="S538" s="12"/>
      <c r="T538" s="12"/>
      <c r="U538" s="12"/>
      <c r="V538" s="12"/>
      <c r="W538" s="12"/>
      <c r="X538" s="12"/>
      <c r="Y538" s="12"/>
      <c r="Z538" s="12"/>
      <c r="AA538" s="12"/>
      <c r="AB538" s="12"/>
    </row>
    <row r="539" spans="1:28" ht="12.75">
      <c r="A539" s="12"/>
      <c r="B539" s="12"/>
      <c r="C539" s="83"/>
      <c r="D539" s="12"/>
      <c r="E539" s="84"/>
      <c r="F539" s="84"/>
      <c r="G539" s="84"/>
      <c r="H539" s="12"/>
      <c r="I539" s="12"/>
      <c r="J539" s="12"/>
      <c r="K539" s="85"/>
      <c r="L539" s="12"/>
      <c r="M539" s="86"/>
      <c r="N539" s="88"/>
      <c r="O539" s="87"/>
      <c r="P539" s="12"/>
      <c r="Q539" s="12"/>
      <c r="R539" s="12"/>
      <c r="S539" s="12"/>
      <c r="T539" s="12"/>
      <c r="U539" s="12"/>
      <c r="V539" s="12"/>
      <c r="W539" s="12"/>
      <c r="X539" s="12"/>
      <c r="Y539" s="12"/>
      <c r="Z539" s="12"/>
      <c r="AA539" s="12"/>
      <c r="AB539" s="12"/>
    </row>
    <row r="540" spans="1:28" ht="12.75">
      <c r="A540" s="12"/>
      <c r="B540" s="12"/>
      <c r="C540" s="83"/>
      <c r="D540" s="12"/>
      <c r="E540" s="84"/>
      <c r="F540" s="84"/>
      <c r="G540" s="84"/>
      <c r="H540" s="12"/>
      <c r="I540" s="12"/>
      <c r="J540" s="12"/>
      <c r="K540" s="85"/>
      <c r="L540" s="12"/>
      <c r="M540" s="86"/>
      <c r="N540" s="88"/>
      <c r="O540" s="87"/>
      <c r="P540" s="12"/>
      <c r="Q540" s="12"/>
      <c r="R540" s="12"/>
      <c r="S540" s="12"/>
      <c r="T540" s="12"/>
      <c r="U540" s="12"/>
      <c r="V540" s="12"/>
      <c r="W540" s="12"/>
      <c r="X540" s="12"/>
      <c r="Y540" s="12"/>
      <c r="Z540" s="12"/>
      <c r="AA540" s="12"/>
      <c r="AB540" s="12"/>
    </row>
    <row r="541" spans="1:28" ht="12.75">
      <c r="A541" s="12"/>
      <c r="B541" s="12"/>
      <c r="C541" s="83"/>
      <c r="D541" s="12"/>
      <c r="E541" s="84"/>
      <c r="F541" s="84"/>
      <c r="G541" s="84"/>
      <c r="H541" s="12"/>
      <c r="I541" s="12"/>
      <c r="J541" s="12"/>
      <c r="K541" s="85"/>
      <c r="L541" s="12"/>
      <c r="M541" s="86"/>
      <c r="N541" s="88"/>
      <c r="O541" s="87"/>
      <c r="P541" s="12"/>
      <c r="Q541" s="12"/>
      <c r="R541" s="12"/>
      <c r="S541" s="12"/>
      <c r="T541" s="12"/>
      <c r="U541" s="12"/>
      <c r="V541" s="12"/>
      <c r="W541" s="12"/>
      <c r="X541" s="12"/>
      <c r="Y541" s="12"/>
      <c r="Z541" s="12"/>
      <c r="AA541" s="12"/>
      <c r="AB541" s="12"/>
    </row>
    <row r="542" spans="1:28" ht="12.75">
      <c r="A542" s="12"/>
      <c r="B542" s="12"/>
      <c r="C542" s="83"/>
      <c r="D542" s="12"/>
      <c r="E542" s="84"/>
      <c r="F542" s="84"/>
      <c r="G542" s="84"/>
      <c r="H542" s="12"/>
      <c r="I542" s="12"/>
      <c r="J542" s="12"/>
      <c r="K542" s="85"/>
      <c r="L542" s="12"/>
      <c r="M542" s="86"/>
      <c r="N542" s="88"/>
      <c r="O542" s="87"/>
      <c r="P542" s="12"/>
      <c r="Q542" s="12"/>
      <c r="R542" s="12"/>
      <c r="S542" s="12"/>
      <c r="T542" s="12"/>
      <c r="U542" s="12"/>
      <c r="V542" s="12"/>
      <c r="W542" s="12"/>
      <c r="X542" s="12"/>
      <c r="Y542" s="12"/>
      <c r="Z542" s="12"/>
      <c r="AA542" s="12"/>
      <c r="AB542" s="12"/>
    </row>
    <row r="543" spans="1:28" ht="12.75">
      <c r="A543" s="12"/>
      <c r="B543" s="12"/>
      <c r="C543" s="83"/>
      <c r="D543" s="12"/>
      <c r="E543" s="84"/>
      <c r="F543" s="84"/>
      <c r="G543" s="84"/>
      <c r="H543" s="12"/>
      <c r="I543" s="12"/>
      <c r="J543" s="12"/>
      <c r="K543" s="85"/>
      <c r="L543" s="12"/>
      <c r="M543" s="86"/>
      <c r="N543" s="88"/>
      <c r="O543" s="87"/>
      <c r="P543" s="12"/>
      <c r="Q543" s="12"/>
      <c r="R543" s="12"/>
      <c r="S543" s="12"/>
      <c r="T543" s="12"/>
      <c r="U543" s="12"/>
      <c r="V543" s="12"/>
      <c r="W543" s="12"/>
      <c r="X543" s="12"/>
      <c r="Y543" s="12"/>
      <c r="Z543" s="12"/>
      <c r="AA543" s="12"/>
      <c r="AB543" s="12"/>
    </row>
    <row r="544" spans="1:28" ht="12.75">
      <c r="A544" s="12"/>
      <c r="B544" s="12"/>
      <c r="C544" s="83"/>
      <c r="D544" s="12"/>
      <c r="E544" s="84"/>
      <c r="F544" s="84"/>
      <c r="G544" s="84"/>
      <c r="H544" s="12"/>
      <c r="I544" s="12"/>
      <c r="J544" s="12"/>
      <c r="K544" s="85"/>
      <c r="L544" s="12"/>
      <c r="M544" s="86"/>
      <c r="N544" s="88"/>
      <c r="O544" s="87"/>
      <c r="P544" s="12"/>
      <c r="Q544" s="12"/>
      <c r="R544" s="12"/>
      <c r="S544" s="12"/>
      <c r="T544" s="12"/>
      <c r="U544" s="12"/>
      <c r="V544" s="12"/>
      <c r="W544" s="12"/>
      <c r="X544" s="12"/>
      <c r="Y544" s="12"/>
      <c r="Z544" s="12"/>
      <c r="AA544" s="12"/>
      <c r="AB544" s="12"/>
    </row>
    <row r="545" spans="1:28" ht="12.75">
      <c r="A545" s="12"/>
      <c r="B545" s="12"/>
      <c r="C545" s="83"/>
      <c r="D545" s="12"/>
      <c r="E545" s="84"/>
      <c r="F545" s="84"/>
      <c r="G545" s="84"/>
      <c r="H545" s="12"/>
      <c r="I545" s="12"/>
      <c r="J545" s="12"/>
      <c r="K545" s="85"/>
      <c r="L545" s="12"/>
      <c r="M545" s="86"/>
      <c r="N545" s="88"/>
      <c r="O545" s="87"/>
      <c r="P545" s="12"/>
      <c r="Q545" s="12"/>
      <c r="R545" s="12"/>
      <c r="S545" s="12"/>
      <c r="T545" s="12"/>
      <c r="U545" s="12"/>
      <c r="V545" s="12"/>
      <c r="W545" s="12"/>
      <c r="X545" s="12"/>
      <c r="Y545" s="12"/>
      <c r="Z545" s="12"/>
      <c r="AA545" s="12"/>
      <c r="AB545" s="12"/>
    </row>
    <row r="546" spans="1:28" ht="12.75">
      <c r="A546" s="12"/>
      <c r="B546" s="12"/>
      <c r="C546" s="83"/>
      <c r="D546" s="12"/>
      <c r="E546" s="84"/>
      <c r="F546" s="84"/>
      <c r="G546" s="84"/>
      <c r="H546" s="12"/>
      <c r="I546" s="12"/>
      <c r="J546" s="12"/>
      <c r="K546" s="85"/>
      <c r="L546" s="12"/>
      <c r="M546" s="86"/>
      <c r="N546" s="88"/>
      <c r="O546" s="87"/>
      <c r="P546" s="12"/>
      <c r="Q546" s="12"/>
      <c r="R546" s="12"/>
      <c r="S546" s="12"/>
      <c r="T546" s="12"/>
      <c r="U546" s="12"/>
      <c r="V546" s="12"/>
      <c r="W546" s="12"/>
      <c r="X546" s="12"/>
      <c r="Y546" s="12"/>
      <c r="Z546" s="12"/>
      <c r="AA546" s="12"/>
      <c r="AB546" s="12"/>
    </row>
    <row r="547" spans="1:28" ht="12.75">
      <c r="A547" s="12"/>
      <c r="B547" s="12"/>
      <c r="C547" s="83"/>
      <c r="D547" s="12"/>
      <c r="E547" s="84"/>
      <c r="F547" s="84"/>
      <c r="G547" s="84"/>
      <c r="H547" s="12"/>
      <c r="I547" s="12"/>
      <c r="J547" s="12"/>
      <c r="K547" s="85"/>
      <c r="L547" s="12"/>
      <c r="M547" s="86"/>
      <c r="N547" s="88"/>
      <c r="O547" s="87"/>
      <c r="P547" s="12"/>
      <c r="Q547" s="12"/>
      <c r="R547" s="12"/>
      <c r="S547" s="12"/>
      <c r="T547" s="12"/>
      <c r="U547" s="12"/>
      <c r="V547" s="12"/>
      <c r="W547" s="12"/>
      <c r="X547" s="12"/>
      <c r="Y547" s="12"/>
      <c r="Z547" s="12"/>
      <c r="AA547" s="12"/>
      <c r="AB547" s="12"/>
    </row>
    <row r="548" spans="1:28" ht="12.75">
      <c r="A548" s="12"/>
      <c r="B548" s="12"/>
      <c r="C548" s="83"/>
      <c r="D548" s="12"/>
      <c r="E548" s="84"/>
      <c r="F548" s="84"/>
      <c r="G548" s="84"/>
      <c r="H548" s="12"/>
      <c r="I548" s="12"/>
      <c r="J548" s="12"/>
      <c r="K548" s="85"/>
      <c r="L548" s="12"/>
      <c r="M548" s="86"/>
      <c r="N548" s="88"/>
      <c r="O548" s="87"/>
      <c r="P548" s="12"/>
      <c r="Q548" s="12"/>
      <c r="R548" s="12"/>
      <c r="S548" s="12"/>
      <c r="T548" s="12"/>
      <c r="U548" s="12"/>
      <c r="V548" s="12"/>
      <c r="W548" s="12"/>
      <c r="X548" s="12"/>
      <c r="Y548" s="12"/>
      <c r="Z548" s="12"/>
      <c r="AA548" s="12"/>
      <c r="AB548" s="12"/>
    </row>
    <row r="549" spans="1:28" ht="12.75">
      <c r="A549" s="12"/>
      <c r="B549" s="12"/>
      <c r="C549" s="83"/>
      <c r="D549" s="12"/>
      <c r="E549" s="84"/>
      <c r="F549" s="84"/>
      <c r="G549" s="84"/>
      <c r="H549" s="12"/>
      <c r="I549" s="12"/>
      <c r="J549" s="12"/>
      <c r="K549" s="85"/>
      <c r="L549" s="12"/>
      <c r="M549" s="86"/>
      <c r="N549" s="88"/>
      <c r="O549" s="87"/>
      <c r="P549" s="12"/>
      <c r="Q549" s="12"/>
      <c r="R549" s="12"/>
      <c r="S549" s="12"/>
      <c r="T549" s="12"/>
      <c r="U549" s="12"/>
      <c r="V549" s="12"/>
      <c r="W549" s="12"/>
      <c r="X549" s="12"/>
      <c r="Y549" s="12"/>
      <c r="Z549" s="12"/>
      <c r="AA549" s="12"/>
      <c r="AB549" s="12"/>
    </row>
    <row r="550" spans="1:28" ht="12.75">
      <c r="A550" s="12"/>
      <c r="B550" s="12"/>
      <c r="C550" s="83"/>
      <c r="D550" s="12"/>
      <c r="E550" s="84"/>
      <c r="F550" s="84"/>
      <c r="G550" s="84"/>
      <c r="H550" s="12"/>
      <c r="I550" s="12"/>
      <c r="J550" s="12"/>
      <c r="K550" s="85"/>
      <c r="L550" s="12"/>
      <c r="M550" s="86"/>
      <c r="N550" s="88"/>
      <c r="O550" s="87"/>
      <c r="P550" s="12"/>
      <c r="Q550" s="12"/>
      <c r="R550" s="12"/>
      <c r="S550" s="12"/>
      <c r="T550" s="12"/>
      <c r="U550" s="12"/>
      <c r="V550" s="12"/>
      <c r="W550" s="12"/>
      <c r="X550" s="12"/>
      <c r="Y550" s="12"/>
      <c r="Z550" s="12"/>
      <c r="AA550" s="12"/>
      <c r="AB550" s="12"/>
    </row>
    <row r="551" spans="1:28" ht="12.75">
      <c r="A551" s="12"/>
      <c r="B551" s="12"/>
      <c r="C551" s="83"/>
      <c r="D551" s="12"/>
      <c r="E551" s="84"/>
      <c r="F551" s="84"/>
      <c r="G551" s="84"/>
      <c r="H551" s="12"/>
      <c r="I551" s="12"/>
      <c r="J551" s="12"/>
      <c r="K551" s="85"/>
      <c r="L551" s="12"/>
      <c r="M551" s="86"/>
      <c r="N551" s="88"/>
      <c r="O551" s="87"/>
      <c r="P551" s="12"/>
      <c r="Q551" s="12"/>
      <c r="R551" s="12"/>
      <c r="S551" s="12"/>
      <c r="T551" s="12"/>
      <c r="U551" s="12"/>
      <c r="V551" s="12"/>
      <c r="W551" s="12"/>
      <c r="X551" s="12"/>
      <c r="Y551" s="12"/>
      <c r="Z551" s="12"/>
      <c r="AA551" s="12"/>
      <c r="AB551" s="12"/>
    </row>
    <row r="552" spans="1:28" ht="12.75">
      <c r="A552" s="12"/>
      <c r="B552" s="12"/>
      <c r="C552" s="83"/>
      <c r="D552" s="12"/>
      <c r="E552" s="84"/>
      <c r="F552" s="84"/>
      <c r="G552" s="84"/>
      <c r="H552" s="12"/>
      <c r="I552" s="12"/>
      <c r="J552" s="12"/>
      <c r="K552" s="85"/>
      <c r="L552" s="12"/>
      <c r="M552" s="86"/>
      <c r="N552" s="88"/>
      <c r="O552" s="87"/>
      <c r="P552" s="12"/>
      <c r="Q552" s="12"/>
      <c r="R552" s="12"/>
      <c r="S552" s="12"/>
      <c r="T552" s="12"/>
      <c r="U552" s="12"/>
      <c r="V552" s="12"/>
      <c r="W552" s="12"/>
      <c r="X552" s="12"/>
      <c r="Y552" s="12"/>
      <c r="Z552" s="12"/>
      <c r="AA552" s="12"/>
      <c r="AB552" s="12"/>
    </row>
    <row r="553" spans="1:28" ht="12.75">
      <c r="A553" s="12"/>
      <c r="B553" s="12"/>
      <c r="C553" s="83"/>
      <c r="D553" s="12"/>
      <c r="E553" s="84"/>
      <c r="F553" s="84"/>
      <c r="G553" s="84"/>
      <c r="H553" s="12"/>
      <c r="I553" s="12"/>
      <c r="J553" s="12"/>
      <c r="K553" s="85"/>
      <c r="L553" s="12"/>
      <c r="M553" s="86"/>
      <c r="N553" s="88"/>
      <c r="O553" s="87"/>
      <c r="P553" s="12"/>
      <c r="Q553" s="12"/>
      <c r="R553" s="12"/>
      <c r="S553" s="12"/>
      <c r="T553" s="12"/>
      <c r="U553" s="12"/>
      <c r="V553" s="12"/>
      <c r="W553" s="12"/>
      <c r="X553" s="12"/>
      <c r="Y553" s="12"/>
      <c r="Z553" s="12"/>
      <c r="AA553" s="12"/>
      <c r="AB553" s="12"/>
    </row>
    <row r="554" spans="1:28" ht="12.75">
      <c r="A554" s="12"/>
      <c r="B554" s="12"/>
      <c r="C554" s="83"/>
      <c r="D554" s="12"/>
      <c r="E554" s="84"/>
      <c r="F554" s="84"/>
      <c r="G554" s="84"/>
      <c r="H554" s="12"/>
      <c r="I554" s="12"/>
      <c r="J554" s="12"/>
      <c r="K554" s="85"/>
      <c r="L554" s="12"/>
      <c r="M554" s="86"/>
      <c r="N554" s="88"/>
      <c r="O554" s="87"/>
      <c r="P554" s="12"/>
      <c r="Q554" s="12"/>
      <c r="R554" s="12"/>
      <c r="S554" s="12"/>
      <c r="T554" s="12"/>
      <c r="U554" s="12"/>
      <c r="V554" s="12"/>
      <c r="W554" s="12"/>
      <c r="X554" s="12"/>
      <c r="Y554" s="12"/>
      <c r="Z554" s="12"/>
      <c r="AA554" s="12"/>
      <c r="AB554" s="12"/>
    </row>
    <row r="555" spans="1:28" ht="12.75">
      <c r="A555" s="12"/>
      <c r="B555" s="12"/>
      <c r="C555" s="83"/>
      <c r="D555" s="12"/>
      <c r="E555" s="84"/>
      <c r="F555" s="84"/>
      <c r="G555" s="84"/>
      <c r="H555" s="12"/>
      <c r="I555" s="12"/>
      <c r="J555" s="12"/>
      <c r="K555" s="85"/>
      <c r="L555" s="12"/>
      <c r="M555" s="86"/>
      <c r="N555" s="88"/>
      <c r="O555" s="87"/>
      <c r="P555" s="12"/>
      <c r="Q555" s="12"/>
      <c r="R555" s="12"/>
      <c r="S555" s="12"/>
      <c r="T555" s="12"/>
      <c r="U555" s="12"/>
      <c r="V555" s="12"/>
      <c r="W555" s="12"/>
      <c r="X555" s="12"/>
      <c r="Y555" s="12"/>
      <c r="Z555" s="12"/>
      <c r="AA555" s="12"/>
      <c r="AB555" s="12"/>
    </row>
    <row r="556" spans="1:28" ht="12.75">
      <c r="A556" s="12"/>
      <c r="B556" s="12"/>
      <c r="C556" s="83"/>
      <c r="D556" s="12"/>
      <c r="E556" s="84"/>
      <c r="F556" s="84"/>
      <c r="G556" s="84"/>
      <c r="H556" s="12"/>
      <c r="I556" s="12"/>
      <c r="J556" s="12"/>
      <c r="K556" s="85"/>
      <c r="L556" s="12"/>
      <c r="M556" s="86"/>
      <c r="N556" s="88"/>
      <c r="O556" s="87"/>
      <c r="P556" s="12"/>
      <c r="Q556" s="12"/>
      <c r="R556" s="12"/>
      <c r="S556" s="12"/>
      <c r="T556" s="12"/>
      <c r="U556" s="12"/>
      <c r="V556" s="12"/>
      <c r="W556" s="12"/>
      <c r="X556" s="12"/>
      <c r="Y556" s="12"/>
      <c r="Z556" s="12"/>
      <c r="AA556" s="12"/>
      <c r="AB556" s="12"/>
    </row>
    <row r="557" spans="1:28" ht="12.75">
      <c r="A557" s="12"/>
      <c r="B557" s="12"/>
      <c r="C557" s="83"/>
      <c r="D557" s="12"/>
      <c r="E557" s="84"/>
      <c r="F557" s="84"/>
      <c r="G557" s="84"/>
      <c r="H557" s="12"/>
      <c r="I557" s="12"/>
      <c r="J557" s="12"/>
      <c r="K557" s="85"/>
      <c r="L557" s="12"/>
      <c r="M557" s="86"/>
      <c r="N557" s="88"/>
      <c r="O557" s="87"/>
      <c r="P557" s="12"/>
      <c r="Q557" s="12"/>
      <c r="R557" s="12"/>
      <c r="S557" s="12"/>
      <c r="T557" s="12"/>
      <c r="U557" s="12"/>
      <c r="V557" s="12"/>
      <c r="W557" s="12"/>
      <c r="X557" s="12"/>
      <c r="Y557" s="12"/>
      <c r="Z557" s="12"/>
      <c r="AA557" s="12"/>
      <c r="AB557" s="12"/>
    </row>
    <row r="558" spans="1:28" ht="12.75">
      <c r="A558" s="12"/>
      <c r="B558" s="12"/>
      <c r="C558" s="83"/>
      <c r="D558" s="12"/>
      <c r="E558" s="84"/>
      <c r="F558" s="84"/>
      <c r="G558" s="84"/>
      <c r="H558" s="12"/>
      <c r="I558" s="12"/>
      <c r="J558" s="12"/>
      <c r="K558" s="85"/>
      <c r="L558" s="12"/>
      <c r="M558" s="86"/>
      <c r="N558" s="88"/>
      <c r="O558" s="87"/>
      <c r="P558" s="12"/>
      <c r="Q558" s="12"/>
      <c r="R558" s="12"/>
      <c r="S558" s="12"/>
      <c r="T558" s="12"/>
      <c r="U558" s="12"/>
      <c r="V558" s="12"/>
      <c r="W558" s="12"/>
      <c r="X558" s="12"/>
      <c r="Y558" s="12"/>
      <c r="Z558" s="12"/>
      <c r="AA558" s="12"/>
      <c r="AB558" s="12"/>
    </row>
    <row r="559" spans="1:28" ht="12.75">
      <c r="A559" s="12"/>
      <c r="B559" s="12"/>
      <c r="C559" s="83"/>
      <c r="D559" s="12"/>
      <c r="E559" s="84"/>
      <c r="F559" s="84"/>
      <c r="G559" s="84"/>
      <c r="H559" s="12"/>
      <c r="I559" s="12"/>
      <c r="J559" s="12"/>
      <c r="K559" s="85"/>
      <c r="L559" s="12"/>
      <c r="M559" s="86"/>
      <c r="N559" s="88"/>
      <c r="O559" s="87"/>
      <c r="P559" s="12"/>
      <c r="Q559" s="12"/>
      <c r="R559" s="12"/>
      <c r="S559" s="12"/>
      <c r="T559" s="12"/>
      <c r="U559" s="12"/>
      <c r="V559" s="12"/>
      <c r="W559" s="12"/>
      <c r="X559" s="12"/>
      <c r="Y559" s="12"/>
      <c r="Z559" s="12"/>
      <c r="AA559" s="12"/>
      <c r="AB559" s="12"/>
    </row>
    <row r="560" spans="1:28" ht="12.75">
      <c r="A560" s="12"/>
      <c r="B560" s="12"/>
      <c r="C560" s="83"/>
      <c r="D560" s="12"/>
      <c r="E560" s="84"/>
      <c r="F560" s="84"/>
      <c r="G560" s="84"/>
      <c r="H560" s="12"/>
      <c r="I560" s="12"/>
      <c r="J560" s="12"/>
      <c r="K560" s="85"/>
      <c r="L560" s="12"/>
      <c r="M560" s="86"/>
      <c r="N560" s="88"/>
      <c r="O560" s="87"/>
      <c r="P560" s="12"/>
      <c r="Q560" s="12"/>
      <c r="R560" s="12"/>
      <c r="S560" s="12"/>
      <c r="T560" s="12"/>
      <c r="U560" s="12"/>
      <c r="V560" s="12"/>
      <c r="W560" s="12"/>
      <c r="X560" s="12"/>
      <c r="Y560" s="12"/>
      <c r="Z560" s="12"/>
      <c r="AA560" s="12"/>
      <c r="AB560" s="12"/>
    </row>
    <row r="561" spans="1:28" ht="12.75">
      <c r="A561" s="12"/>
      <c r="B561" s="12"/>
      <c r="C561" s="83"/>
      <c r="D561" s="12"/>
      <c r="E561" s="84"/>
      <c r="F561" s="84"/>
      <c r="G561" s="84"/>
      <c r="H561" s="12"/>
      <c r="I561" s="12"/>
      <c r="J561" s="12"/>
      <c r="K561" s="85"/>
      <c r="L561" s="12"/>
      <c r="M561" s="86"/>
      <c r="N561" s="88"/>
      <c r="O561" s="87"/>
      <c r="P561" s="12"/>
      <c r="Q561" s="12"/>
      <c r="R561" s="12"/>
      <c r="S561" s="12"/>
      <c r="T561" s="12"/>
      <c r="U561" s="12"/>
      <c r="V561" s="12"/>
      <c r="W561" s="12"/>
      <c r="X561" s="12"/>
      <c r="Y561" s="12"/>
      <c r="Z561" s="12"/>
      <c r="AA561" s="12"/>
      <c r="AB561" s="12"/>
    </row>
    <row r="562" spans="1:28" ht="12.75">
      <c r="A562" s="12"/>
      <c r="B562" s="12"/>
      <c r="C562" s="83"/>
      <c r="D562" s="12"/>
      <c r="E562" s="84"/>
      <c r="F562" s="84"/>
      <c r="G562" s="84"/>
      <c r="H562" s="12"/>
      <c r="I562" s="12"/>
      <c r="J562" s="12"/>
      <c r="K562" s="85"/>
      <c r="L562" s="12"/>
      <c r="M562" s="86"/>
      <c r="N562" s="88"/>
      <c r="O562" s="87"/>
      <c r="P562" s="12"/>
      <c r="Q562" s="12"/>
      <c r="R562" s="12"/>
      <c r="S562" s="12"/>
      <c r="T562" s="12"/>
      <c r="U562" s="12"/>
      <c r="V562" s="12"/>
      <c r="W562" s="12"/>
      <c r="X562" s="12"/>
      <c r="Y562" s="12"/>
      <c r="Z562" s="12"/>
      <c r="AA562" s="12"/>
      <c r="AB562" s="12"/>
    </row>
    <row r="563" spans="1:28" ht="12.75">
      <c r="A563" s="12"/>
      <c r="B563" s="12"/>
      <c r="C563" s="83"/>
      <c r="D563" s="12"/>
      <c r="E563" s="84"/>
      <c r="F563" s="84"/>
      <c r="G563" s="84"/>
      <c r="H563" s="12"/>
      <c r="I563" s="12"/>
      <c r="J563" s="12"/>
      <c r="K563" s="85"/>
      <c r="L563" s="12"/>
      <c r="M563" s="86"/>
      <c r="N563" s="88"/>
      <c r="O563" s="87"/>
      <c r="P563" s="12"/>
      <c r="Q563" s="12"/>
      <c r="R563" s="12"/>
      <c r="S563" s="12"/>
      <c r="T563" s="12"/>
      <c r="U563" s="12"/>
      <c r="V563" s="12"/>
      <c r="W563" s="12"/>
      <c r="X563" s="12"/>
      <c r="Y563" s="12"/>
      <c r="Z563" s="12"/>
      <c r="AA563" s="12"/>
      <c r="AB563" s="12"/>
    </row>
    <row r="564" spans="1:28" ht="12.75">
      <c r="A564" s="12"/>
      <c r="B564" s="12"/>
      <c r="C564" s="83"/>
      <c r="D564" s="12"/>
      <c r="E564" s="84"/>
      <c r="F564" s="84"/>
      <c r="G564" s="84"/>
      <c r="H564" s="12"/>
      <c r="I564" s="12"/>
      <c r="J564" s="12"/>
      <c r="K564" s="85"/>
      <c r="L564" s="12"/>
      <c r="M564" s="86"/>
      <c r="N564" s="88"/>
      <c r="O564" s="87"/>
      <c r="P564" s="12"/>
      <c r="Q564" s="12"/>
      <c r="R564" s="12"/>
      <c r="S564" s="12"/>
      <c r="T564" s="12"/>
      <c r="U564" s="12"/>
      <c r="V564" s="12"/>
      <c r="W564" s="12"/>
      <c r="X564" s="12"/>
      <c r="Y564" s="12"/>
      <c r="Z564" s="12"/>
      <c r="AA564" s="12"/>
      <c r="AB564" s="12"/>
    </row>
    <row r="565" spans="1:28" ht="12.75">
      <c r="A565" s="12"/>
      <c r="B565" s="12"/>
      <c r="C565" s="83"/>
      <c r="D565" s="12"/>
      <c r="E565" s="84"/>
      <c r="F565" s="84"/>
      <c r="G565" s="84"/>
      <c r="H565" s="12"/>
      <c r="I565" s="12"/>
      <c r="J565" s="12"/>
      <c r="K565" s="85"/>
      <c r="L565" s="12"/>
      <c r="M565" s="86"/>
      <c r="N565" s="88"/>
      <c r="O565" s="87"/>
      <c r="P565" s="12"/>
      <c r="Q565" s="12"/>
      <c r="R565" s="12"/>
      <c r="S565" s="12"/>
      <c r="T565" s="12"/>
      <c r="U565" s="12"/>
      <c r="V565" s="12"/>
      <c r="W565" s="12"/>
      <c r="X565" s="12"/>
      <c r="Y565" s="12"/>
      <c r="Z565" s="12"/>
      <c r="AA565" s="12"/>
      <c r="AB565" s="12"/>
    </row>
    <row r="566" spans="1:28" ht="12.75">
      <c r="A566" s="12"/>
      <c r="B566" s="12"/>
      <c r="C566" s="83"/>
      <c r="D566" s="12"/>
      <c r="E566" s="84"/>
      <c r="F566" s="84"/>
      <c r="G566" s="84"/>
      <c r="H566" s="12"/>
      <c r="I566" s="12"/>
      <c r="J566" s="12"/>
      <c r="K566" s="85"/>
      <c r="L566" s="12"/>
      <c r="M566" s="86"/>
      <c r="N566" s="88"/>
      <c r="O566" s="87"/>
      <c r="P566" s="12"/>
      <c r="Q566" s="12"/>
      <c r="R566" s="12"/>
      <c r="S566" s="12"/>
      <c r="T566" s="12"/>
      <c r="U566" s="12"/>
      <c r="V566" s="12"/>
      <c r="W566" s="12"/>
      <c r="X566" s="12"/>
      <c r="Y566" s="12"/>
      <c r="Z566" s="12"/>
      <c r="AA566" s="12"/>
      <c r="AB566" s="12"/>
    </row>
    <row r="567" spans="1:28" ht="12.75">
      <c r="A567" s="12"/>
      <c r="B567" s="12"/>
      <c r="C567" s="83"/>
      <c r="D567" s="12"/>
      <c r="E567" s="84"/>
      <c r="F567" s="84"/>
      <c r="G567" s="84"/>
      <c r="H567" s="12"/>
      <c r="I567" s="12"/>
      <c r="J567" s="12"/>
      <c r="K567" s="85"/>
      <c r="L567" s="12"/>
      <c r="M567" s="86"/>
      <c r="N567" s="88"/>
      <c r="O567" s="87"/>
      <c r="P567" s="12"/>
      <c r="Q567" s="12"/>
      <c r="R567" s="12"/>
      <c r="S567" s="12"/>
      <c r="T567" s="12"/>
      <c r="U567" s="12"/>
      <c r="V567" s="12"/>
      <c r="W567" s="12"/>
      <c r="X567" s="12"/>
      <c r="Y567" s="12"/>
      <c r="Z567" s="12"/>
      <c r="AA567" s="12"/>
      <c r="AB567" s="12"/>
    </row>
    <row r="568" spans="1:28" ht="12.75">
      <c r="A568" s="12"/>
      <c r="B568" s="12"/>
      <c r="C568" s="83"/>
      <c r="D568" s="12"/>
      <c r="E568" s="84"/>
      <c r="F568" s="84"/>
      <c r="G568" s="84"/>
      <c r="H568" s="12"/>
      <c r="I568" s="12"/>
      <c r="J568" s="12"/>
      <c r="K568" s="85"/>
      <c r="L568" s="12"/>
      <c r="M568" s="86"/>
      <c r="N568" s="88"/>
      <c r="O568" s="87"/>
      <c r="P568" s="12"/>
      <c r="Q568" s="12"/>
      <c r="R568" s="12"/>
      <c r="S568" s="12"/>
      <c r="T568" s="12"/>
      <c r="U568" s="12"/>
      <c r="V568" s="12"/>
      <c r="W568" s="12"/>
      <c r="X568" s="12"/>
      <c r="Y568" s="12"/>
      <c r="Z568" s="12"/>
      <c r="AA568" s="12"/>
      <c r="AB568" s="12"/>
    </row>
    <row r="569" spans="1:28" ht="12.75">
      <c r="A569" s="12"/>
      <c r="B569" s="12"/>
      <c r="C569" s="83"/>
      <c r="D569" s="12"/>
      <c r="E569" s="84"/>
      <c r="F569" s="84"/>
      <c r="G569" s="84"/>
      <c r="H569" s="12"/>
      <c r="I569" s="12"/>
      <c r="J569" s="12"/>
      <c r="K569" s="85"/>
      <c r="L569" s="12"/>
      <c r="M569" s="86"/>
      <c r="N569" s="88"/>
      <c r="O569" s="87"/>
      <c r="P569" s="12"/>
      <c r="Q569" s="12"/>
      <c r="R569" s="12"/>
      <c r="S569" s="12"/>
      <c r="T569" s="12"/>
      <c r="U569" s="12"/>
      <c r="V569" s="12"/>
      <c r="W569" s="12"/>
      <c r="X569" s="12"/>
      <c r="Y569" s="12"/>
      <c r="Z569" s="12"/>
      <c r="AA569" s="12"/>
      <c r="AB569" s="12"/>
    </row>
    <row r="570" spans="1:28" ht="12.75">
      <c r="A570" s="12"/>
      <c r="B570" s="12"/>
      <c r="C570" s="83"/>
      <c r="D570" s="12"/>
      <c r="E570" s="84"/>
      <c r="F570" s="84"/>
      <c r="G570" s="84"/>
      <c r="H570" s="12"/>
      <c r="I570" s="12"/>
      <c r="J570" s="12"/>
      <c r="K570" s="85"/>
      <c r="L570" s="12"/>
      <c r="M570" s="86"/>
      <c r="N570" s="88"/>
      <c r="O570" s="87"/>
      <c r="P570" s="12"/>
      <c r="Q570" s="12"/>
      <c r="R570" s="12"/>
      <c r="S570" s="12"/>
      <c r="T570" s="12"/>
      <c r="U570" s="12"/>
      <c r="V570" s="12"/>
      <c r="W570" s="12"/>
      <c r="X570" s="12"/>
      <c r="Y570" s="12"/>
      <c r="Z570" s="12"/>
      <c r="AA570" s="12"/>
      <c r="AB570" s="12"/>
    </row>
    <row r="571" spans="1:28" ht="12.75">
      <c r="A571" s="12"/>
      <c r="B571" s="12"/>
      <c r="C571" s="83"/>
      <c r="D571" s="12"/>
      <c r="E571" s="84"/>
      <c r="F571" s="84"/>
      <c r="G571" s="84"/>
      <c r="H571" s="12"/>
      <c r="I571" s="12"/>
      <c r="J571" s="12"/>
      <c r="K571" s="85"/>
      <c r="L571" s="12"/>
      <c r="M571" s="86"/>
      <c r="N571" s="88"/>
      <c r="O571" s="87"/>
      <c r="P571" s="12"/>
      <c r="Q571" s="12"/>
      <c r="R571" s="12"/>
      <c r="S571" s="12"/>
      <c r="T571" s="12"/>
      <c r="U571" s="12"/>
      <c r="V571" s="12"/>
      <c r="W571" s="12"/>
      <c r="X571" s="12"/>
      <c r="Y571" s="12"/>
      <c r="Z571" s="12"/>
      <c r="AA571" s="12"/>
      <c r="AB571" s="12"/>
    </row>
    <row r="572" spans="1:28" ht="12.75">
      <c r="A572" s="114"/>
      <c r="B572" s="114"/>
      <c r="C572" s="7"/>
      <c r="D572" s="114"/>
      <c r="E572" s="117"/>
      <c r="F572" s="117"/>
      <c r="G572" s="117"/>
      <c r="H572" s="114"/>
      <c r="I572" s="114"/>
      <c r="J572" s="114"/>
      <c r="K572" s="114"/>
      <c r="L572" s="114"/>
      <c r="M572" s="114"/>
      <c r="N572" s="88"/>
      <c r="O572" s="115"/>
      <c r="P572" s="114"/>
      <c r="Q572" s="114"/>
      <c r="R572" s="114"/>
      <c r="S572" s="114"/>
      <c r="T572" s="114"/>
      <c r="U572" s="114"/>
      <c r="V572" s="114"/>
      <c r="W572" s="114"/>
      <c r="X572" s="114"/>
      <c r="Y572" s="114"/>
      <c r="Z572" s="114"/>
      <c r="AA572" s="114"/>
      <c r="AB572" s="114"/>
    </row>
    <row r="573" spans="1:28" ht="12.75">
      <c r="A573" s="114"/>
      <c r="B573" s="114"/>
      <c r="C573" s="7"/>
      <c r="D573" s="114"/>
      <c r="E573" s="117"/>
      <c r="F573" s="117"/>
      <c r="G573" s="117"/>
      <c r="H573" s="114"/>
      <c r="I573" s="114"/>
      <c r="J573" s="114"/>
      <c r="K573" s="114"/>
      <c r="L573" s="114"/>
      <c r="M573" s="114"/>
      <c r="N573" s="88"/>
      <c r="O573" s="115"/>
      <c r="P573" s="114"/>
      <c r="Q573" s="114"/>
      <c r="R573" s="114"/>
      <c r="S573" s="114"/>
      <c r="T573" s="114"/>
      <c r="U573" s="114"/>
      <c r="V573" s="114"/>
      <c r="W573" s="114"/>
      <c r="X573" s="114"/>
      <c r="Y573" s="114"/>
      <c r="Z573" s="114"/>
      <c r="AA573" s="114"/>
      <c r="AB573" s="114"/>
    </row>
    <row r="574" spans="1:28" ht="12.75">
      <c r="A574" s="114"/>
      <c r="B574" s="114"/>
      <c r="C574" s="7"/>
      <c r="D574" s="114"/>
      <c r="E574" s="117"/>
      <c r="F574" s="117"/>
      <c r="G574" s="117"/>
      <c r="H574" s="114"/>
      <c r="I574" s="114"/>
      <c r="J574" s="114"/>
      <c r="K574" s="114"/>
      <c r="L574" s="114"/>
      <c r="M574" s="114"/>
      <c r="N574" s="88"/>
      <c r="O574" s="115"/>
      <c r="P574" s="114"/>
      <c r="Q574" s="114"/>
      <c r="R574" s="114"/>
      <c r="S574" s="114"/>
      <c r="T574" s="114"/>
      <c r="U574" s="114"/>
      <c r="V574" s="114"/>
      <c r="W574" s="114"/>
      <c r="X574" s="114"/>
      <c r="Y574" s="114"/>
      <c r="Z574" s="114"/>
      <c r="AA574" s="114"/>
      <c r="AB574" s="114"/>
    </row>
    <row r="575" spans="1:28" ht="12.75">
      <c r="A575" s="114"/>
      <c r="B575" s="114"/>
      <c r="C575" s="7"/>
      <c r="D575" s="114"/>
      <c r="E575" s="117"/>
      <c r="F575" s="117"/>
      <c r="G575" s="117"/>
      <c r="H575" s="114"/>
      <c r="I575" s="114"/>
      <c r="J575" s="114"/>
      <c r="K575" s="114"/>
      <c r="L575" s="114"/>
      <c r="M575" s="114"/>
      <c r="N575" s="88"/>
      <c r="O575" s="115"/>
      <c r="P575" s="114"/>
      <c r="Q575" s="114"/>
      <c r="R575" s="114"/>
      <c r="S575" s="114"/>
      <c r="T575" s="114"/>
      <c r="U575" s="114"/>
      <c r="V575" s="114"/>
      <c r="W575" s="114"/>
      <c r="X575" s="114"/>
      <c r="Y575" s="114"/>
      <c r="Z575" s="114"/>
      <c r="AA575" s="114"/>
      <c r="AB575" s="114"/>
    </row>
    <row r="576" spans="1:28" ht="12.75">
      <c r="A576" s="114"/>
      <c r="B576" s="114"/>
      <c r="C576" s="7"/>
      <c r="D576" s="114"/>
      <c r="E576" s="117"/>
      <c r="F576" s="117"/>
      <c r="G576" s="117"/>
      <c r="H576" s="114"/>
      <c r="I576" s="114"/>
      <c r="J576" s="114"/>
      <c r="K576" s="114"/>
      <c r="L576" s="114"/>
      <c r="M576" s="114"/>
      <c r="N576" s="88"/>
      <c r="O576" s="115"/>
      <c r="P576" s="114"/>
      <c r="Q576" s="114"/>
      <c r="R576" s="114"/>
      <c r="S576" s="114"/>
      <c r="T576" s="114"/>
      <c r="U576" s="114"/>
      <c r="V576" s="114"/>
      <c r="W576" s="114"/>
      <c r="X576" s="114"/>
      <c r="Y576" s="114"/>
      <c r="Z576" s="114"/>
      <c r="AA576" s="114"/>
      <c r="AB576" s="114"/>
    </row>
    <row r="577" spans="1:28" ht="12.75">
      <c r="A577" s="114"/>
      <c r="B577" s="114"/>
      <c r="C577" s="7"/>
      <c r="D577" s="114"/>
      <c r="E577" s="117"/>
      <c r="F577" s="117"/>
      <c r="G577" s="117"/>
      <c r="H577" s="114"/>
      <c r="I577" s="114"/>
      <c r="J577" s="114"/>
      <c r="K577" s="114"/>
      <c r="L577" s="114"/>
      <c r="M577" s="114"/>
      <c r="N577" s="88"/>
      <c r="O577" s="115"/>
      <c r="P577" s="114"/>
      <c r="Q577" s="114"/>
      <c r="R577" s="114"/>
      <c r="S577" s="114"/>
      <c r="T577" s="114"/>
      <c r="U577" s="114"/>
      <c r="V577" s="114"/>
      <c r="W577" s="114"/>
      <c r="X577" s="114"/>
      <c r="Y577" s="114"/>
      <c r="Z577" s="114"/>
      <c r="AA577" s="114"/>
      <c r="AB577" s="114"/>
    </row>
    <row r="578" spans="1:28" ht="12.75">
      <c r="A578" s="114"/>
      <c r="B578" s="114"/>
      <c r="C578" s="7"/>
      <c r="D578" s="114"/>
      <c r="E578" s="117"/>
      <c r="F578" s="117"/>
      <c r="G578" s="117"/>
      <c r="H578" s="114"/>
      <c r="I578" s="114"/>
      <c r="J578" s="114"/>
      <c r="K578" s="114"/>
      <c r="L578" s="114"/>
      <c r="M578" s="114"/>
      <c r="N578" s="88"/>
      <c r="O578" s="115"/>
      <c r="P578" s="114"/>
      <c r="Q578" s="114"/>
      <c r="R578" s="114"/>
      <c r="S578" s="114"/>
      <c r="T578" s="114"/>
      <c r="U578" s="114"/>
      <c r="V578" s="114"/>
      <c r="W578" s="114"/>
      <c r="X578" s="114"/>
      <c r="Y578" s="114"/>
      <c r="Z578" s="114"/>
      <c r="AA578" s="114"/>
      <c r="AB578" s="114"/>
    </row>
    <row r="579" spans="1:28" ht="12.75">
      <c r="A579" s="114"/>
      <c r="B579" s="114"/>
      <c r="C579" s="7"/>
      <c r="D579" s="114"/>
      <c r="E579" s="117"/>
      <c r="F579" s="117"/>
      <c r="G579" s="117"/>
      <c r="H579" s="114"/>
      <c r="I579" s="114"/>
      <c r="J579" s="114"/>
      <c r="K579" s="114"/>
      <c r="L579" s="114"/>
      <c r="M579" s="114"/>
      <c r="N579" s="88"/>
      <c r="O579" s="115"/>
      <c r="P579" s="114"/>
      <c r="Q579" s="114"/>
      <c r="R579" s="114"/>
      <c r="S579" s="114"/>
      <c r="T579" s="114"/>
      <c r="U579" s="114"/>
      <c r="V579" s="114"/>
      <c r="W579" s="114"/>
      <c r="X579" s="114"/>
      <c r="Y579" s="114"/>
      <c r="Z579" s="114"/>
      <c r="AA579" s="114"/>
      <c r="AB579" s="114"/>
    </row>
    <row r="580" spans="1:28" ht="12.75">
      <c r="A580" s="114"/>
      <c r="B580" s="114"/>
      <c r="C580" s="7"/>
      <c r="D580" s="114"/>
      <c r="E580" s="117"/>
      <c r="F580" s="117"/>
      <c r="G580" s="117"/>
      <c r="H580" s="114"/>
      <c r="I580" s="114"/>
      <c r="J580" s="114"/>
      <c r="K580" s="114"/>
      <c r="L580" s="114"/>
      <c r="M580" s="114"/>
      <c r="N580" s="88"/>
      <c r="O580" s="115"/>
      <c r="P580" s="114"/>
      <c r="Q580" s="114"/>
      <c r="R580" s="114"/>
      <c r="S580" s="114"/>
      <c r="T580" s="114"/>
      <c r="U580" s="114"/>
      <c r="V580" s="114"/>
      <c r="W580" s="114"/>
      <c r="X580" s="114"/>
      <c r="Y580" s="114"/>
      <c r="Z580" s="114"/>
      <c r="AA580" s="114"/>
      <c r="AB580" s="114"/>
    </row>
    <row r="581" spans="1:28" ht="12.75">
      <c r="A581" s="114"/>
      <c r="B581" s="114"/>
      <c r="C581" s="7"/>
      <c r="D581" s="114"/>
      <c r="E581" s="117"/>
      <c r="F581" s="117"/>
      <c r="G581" s="117"/>
      <c r="H581" s="114"/>
      <c r="I581" s="114"/>
      <c r="J581" s="114"/>
      <c r="K581" s="114"/>
      <c r="L581" s="114"/>
      <c r="M581" s="114"/>
      <c r="N581" s="88"/>
      <c r="O581" s="115"/>
      <c r="P581" s="114"/>
      <c r="Q581" s="114"/>
      <c r="R581" s="114"/>
      <c r="S581" s="114"/>
      <c r="T581" s="114"/>
      <c r="U581" s="114"/>
      <c r="V581" s="114"/>
      <c r="W581" s="114"/>
      <c r="X581" s="114"/>
      <c r="Y581" s="114"/>
      <c r="Z581" s="114"/>
      <c r="AA581" s="114"/>
      <c r="AB581" s="114"/>
    </row>
    <row r="582" spans="1:28" ht="12.75">
      <c r="A582" s="114"/>
      <c r="B582" s="114"/>
      <c r="C582" s="7"/>
      <c r="D582" s="114"/>
      <c r="E582" s="117"/>
      <c r="F582" s="117"/>
      <c r="G582" s="117"/>
      <c r="H582" s="114"/>
      <c r="I582" s="114"/>
      <c r="J582" s="114"/>
      <c r="K582" s="114"/>
      <c r="L582" s="114"/>
      <c r="M582" s="114"/>
      <c r="N582" s="88"/>
      <c r="O582" s="115"/>
      <c r="P582" s="114"/>
      <c r="Q582" s="114"/>
      <c r="R582" s="114"/>
      <c r="S582" s="114"/>
      <c r="T582" s="114"/>
      <c r="U582" s="114"/>
      <c r="V582" s="114"/>
      <c r="W582" s="114"/>
      <c r="X582" s="114"/>
      <c r="Y582" s="114"/>
      <c r="Z582" s="114"/>
      <c r="AA582" s="114"/>
      <c r="AB582" s="114"/>
    </row>
    <row r="583" spans="1:28" ht="12.75">
      <c r="A583" s="114"/>
      <c r="B583" s="114"/>
      <c r="C583" s="7"/>
      <c r="D583" s="114"/>
      <c r="E583" s="117"/>
      <c r="F583" s="117"/>
      <c r="G583" s="117"/>
      <c r="H583" s="114"/>
      <c r="I583" s="114"/>
      <c r="J583" s="114"/>
      <c r="K583" s="114"/>
      <c r="L583" s="114"/>
      <c r="M583" s="114"/>
      <c r="N583" s="88"/>
      <c r="O583" s="115"/>
      <c r="P583" s="114"/>
      <c r="Q583" s="114"/>
      <c r="R583" s="114"/>
      <c r="S583" s="114"/>
      <c r="T583" s="114"/>
      <c r="U583" s="114"/>
      <c r="V583" s="114"/>
      <c r="W583" s="114"/>
      <c r="X583" s="114"/>
      <c r="Y583" s="114"/>
      <c r="Z583" s="114"/>
      <c r="AA583" s="114"/>
      <c r="AB583" s="114"/>
    </row>
    <row r="584" spans="1:28" ht="12.75">
      <c r="A584" s="114"/>
      <c r="B584" s="114"/>
      <c r="C584" s="7"/>
      <c r="D584" s="114"/>
      <c r="E584" s="117"/>
      <c r="F584" s="117"/>
      <c r="G584" s="117"/>
      <c r="H584" s="114"/>
      <c r="I584" s="114"/>
      <c r="J584" s="114"/>
      <c r="K584" s="114"/>
      <c r="L584" s="114"/>
      <c r="M584" s="114"/>
      <c r="N584" s="88"/>
      <c r="O584" s="115"/>
      <c r="P584" s="114"/>
      <c r="Q584" s="114"/>
      <c r="R584" s="114"/>
      <c r="S584" s="114"/>
      <c r="T584" s="114"/>
      <c r="U584" s="114"/>
      <c r="V584" s="114"/>
      <c r="W584" s="114"/>
      <c r="X584" s="114"/>
      <c r="Y584" s="114"/>
      <c r="Z584" s="114"/>
      <c r="AA584" s="114"/>
      <c r="AB584" s="114"/>
    </row>
    <row r="585" spans="1:28" ht="12.75">
      <c r="A585" s="114"/>
      <c r="B585" s="114"/>
      <c r="C585" s="7"/>
      <c r="D585" s="114"/>
      <c r="E585" s="117"/>
      <c r="F585" s="117"/>
      <c r="G585" s="117"/>
      <c r="H585" s="114"/>
      <c r="I585" s="114"/>
      <c r="J585" s="114"/>
      <c r="K585" s="114"/>
      <c r="L585" s="114"/>
      <c r="M585" s="114"/>
      <c r="N585" s="88"/>
      <c r="O585" s="115"/>
      <c r="P585" s="114"/>
      <c r="Q585" s="114"/>
      <c r="R585" s="114"/>
      <c r="S585" s="114"/>
      <c r="T585" s="114"/>
      <c r="U585" s="114"/>
      <c r="V585" s="114"/>
      <c r="W585" s="114"/>
      <c r="X585" s="114"/>
      <c r="Y585" s="114"/>
      <c r="Z585" s="114"/>
      <c r="AA585" s="114"/>
      <c r="AB585" s="114"/>
    </row>
    <row r="586" spans="1:28" ht="12.75">
      <c r="A586" s="114"/>
      <c r="B586" s="114"/>
      <c r="C586" s="7"/>
      <c r="D586" s="114"/>
      <c r="E586" s="117"/>
      <c r="F586" s="117"/>
      <c r="G586" s="117"/>
      <c r="H586" s="114"/>
      <c r="I586" s="114"/>
      <c r="J586" s="114"/>
      <c r="K586" s="114"/>
      <c r="L586" s="114"/>
      <c r="M586" s="114"/>
      <c r="N586" s="88"/>
      <c r="O586" s="115"/>
      <c r="P586" s="114"/>
      <c r="Q586" s="114"/>
      <c r="R586" s="114"/>
      <c r="S586" s="114"/>
      <c r="T586" s="114"/>
      <c r="U586" s="114"/>
      <c r="V586" s="114"/>
      <c r="W586" s="114"/>
      <c r="X586" s="114"/>
      <c r="Y586" s="114"/>
      <c r="Z586" s="114"/>
      <c r="AA586" s="114"/>
      <c r="AB586" s="114"/>
    </row>
    <row r="587" spans="1:28" ht="12.75">
      <c r="A587" s="114"/>
      <c r="B587" s="114"/>
      <c r="C587" s="7"/>
      <c r="D587" s="114"/>
      <c r="E587" s="117"/>
      <c r="F587" s="117"/>
      <c r="G587" s="117"/>
      <c r="H587" s="114"/>
      <c r="I587" s="114"/>
      <c r="J587" s="114"/>
      <c r="K587" s="114"/>
      <c r="L587" s="114"/>
      <c r="M587" s="114"/>
      <c r="N587" s="88"/>
      <c r="O587" s="115"/>
      <c r="P587" s="114"/>
      <c r="Q587" s="114"/>
      <c r="R587" s="114"/>
      <c r="S587" s="114"/>
      <c r="T587" s="114"/>
      <c r="U587" s="114"/>
      <c r="V587" s="114"/>
      <c r="W587" s="114"/>
      <c r="X587" s="114"/>
      <c r="Y587" s="114"/>
      <c r="Z587" s="114"/>
      <c r="AA587" s="114"/>
      <c r="AB587" s="114"/>
    </row>
    <row r="588" spans="1:28" ht="12.75">
      <c r="A588" s="114"/>
      <c r="B588" s="114"/>
      <c r="C588" s="7"/>
      <c r="D588" s="114"/>
      <c r="E588" s="117"/>
      <c r="F588" s="117"/>
      <c r="G588" s="117"/>
      <c r="H588" s="114"/>
      <c r="I588" s="114"/>
      <c r="J588" s="114"/>
      <c r="K588" s="114"/>
      <c r="L588" s="114"/>
      <c r="M588" s="114"/>
      <c r="N588" s="88"/>
      <c r="O588" s="115"/>
      <c r="P588" s="114"/>
      <c r="Q588" s="114"/>
      <c r="R588" s="114"/>
      <c r="S588" s="114"/>
      <c r="T588" s="114"/>
      <c r="U588" s="114"/>
      <c r="V588" s="114"/>
      <c r="W588" s="114"/>
      <c r="X588" s="114"/>
      <c r="Y588" s="114"/>
      <c r="Z588" s="114"/>
      <c r="AA588" s="114"/>
      <c r="AB588" s="114"/>
    </row>
    <row r="589" spans="1:28" ht="12.75">
      <c r="A589" s="114"/>
      <c r="B589" s="114"/>
      <c r="C589" s="7"/>
      <c r="D589" s="114"/>
      <c r="E589" s="117"/>
      <c r="F589" s="117"/>
      <c r="G589" s="117"/>
      <c r="H589" s="114"/>
      <c r="I589" s="114"/>
      <c r="J589" s="114"/>
      <c r="K589" s="114"/>
      <c r="L589" s="114"/>
      <c r="M589" s="114"/>
      <c r="N589" s="88"/>
      <c r="O589" s="115"/>
      <c r="P589" s="114"/>
      <c r="Q589" s="114"/>
      <c r="R589" s="114"/>
      <c r="S589" s="114"/>
      <c r="T589" s="114"/>
      <c r="U589" s="114"/>
      <c r="V589" s="114"/>
      <c r="W589" s="114"/>
      <c r="X589" s="114"/>
      <c r="Y589" s="114"/>
      <c r="Z589" s="114"/>
      <c r="AA589" s="114"/>
      <c r="AB589" s="114"/>
    </row>
    <row r="590" spans="1:28" ht="12.75">
      <c r="A590" s="114"/>
      <c r="B590" s="114"/>
      <c r="C590" s="7"/>
      <c r="D590" s="114"/>
      <c r="E590" s="117"/>
      <c r="F590" s="117"/>
      <c r="G590" s="117"/>
      <c r="H590" s="114"/>
      <c r="I590" s="114"/>
      <c r="J590" s="114"/>
      <c r="K590" s="114"/>
      <c r="L590" s="114"/>
      <c r="M590" s="114"/>
      <c r="N590" s="88"/>
      <c r="O590" s="115"/>
      <c r="P590" s="114"/>
      <c r="Q590" s="114"/>
      <c r="R590" s="114"/>
      <c r="S590" s="114"/>
      <c r="T590" s="114"/>
      <c r="U590" s="114"/>
      <c r="V590" s="114"/>
      <c r="W590" s="114"/>
      <c r="X590" s="114"/>
      <c r="Y590" s="114"/>
      <c r="Z590" s="114"/>
      <c r="AA590" s="114"/>
      <c r="AB590" s="114"/>
    </row>
    <row r="591" spans="1:28" ht="12.75">
      <c r="A591" s="114"/>
      <c r="B591" s="114"/>
      <c r="C591" s="7"/>
      <c r="D591" s="114"/>
      <c r="E591" s="117"/>
      <c r="F591" s="117"/>
      <c r="G591" s="117"/>
      <c r="H591" s="114"/>
      <c r="I591" s="114"/>
      <c r="J591" s="114"/>
      <c r="K591" s="114"/>
      <c r="L591" s="114"/>
      <c r="M591" s="114"/>
      <c r="N591" s="88"/>
      <c r="O591" s="115"/>
      <c r="P591" s="114"/>
      <c r="Q591" s="114"/>
      <c r="R591" s="114"/>
      <c r="S591" s="114"/>
      <c r="T591" s="114"/>
      <c r="U591" s="114"/>
      <c r="V591" s="114"/>
      <c r="W591" s="114"/>
      <c r="X591" s="114"/>
      <c r="Y591" s="114"/>
      <c r="Z591" s="114"/>
      <c r="AA591" s="114"/>
      <c r="AB591" s="114"/>
    </row>
    <row r="592" spans="1:28" ht="12.75">
      <c r="A592" s="114"/>
      <c r="B592" s="114"/>
      <c r="C592" s="7"/>
      <c r="D592" s="114"/>
      <c r="E592" s="117"/>
      <c r="F592" s="117"/>
      <c r="G592" s="117"/>
      <c r="H592" s="114"/>
      <c r="I592" s="114"/>
      <c r="J592" s="114"/>
      <c r="K592" s="114"/>
      <c r="L592" s="114"/>
      <c r="M592" s="114"/>
      <c r="N592" s="88"/>
      <c r="O592" s="115"/>
      <c r="P592" s="114"/>
      <c r="Q592" s="114"/>
      <c r="R592" s="114"/>
      <c r="S592" s="114"/>
      <c r="T592" s="114"/>
      <c r="U592" s="114"/>
      <c r="V592" s="114"/>
      <c r="W592" s="114"/>
      <c r="X592" s="114"/>
      <c r="Y592" s="114"/>
      <c r="Z592" s="114"/>
      <c r="AA592" s="114"/>
      <c r="AB592" s="114"/>
    </row>
    <row r="593" spans="1:28" ht="12.75">
      <c r="A593" s="114"/>
      <c r="B593" s="114"/>
      <c r="C593" s="7"/>
      <c r="D593" s="114"/>
      <c r="E593" s="117"/>
      <c r="F593" s="117"/>
      <c r="G593" s="117"/>
      <c r="H593" s="114"/>
      <c r="I593" s="114"/>
      <c r="J593" s="114"/>
      <c r="K593" s="114"/>
      <c r="L593" s="114"/>
      <c r="M593" s="114"/>
      <c r="N593" s="88"/>
      <c r="O593" s="115"/>
      <c r="P593" s="114"/>
      <c r="Q593" s="114"/>
      <c r="R593" s="114"/>
      <c r="S593" s="114"/>
      <c r="T593" s="114"/>
      <c r="U593" s="114"/>
      <c r="V593" s="114"/>
      <c r="W593" s="114"/>
      <c r="X593" s="114"/>
      <c r="Y593" s="114"/>
      <c r="Z593" s="114"/>
      <c r="AA593" s="114"/>
      <c r="AB593" s="114"/>
    </row>
    <row r="594" spans="1:28" ht="12.75">
      <c r="A594" s="114"/>
      <c r="B594" s="114"/>
      <c r="C594" s="7"/>
      <c r="D594" s="114"/>
      <c r="E594" s="117"/>
      <c r="F594" s="117"/>
      <c r="G594" s="117"/>
      <c r="H594" s="114"/>
      <c r="I594" s="114"/>
      <c r="J594" s="114"/>
      <c r="K594" s="114"/>
      <c r="L594" s="114"/>
      <c r="M594" s="114"/>
      <c r="N594" s="88"/>
      <c r="O594" s="115"/>
      <c r="P594" s="114"/>
      <c r="Q594" s="114"/>
      <c r="R594" s="114"/>
      <c r="S594" s="114"/>
      <c r="T594" s="114"/>
      <c r="U594" s="114"/>
      <c r="V594" s="114"/>
      <c r="W594" s="114"/>
      <c r="X594" s="114"/>
      <c r="Y594" s="114"/>
      <c r="Z594" s="114"/>
      <c r="AA594" s="114"/>
      <c r="AB594" s="114"/>
    </row>
    <row r="595" spans="1:28" ht="12.75">
      <c r="A595" s="114"/>
      <c r="B595" s="114"/>
      <c r="C595" s="7"/>
      <c r="D595" s="114"/>
      <c r="E595" s="117"/>
      <c r="F595" s="117"/>
      <c r="G595" s="117"/>
      <c r="H595" s="114"/>
      <c r="I595" s="114"/>
      <c r="J595" s="114"/>
      <c r="K595" s="114"/>
      <c r="L595" s="114"/>
      <c r="M595" s="114"/>
      <c r="N595" s="88"/>
      <c r="O595" s="115"/>
      <c r="P595" s="114"/>
      <c r="Q595" s="114"/>
      <c r="R595" s="114"/>
      <c r="S595" s="114"/>
      <c r="T595" s="114"/>
      <c r="U595" s="114"/>
      <c r="V595" s="114"/>
      <c r="W595" s="114"/>
      <c r="X595" s="114"/>
      <c r="Y595" s="114"/>
      <c r="Z595" s="114"/>
      <c r="AA595" s="114"/>
      <c r="AB595" s="114"/>
    </row>
    <row r="596" spans="1:28" ht="12.75">
      <c r="A596" s="114"/>
      <c r="B596" s="114"/>
      <c r="C596" s="7"/>
      <c r="D596" s="114"/>
      <c r="E596" s="117"/>
      <c r="F596" s="117"/>
      <c r="G596" s="117"/>
      <c r="H596" s="114"/>
      <c r="I596" s="114"/>
      <c r="J596" s="114"/>
      <c r="K596" s="114"/>
      <c r="L596" s="114"/>
      <c r="M596" s="114"/>
      <c r="N596" s="88"/>
      <c r="O596" s="115"/>
      <c r="P596" s="114"/>
      <c r="Q596" s="114"/>
      <c r="R596" s="114"/>
      <c r="S596" s="114"/>
      <c r="T596" s="114"/>
      <c r="U596" s="114"/>
      <c r="V596" s="114"/>
      <c r="W596" s="114"/>
      <c r="X596" s="114"/>
      <c r="Y596" s="114"/>
      <c r="Z596" s="114"/>
      <c r="AA596" s="114"/>
      <c r="AB596" s="114"/>
    </row>
    <row r="597" spans="1:28" ht="12.75">
      <c r="A597" s="114"/>
      <c r="B597" s="114"/>
      <c r="C597" s="7"/>
      <c r="D597" s="114"/>
      <c r="E597" s="117"/>
      <c r="F597" s="117"/>
      <c r="G597" s="117"/>
      <c r="H597" s="114"/>
      <c r="I597" s="114"/>
      <c r="J597" s="114"/>
      <c r="K597" s="114"/>
      <c r="L597" s="114"/>
      <c r="M597" s="114"/>
      <c r="N597" s="88"/>
      <c r="O597" s="115"/>
      <c r="P597" s="114"/>
      <c r="Q597" s="114"/>
      <c r="R597" s="114"/>
      <c r="S597" s="114"/>
      <c r="T597" s="114"/>
      <c r="U597" s="114"/>
      <c r="V597" s="114"/>
      <c r="W597" s="114"/>
      <c r="X597" s="114"/>
      <c r="Y597" s="114"/>
      <c r="Z597" s="114"/>
      <c r="AA597" s="114"/>
      <c r="AB597" s="114"/>
    </row>
    <row r="598" spans="1:28" ht="12.75">
      <c r="A598" s="114"/>
      <c r="B598" s="114"/>
      <c r="C598" s="7"/>
      <c r="D598" s="114"/>
      <c r="E598" s="117"/>
      <c r="F598" s="117"/>
      <c r="G598" s="117"/>
      <c r="H598" s="114"/>
      <c r="I598" s="114"/>
      <c r="J598" s="114"/>
      <c r="K598" s="114"/>
      <c r="L598" s="114"/>
      <c r="M598" s="114"/>
      <c r="N598" s="88"/>
      <c r="O598" s="115"/>
      <c r="P598" s="114"/>
      <c r="Q598" s="114"/>
      <c r="R598" s="114"/>
      <c r="S598" s="114"/>
      <c r="T598" s="114"/>
      <c r="U598" s="114"/>
      <c r="V598" s="114"/>
      <c r="W598" s="114"/>
      <c r="X598" s="114"/>
      <c r="Y598" s="114"/>
      <c r="Z598" s="114"/>
      <c r="AA598" s="114"/>
      <c r="AB598" s="114"/>
    </row>
    <row r="599" spans="1:28" ht="12.75">
      <c r="A599" s="114"/>
      <c r="B599" s="114"/>
      <c r="C599" s="7"/>
      <c r="D599" s="114"/>
      <c r="E599" s="117"/>
      <c r="F599" s="117"/>
      <c r="G599" s="117"/>
      <c r="H599" s="114"/>
      <c r="I599" s="114"/>
      <c r="J599" s="114"/>
      <c r="K599" s="114"/>
      <c r="L599" s="114"/>
      <c r="M599" s="114"/>
      <c r="N599" s="88"/>
      <c r="O599" s="115"/>
      <c r="P599" s="114"/>
      <c r="Q599" s="114"/>
      <c r="R599" s="114"/>
      <c r="S599" s="114"/>
      <c r="T599" s="114"/>
      <c r="U599" s="114"/>
      <c r="V599" s="114"/>
      <c r="W599" s="114"/>
      <c r="X599" s="114"/>
      <c r="Y599" s="114"/>
      <c r="Z599" s="114"/>
      <c r="AA599" s="114"/>
      <c r="AB599" s="114"/>
    </row>
    <row r="600" spans="1:28" ht="12.75">
      <c r="A600" s="114"/>
      <c r="B600" s="114"/>
      <c r="C600" s="7"/>
      <c r="D600" s="114"/>
      <c r="E600" s="117"/>
      <c r="F600" s="117"/>
      <c r="G600" s="117"/>
      <c r="H600" s="114"/>
      <c r="I600" s="114"/>
      <c r="J600" s="114"/>
      <c r="K600" s="114"/>
      <c r="L600" s="114"/>
      <c r="M600" s="114"/>
      <c r="N600" s="88"/>
      <c r="O600" s="115"/>
      <c r="P600" s="114"/>
      <c r="Q600" s="114"/>
      <c r="R600" s="114"/>
      <c r="S600" s="114"/>
      <c r="T600" s="114"/>
      <c r="U600" s="114"/>
      <c r="V600" s="114"/>
      <c r="W600" s="114"/>
      <c r="X600" s="114"/>
      <c r="Y600" s="114"/>
      <c r="Z600" s="114"/>
      <c r="AA600" s="114"/>
      <c r="AB600" s="114"/>
    </row>
    <row r="601" spans="1:28" ht="12.75">
      <c r="A601" s="114"/>
      <c r="B601" s="114"/>
      <c r="C601" s="7"/>
      <c r="D601" s="114"/>
      <c r="E601" s="117"/>
      <c r="F601" s="117"/>
      <c r="G601" s="117"/>
      <c r="H601" s="114"/>
      <c r="I601" s="114"/>
      <c r="J601" s="114"/>
      <c r="K601" s="114"/>
      <c r="L601" s="114"/>
      <c r="M601" s="114"/>
      <c r="N601" s="88"/>
      <c r="O601" s="115"/>
      <c r="P601" s="114"/>
      <c r="Q601" s="114"/>
      <c r="R601" s="114"/>
      <c r="S601" s="114"/>
      <c r="T601" s="114"/>
      <c r="U601" s="114"/>
      <c r="V601" s="114"/>
      <c r="W601" s="114"/>
      <c r="X601" s="114"/>
      <c r="Y601" s="114"/>
      <c r="Z601" s="114"/>
      <c r="AA601" s="114"/>
      <c r="AB601" s="114"/>
    </row>
    <row r="602" spans="1:28" ht="12.75">
      <c r="A602" s="114"/>
      <c r="B602" s="114"/>
      <c r="C602" s="7"/>
      <c r="D602" s="114"/>
      <c r="E602" s="117"/>
      <c r="F602" s="117"/>
      <c r="G602" s="117"/>
      <c r="H602" s="114"/>
      <c r="I602" s="114"/>
      <c r="J602" s="114"/>
      <c r="K602" s="114"/>
      <c r="L602" s="114"/>
      <c r="M602" s="114"/>
      <c r="N602" s="88"/>
      <c r="O602" s="115"/>
      <c r="P602" s="114"/>
      <c r="Q602" s="114"/>
      <c r="R602" s="114"/>
      <c r="S602" s="114"/>
      <c r="T602" s="114"/>
      <c r="U602" s="114"/>
      <c r="V602" s="114"/>
      <c r="W602" s="114"/>
      <c r="X602" s="114"/>
      <c r="Y602" s="114"/>
      <c r="Z602" s="114"/>
      <c r="AA602" s="114"/>
      <c r="AB602" s="114"/>
    </row>
    <row r="603" spans="1:28" ht="12.75">
      <c r="A603" s="114"/>
      <c r="B603" s="114"/>
      <c r="C603" s="7"/>
      <c r="D603" s="114"/>
      <c r="E603" s="117"/>
      <c r="F603" s="117"/>
      <c r="G603" s="117"/>
      <c r="H603" s="114"/>
      <c r="I603" s="114"/>
      <c r="J603" s="114"/>
      <c r="K603" s="114"/>
      <c r="L603" s="114"/>
      <c r="M603" s="114"/>
      <c r="N603" s="88"/>
      <c r="O603" s="115"/>
      <c r="P603" s="114"/>
      <c r="Q603" s="114"/>
      <c r="R603" s="114"/>
      <c r="S603" s="114"/>
      <c r="T603" s="114"/>
      <c r="U603" s="114"/>
      <c r="V603" s="114"/>
      <c r="W603" s="114"/>
      <c r="X603" s="114"/>
      <c r="Y603" s="114"/>
      <c r="Z603" s="114"/>
      <c r="AA603" s="114"/>
      <c r="AB603" s="114"/>
    </row>
    <row r="604" spans="1:28" ht="12.75">
      <c r="A604" s="114"/>
      <c r="B604" s="114"/>
      <c r="C604" s="7"/>
      <c r="D604" s="114"/>
      <c r="E604" s="117"/>
      <c r="F604" s="117"/>
      <c r="G604" s="117"/>
      <c r="H604" s="114"/>
      <c r="I604" s="114"/>
      <c r="J604" s="114"/>
      <c r="K604" s="114"/>
      <c r="L604" s="114"/>
      <c r="M604" s="114"/>
      <c r="N604" s="88"/>
      <c r="O604" s="115"/>
      <c r="P604" s="114"/>
      <c r="Q604" s="114"/>
      <c r="R604" s="114"/>
      <c r="S604" s="114"/>
      <c r="T604" s="114"/>
      <c r="U604" s="114"/>
      <c r="V604" s="114"/>
      <c r="W604" s="114"/>
      <c r="X604" s="114"/>
      <c r="Y604" s="114"/>
      <c r="Z604" s="114"/>
      <c r="AA604" s="114"/>
      <c r="AB604" s="114"/>
    </row>
    <row r="605" spans="1:28" ht="12.75">
      <c r="A605" s="114"/>
      <c r="B605" s="114"/>
      <c r="C605" s="7"/>
      <c r="D605" s="114"/>
      <c r="E605" s="117"/>
      <c r="F605" s="117"/>
      <c r="G605" s="117"/>
      <c r="H605" s="114"/>
      <c r="I605" s="114"/>
      <c r="J605" s="114"/>
      <c r="K605" s="114"/>
      <c r="L605" s="114"/>
      <c r="M605" s="114"/>
      <c r="N605" s="88"/>
      <c r="O605" s="115"/>
      <c r="P605" s="114"/>
      <c r="Q605" s="114"/>
      <c r="R605" s="114"/>
      <c r="S605" s="114"/>
      <c r="T605" s="114"/>
      <c r="U605" s="114"/>
      <c r="V605" s="114"/>
      <c r="W605" s="114"/>
      <c r="X605" s="114"/>
      <c r="Y605" s="114"/>
      <c r="Z605" s="114"/>
      <c r="AA605" s="114"/>
      <c r="AB605" s="114"/>
    </row>
    <row r="606" spans="1:28" ht="12.75">
      <c r="A606" s="114"/>
      <c r="B606" s="114"/>
      <c r="C606" s="7"/>
      <c r="D606" s="114"/>
      <c r="E606" s="117"/>
      <c r="F606" s="117"/>
      <c r="G606" s="117"/>
      <c r="H606" s="114"/>
      <c r="I606" s="114"/>
      <c r="J606" s="114"/>
      <c r="K606" s="114"/>
      <c r="L606" s="114"/>
      <c r="M606" s="114"/>
      <c r="N606" s="88"/>
      <c r="O606" s="115"/>
      <c r="P606" s="114"/>
      <c r="Q606" s="114"/>
      <c r="R606" s="114"/>
      <c r="S606" s="114"/>
      <c r="T606" s="114"/>
      <c r="U606" s="114"/>
      <c r="V606" s="114"/>
      <c r="W606" s="114"/>
      <c r="X606" s="114"/>
      <c r="Y606" s="114"/>
      <c r="Z606" s="114"/>
      <c r="AA606" s="114"/>
      <c r="AB606" s="114"/>
    </row>
    <row r="607" spans="1:28" ht="12.75">
      <c r="A607" s="114"/>
      <c r="B607" s="114"/>
      <c r="C607" s="7"/>
      <c r="D607" s="114"/>
      <c r="E607" s="117"/>
      <c r="F607" s="117"/>
      <c r="G607" s="117"/>
      <c r="H607" s="114"/>
      <c r="I607" s="114"/>
      <c r="J607" s="114"/>
      <c r="K607" s="114"/>
      <c r="L607" s="114"/>
      <c r="M607" s="114"/>
      <c r="N607" s="88"/>
      <c r="O607" s="115"/>
      <c r="P607" s="114"/>
      <c r="Q607" s="114"/>
      <c r="R607" s="114"/>
      <c r="S607" s="114"/>
      <c r="T607" s="114"/>
      <c r="U607" s="114"/>
      <c r="V607" s="114"/>
      <c r="W607" s="114"/>
      <c r="X607" s="114"/>
      <c r="Y607" s="114"/>
      <c r="Z607" s="114"/>
      <c r="AA607" s="114"/>
      <c r="AB607" s="114"/>
    </row>
    <row r="608" spans="1:28" ht="12.75">
      <c r="A608" s="114"/>
      <c r="B608" s="114"/>
      <c r="C608" s="7"/>
      <c r="D608" s="114"/>
      <c r="E608" s="117"/>
      <c r="F608" s="117"/>
      <c r="G608" s="117"/>
      <c r="H608" s="114"/>
      <c r="I608" s="114"/>
      <c r="J608" s="114"/>
      <c r="K608" s="114"/>
      <c r="L608" s="114"/>
      <c r="M608" s="114"/>
      <c r="N608" s="88"/>
      <c r="O608" s="115"/>
      <c r="P608" s="114"/>
      <c r="Q608" s="114"/>
      <c r="R608" s="114"/>
      <c r="S608" s="114"/>
      <c r="T608" s="114"/>
      <c r="U608" s="114"/>
      <c r="V608" s="114"/>
      <c r="W608" s="114"/>
      <c r="X608" s="114"/>
      <c r="Y608" s="114"/>
      <c r="Z608" s="114"/>
      <c r="AA608" s="114"/>
      <c r="AB608" s="114"/>
    </row>
    <row r="609" spans="1:28" ht="12.75">
      <c r="A609" s="114"/>
      <c r="B609" s="114"/>
      <c r="C609" s="7"/>
      <c r="D609" s="114"/>
      <c r="E609" s="117"/>
      <c r="F609" s="117"/>
      <c r="G609" s="117"/>
      <c r="H609" s="114"/>
      <c r="I609" s="114"/>
      <c r="J609" s="114"/>
      <c r="K609" s="114"/>
      <c r="L609" s="114"/>
      <c r="M609" s="114"/>
      <c r="N609" s="88"/>
      <c r="O609" s="115"/>
      <c r="P609" s="114"/>
      <c r="Q609" s="114"/>
      <c r="R609" s="114"/>
      <c r="S609" s="114"/>
      <c r="T609" s="114"/>
      <c r="U609" s="114"/>
      <c r="V609" s="114"/>
      <c r="W609" s="114"/>
      <c r="X609" s="114"/>
      <c r="Y609" s="114"/>
      <c r="Z609" s="114"/>
      <c r="AA609" s="114"/>
      <c r="AB609" s="114"/>
    </row>
    <row r="610" spans="1:28" ht="12.75">
      <c r="A610" s="114"/>
      <c r="B610" s="114"/>
      <c r="C610" s="7"/>
      <c r="D610" s="114"/>
      <c r="E610" s="117"/>
      <c r="F610" s="117"/>
      <c r="G610" s="117"/>
      <c r="H610" s="114"/>
      <c r="I610" s="114"/>
      <c r="J610" s="114"/>
      <c r="K610" s="114"/>
      <c r="L610" s="114"/>
      <c r="M610" s="114"/>
      <c r="N610" s="88"/>
      <c r="O610" s="115"/>
      <c r="P610" s="114"/>
      <c r="Q610" s="114"/>
      <c r="R610" s="114"/>
      <c r="S610" s="114"/>
      <c r="T610" s="114"/>
      <c r="U610" s="114"/>
      <c r="V610" s="114"/>
      <c r="W610" s="114"/>
      <c r="X610" s="114"/>
      <c r="Y610" s="114"/>
      <c r="Z610" s="114"/>
      <c r="AA610" s="114"/>
      <c r="AB610" s="114"/>
    </row>
    <row r="611" spans="1:28" ht="12.75">
      <c r="A611" s="114"/>
      <c r="B611" s="114"/>
      <c r="C611" s="7"/>
      <c r="D611" s="114"/>
      <c r="E611" s="117"/>
      <c r="F611" s="117"/>
      <c r="G611" s="117"/>
      <c r="H611" s="114"/>
      <c r="I611" s="114"/>
      <c r="J611" s="114"/>
      <c r="K611" s="114"/>
      <c r="L611" s="114"/>
      <c r="M611" s="114"/>
      <c r="N611" s="88"/>
      <c r="O611" s="115"/>
      <c r="P611" s="114"/>
      <c r="Q611" s="114"/>
      <c r="R611" s="114"/>
      <c r="S611" s="114"/>
      <c r="T611" s="114"/>
      <c r="U611" s="114"/>
      <c r="V611" s="114"/>
      <c r="W611" s="114"/>
      <c r="X611" s="114"/>
      <c r="Y611" s="114"/>
      <c r="Z611" s="114"/>
      <c r="AA611" s="114"/>
      <c r="AB611" s="114"/>
    </row>
    <row r="612" spans="1:28" ht="12.75">
      <c r="A612" s="114"/>
      <c r="B612" s="114"/>
      <c r="C612" s="7"/>
      <c r="D612" s="114"/>
      <c r="E612" s="117"/>
      <c r="F612" s="117"/>
      <c r="G612" s="117"/>
      <c r="H612" s="114"/>
      <c r="I612" s="114"/>
      <c r="J612" s="114"/>
      <c r="K612" s="114"/>
      <c r="L612" s="114"/>
      <c r="M612" s="114"/>
      <c r="N612" s="88"/>
      <c r="O612" s="115"/>
      <c r="P612" s="114"/>
      <c r="Q612" s="114"/>
      <c r="R612" s="114"/>
      <c r="S612" s="114"/>
      <c r="T612" s="114"/>
      <c r="U612" s="114"/>
      <c r="V612" s="114"/>
      <c r="W612" s="114"/>
      <c r="X612" s="114"/>
      <c r="Y612" s="114"/>
      <c r="Z612" s="114"/>
      <c r="AA612" s="114"/>
      <c r="AB612" s="114"/>
    </row>
    <row r="613" spans="1:28" ht="12.75">
      <c r="A613" s="114"/>
      <c r="B613" s="114"/>
      <c r="C613" s="7"/>
      <c r="D613" s="114"/>
      <c r="E613" s="117"/>
      <c r="F613" s="117"/>
      <c r="G613" s="117"/>
      <c r="H613" s="114"/>
      <c r="I613" s="114"/>
      <c r="J613" s="114"/>
      <c r="K613" s="114"/>
      <c r="L613" s="114"/>
      <c r="M613" s="114"/>
      <c r="N613" s="88"/>
      <c r="O613" s="115"/>
      <c r="P613" s="114"/>
      <c r="Q613" s="114"/>
      <c r="R613" s="114"/>
      <c r="S613" s="114"/>
      <c r="T613" s="114"/>
      <c r="U613" s="114"/>
      <c r="V613" s="114"/>
      <c r="W613" s="114"/>
      <c r="X613" s="114"/>
      <c r="Y613" s="114"/>
      <c r="Z613" s="114"/>
      <c r="AA613" s="114"/>
      <c r="AB613" s="114"/>
    </row>
    <row r="614" spans="1:28" ht="12.75">
      <c r="A614" s="114"/>
      <c r="B614" s="114"/>
      <c r="C614" s="7"/>
      <c r="D614" s="114"/>
      <c r="E614" s="117"/>
      <c r="F614" s="117"/>
      <c r="G614" s="117"/>
      <c r="H614" s="114"/>
      <c r="I614" s="114"/>
      <c r="J614" s="114"/>
      <c r="K614" s="114"/>
      <c r="L614" s="114"/>
      <c r="M614" s="114"/>
      <c r="N614" s="88"/>
      <c r="O614" s="115"/>
      <c r="P614" s="114"/>
      <c r="Q614" s="114"/>
      <c r="R614" s="114"/>
      <c r="S614" s="114"/>
      <c r="T614" s="114"/>
      <c r="U614" s="114"/>
      <c r="V614" s="114"/>
      <c r="W614" s="114"/>
      <c r="X614" s="114"/>
      <c r="Y614" s="114"/>
      <c r="Z614" s="114"/>
      <c r="AA614" s="114"/>
      <c r="AB614" s="114"/>
    </row>
    <row r="615" spans="1:28" ht="12.75">
      <c r="A615" s="114"/>
      <c r="B615" s="114"/>
      <c r="C615" s="7"/>
      <c r="D615" s="114"/>
      <c r="E615" s="117"/>
      <c r="F615" s="117"/>
      <c r="G615" s="117"/>
      <c r="H615" s="114"/>
      <c r="I615" s="114"/>
      <c r="J615" s="114"/>
      <c r="K615" s="114"/>
      <c r="L615" s="114"/>
      <c r="M615" s="114"/>
      <c r="N615" s="88"/>
      <c r="O615" s="115"/>
      <c r="P615" s="114"/>
      <c r="Q615" s="114"/>
      <c r="R615" s="114"/>
      <c r="S615" s="114"/>
      <c r="T615" s="114"/>
      <c r="U615" s="114"/>
      <c r="V615" s="114"/>
      <c r="W615" s="114"/>
      <c r="X615" s="114"/>
      <c r="Y615" s="114"/>
      <c r="Z615" s="114"/>
      <c r="AA615" s="114"/>
      <c r="AB615" s="114"/>
    </row>
    <row r="616" spans="1:28" ht="12.75">
      <c r="A616" s="114"/>
      <c r="B616" s="114"/>
      <c r="C616" s="7"/>
      <c r="D616" s="114"/>
      <c r="E616" s="117"/>
      <c r="F616" s="117"/>
      <c r="G616" s="117"/>
      <c r="H616" s="114"/>
      <c r="I616" s="114"/>
      <c r="J616" s="114"/>
      <c r="K616" s="114"/>
      <c r="L616" s="114"/>
      <c r="M616" s="114"/>
      <c r="N616" s="88"/>
      <c r="O616" s="115"/>
      <c r="P616" s="114"/>
      <c r="Q616" s="114"/>
      <c r="R616" s="114"/>
      <c r="S616" s="114"/>
      <c r="T616" s="114"/>
      <c r="U616" s="114"/>
      <c r="V616" s="114"/>
      <c r="W616" s="114"/>
      <c r="X616" s="114"/>
      <c r="Y616" s="114"/>
      <c r="Z616" s="114"/>
      <c r="AA616" s="114"/>
      <c r="AB616" s="114"/>
    </row>
    <row r="617" spans="1:28" ht="12.75">
      <c r="A617" s="114"/>
      <c r="B617" s="114"/>
      <c r="C617" s="7"/>
      <c r="D617" s="114"/>
      <c r="E617" s="117"/>
      <c r="F617" s="117"/>
      <c r="G617" s="117"/>
      <c r="H617" s="114"/>
      <c r="I617" s="114"/>
      <c r="J617" s="114"/>
      <c r="K617" s="114"/>
      <c r="L617" s="114"/>
      <c r="M617" s="114"/>
      <c r="N617" s="88"/>
      <c r="O617" s="115"/>
      <c r="P617" s="114"/>
      <c r="Q617" s="114"/>
      <c r="R617" s="114"/>
      <c r="S617" s="114"/>
      <c r="T617" s="114"/>
      <c r="U617" s="114"/>
      <c r="V617" s="114"/>
      <c r="W617" s="114"/>
      <c r="X617" s="114"/>
      <c r="Y617" s="114"/>
      <c r="Z617" s="114"/>
      <c r="AA617" s="114"/>
      <c r="AB617" s="114"/>
    </row>
    <row r="618" spans="1:28" ht="12.75">
      <c r="A618" s="114"/>
      <c r="B618" s="114"/>
      <c r="C618" s="7"/>
      <c r="D618" s="114"/>
      <c r="E618" s="117"/>
      <c r="F618" s="117"/>
      <c r="G618" s="117"/>
      <c r="H618" s="114"/>
      <c r="I618" s="114"/>
      <c r="J618" s="114"/>
      <c r="K618" s="114"/>
      <c r="L618" s="114"/>
      <c r="M618" s="114"/>
      <c r="N618" s="88"/>
      <c r="O618" s="115"/>
      <c r="P618" s="114"/>
      <c r="Q618" s="114"/>
      <c r="R618" s="114"/>
      <c r="S618" s="114"/>
      <c r="T618" s="114"/>
      <c r="U618" s="114"/>
      <c r="V618" s="114"/>
      <c r="W618" s="114"/>
      <c r="X618" s="114"/>
      <c r="Y618" s="114"/>
      <c r="Z618" s="114"/>
      <c r="AA618" s="114"/>
      <c r="AB618" s="114"/>
    </row>
    <row r="619" spans="1:28" ht="12.75">
      <c r="A619" s="114"/>
      <c r="B619" s="114"/>
      <c r="C619" s="7"/>
      <c r="D619" s="114"/>
      <c r="E619" s="117"/>
      <c r="F619" s="117"/>
      <c r="G619" s="117"/>
      <c r="H619" s="114"/>
      <c r="I619" s="114"/>
      <c r="J619" s="114"/>
      <c r="K619" s="114"/>
      <c r="L619" s="114"/>
      <c r="M619" s="114"/>
      <c r="N619" s="88"/>
      <c r="O619" s="115"/>
      <c r="P619" s="114"/>
      <c r="Q619" s="114"/>
      <c r="R619" s="114"/>
      <c r="S619" s="114"/>
      <c r="T619" s="114"/>
      <c r="U619" s="114"/>
      <c r="V619" s="114"/>
      <c r="W619" s="114"/>
      <c r="X619" s="114"/>
      <c r="Y619" s="114"/>
      <c r="Z619" s="114"/>
      <c r="AA619" s="114"/>
      <c r="AB619" s="114"/>
    </row>
    <row r="620" spans="1:28" ht="12.75">
      <c r="A620" s="114"/>
      <c r="B620" s="114"/>
      <c r="C620" s="7"/>
      <c r="D620" s="114"/>
      <c r="E620" s="117"/>
      <c r="F620" s="117"/>
      <c r="G620" s="117"/>
      <c r="H620" s="114"/>
      <c r="I620" s="114"/>
      <c r="J620" s="114"/>
      <c r="K620" s="114"/>
      <c r="L620" s="114"/>
      <c r="M620" s="114"/>
      <c r="N620" s="88"/>
      <c r="O620" s="115"/>
      <c r="P620" s="114"/>
      <c r="Q620" s="114"/>
      <c r="R620" s="114"/>
      <c r="S620" s="114"/>
      <c r="T620" s="114"/>
      <c r="U620" s="114"/>
      <c r="V620" s="114"/>
      <c r="W620" s="114"/>
      <c r="X620" s="114"/>
      <c r="Y620" s="114"/>
      <c r="Z620" s="114"/>
      <c r="AA620" s="114"/>
      <c r="AB620" s="114"/>
    </row>
    <row r="621" spans="1:28" ht="12.75">
      <c r="A621" s="114"/>
      <c r="B621" s="114"/>
      <c r="C621" s="7"/>
      <c r="D621" s="114"/>
      <c r="E621" s="117"/>
      <c r="F621" s="117"/>
      <c r="G621" s="117"/>
      <c r="H621" s="114"/>
      <c r="I621" s="114"/>
      <c r="J621" s="114"/>
      <c r="K621" s="114"/>
      <c r="L621" s="114"/>
      <c r="M621" s="114"/>
      <c r="N621" s="88"/>
      <c r="O621" s="115"/>
      <c r="P621" s="114"/>
      <c r="Q621" s="114"/>
      <c r="R621" s="114"/>
      <c r="S621" s="114"/>
      <c r="T621" s="114"/>
      <c r="U621" s="114"/>
      <c r="V621" s="114"/>
      <c r="W621" s="114"/>
      <c r="X621" s="114"/>
      <c r="Y621" s="114"/>
      <c r="Z621" s="114"/>
      <c r="AA621" s="114"/>
      <c r="AB621" s="114"/>
    </row>
    <row r="622" spans="1:28" ht="12.75">
      <c r="A622" s="114"/>
      <c r="B622" s="114"/>
      <c r="C622" s="7"/>
      <c r="D622" s="114"/>
      <c r="E622" s="117"/>
      <c r="F622" s="117"/>
      <c r="G622" s="117"/>
      <c r="H622" s="114"/>
      <c r="I622" s="114"/>
      <c r="J622" s="114"/>
      <c r="K622" s="114"/>
      <c r="L622" s="114"/>
      <c r="M622" s="114"/>
      <c r="N622" s="88"/>
      <c r="O622" s="115"/>
      <c r="P622" s="114"/>
      <c r="Q622" s="114"/>
      <c r="R622" s="114"/>
      <c r="S622" s="114"/>
      <c r="T622" s="114"/>
      <c r="U622" s="114"/>
      <c r="V622" s="114"/>
      <c r="W622" s="114"/>
      <c r="X622" s="114"/>
      <c r="Y622" s="114"/>
      <c r="Z622" s="114"/>
      <c r="AA622" s="114"/>
      <c r="AB622" s="114"/>
    </row>
    <row r="623" spans="1:28" ht="12.75">
      <c r="A623" s="114"/>
      <c r="B623" s="114"/>
      <c r="C623" s="7"/>
      <c r="D623" s="114"/>
      <c r="E623" s="117"/>
      <c r="F623" s="117"/>
      <c r="G623" s="117"/>
      <c r="H623" s="114"/>
      <c r="I623" s="114"/>
      <c r="J623" s="114"/>
      <c r="K623" s="114"/>
      <c r="L623" s="114"/>
      <c r="M623" s="114"/>
      <c r="N623" s="88"/>
      <c r="O623" s="115"/>
      <c r="P623" s="114"/>
      <c r="Q623" s="114"/>
      <c r="R623" s="114"/>
      <c r="S623" s="114"/>
      <c r="T623" s="114"/>
      <c r="U623" s="114"/>
      <c r="V623" s="114"/>
      <c r="W623" s="114"/>
      <c r="X623" s="114"/>
      <c r="Y623" s="114"/>
      <c r="Z623" s="114"/>
      <c r="AA623" s="114"/>
      <c r="AB623" s="114"/>
    </row>
    <row r="624" spans="1:28" ht="12.75">
      <c r="A624" s="114"/>
      <c r="B624" s="114"/>
      <c r="C624" s="7"/>
      <c r="D624" s="114"/>
      <c r="E624" s="117"/>
      <c r="F624" s="117"/>
      <c r="G624" s="117"/>
      <c r="H624" s="114"/>
      <c r="I624" s="114"/>
      <c r="J624" s="114"/>
      <c r="K624" s="114"/>
      <c r="L624" s="114"/>
      <c r="M624" s="114"/>
      <c r="N624" s="88"/>
      <c r="O624" s="115"/>
      <c r="P624" s="114"/>
      <c r="Q624" s="114"/>
      <c r="R624" s="114"/>
      <c r="S624" s="114"/>
      <c r="T624" s="114"/>
      <c r="U624" s="114"/>
      <c r="V624" s="114"/>
      <c r="W624" s="114"/>
      <c r="X624" s="114"/>
      <c r="Y624" s="114"/>
      <c r="Z624" s="114"/>
      <c r="AA624" s="114"/>
      <c r="AB624" s="114"/>
    </row>
    <row r="625" spans="1:28" ht="12.75">
      <c r="A625" s="114"/>
      <c r="B625" s="114"/>
      <c r="C625" s="7"/>
      <c r="D625" s="114"/>
      <c r="E625" s="117"/>
      <c r="F625" s="117"/>
      <c r="G625" s="117"/>
      <c r="H625" s="114"/>
      <c r="I625" s="114"/>
      <c r="J625" s="114"/>
      <c r="K625" s="114"/>
      <c r="L625" s="114"/>
      <c r="M625" s="114"/>
      <c r="N625" s="88"/>
      <c r="O625" s="115"/>
      <c r="P625" s="114"/>
      <c r="Q625" s="114"/>
      <c r="R625" s="114"/>
      <c r="S625" s="114"/>
      <c r="T625" s="114"/>
      <c r="U625" s="114"/>
      <c r="V625" s="114"/>
      <c r="W625" s="114"/>
      <c r="X625" s="114"/>
      <c r="Y625" s="114"/>
      <c r="Z625" s="114"/>
      <c r="AA625" s="114"/>
      <c r="AB625" s="114"/>
    </row>
    <row r="626" spans="1:28" ht="12.75">
      <c r="A626" s="114"/>
      <c r="B626" s="114"/>
      <c r="C626" s="7"/>
      <c r="D626" s="114"/>
      <c r="E626" s="117"/>
      <c r="F626" s="117"/>
      <c r="G626" s="117"/>
      <c r="H626" s="114"/>
      <c r="I626" s="114"/>
      <c r="J626" s="114"/>
      <c r="K626" s="114"/>
      <c r="L626" s="114"/>
      <c r="M626" s="114"/>
      <c r="N626" s="88"/>
      <c r="O626" s="115"/>
      <c r="P626" s="114"/>
      <c r="Q626" s="114"/>
      <c r="R626" s="114"/>
      <c r="S626" s="114"/>
      <c r="T626" s="114"/>
      <c r="U626" s="114"/>
      <c r="V626" s="114"/>
      <c r="W626" s="114"/>
      <c r="X626" s="114"/>
      <c r="Y626" s="114"/>
      <c r="Z626" s="114"/>
      <c r="AA626" s="114"/>
      <c r="AB626" s="114"/>
    </row>
    <row r="627" spans="1:28" ht="12.75">
      <c r="A627" s="114"/>
      <c r="B627" s="114"/>
      <c r="C627" s="7"/>
      <c r="D627" s="114"/>
      <c r="E627" s="117"/>
      <c r="F627" s="117"/>
      <c r="G627" s="117"/>
      <c r="H627" s="114"/>
      <c r="I627" s="114"/>
      <c r="J627" s="114"/>
      <c r="K627" s="114"/>
      <c r="L627" s="114"/>
      <c r="M627" s="114"/>
      <c r="N627" s="88"/>
      <c r="O627" s="115"/>
      <c r="P627" s="114"/>
      <c r="Q627" s="114"/>
      <c r="R627" s="114"/>
      <c r="S627" s="114"/>
      <c r="T627" s="114"/>
      <c r="U627" s="114"/>
      <c r="V627" s="114"/>
      <c r="W627" s="114"/>
      <c r="X627" s="114"/>
      <c r="Y627" s="114"/>
      <c r="Z627" s="114"/>
      <c r="AA627" s="114"/>
      <c r="AB627" s="114"/>
    </row>
    <row r="628" spans="1:28" ht="12.75">
      <c r="A628" s="114"/>
      <c r="B628" s="114"/>
      <c r="C628" s="7"/>
      <c r="D628" s="114"/>
      <c r="E628" s="117"/>
      <c r="F628" s="117"/>
      <c r="G628" s="117"/>
      <c r="H628" s="114"/>
      <c r="I628" s="114"/>
      <c r="J628" s="114"/>
      <c r="K628" s="114"/>
      <c r="L628" s="114"/>
      <c r="M628" s="114"/>
      <c r="N628" s="88"/>
      <c r="O628" s="115"/>
      <c r="P628" s="114"/>
      <c r="Q628" s="114"/>
      <c r="R628" s="114"/>
      <c r="S628" s="114"/>
      <c r="T628" s="114"/>
      <c r="U628" s="114"/>
      <c r="V628" s="114"/>
      <c r="W628" s="114"/>
      <c r="X628" s="114"/>
      <c r="Y628" s="114"/>
      <c r="Z628" s="114"/>
      <c r="AA628" s="114"/>
      <c r="AB628" s="114"/>
    </row>
    <row r="629" spans="1:28" ht="12.75">
      <c r="A629" s="114"/>
      <c r="B629" s="114"/>
      <c r="C629" s="7"/>
      <c r="D629" s="114"/>
      <c r="E629" s="117"/>
      <c r="F629" s="117"/>
      <c r="G629" s="117"/>
      <c r="H629" s="114"/>
      <c r="I629" s="114"/>
      <c r="J629" s="114"/>
      <c r="K629" s="114"/>
      <c r="L629" s="114"/>
      <c r="M629" s="114"/>
      <c r="N629" s="88"/>
      <c r="O629" s="115"/>
      <c r="P629" s="114"/>
      <c r="Q629" s="114"/>
      <c r="R629" s="114"/>
      <c r="S629" s="114"/>
      <c r="T629" s="114"/>
      <c r="U629" s="114"/>
      <c r="V629" s="114"/>
      <c r="W629" s="114"/>
      <c r="X629" s="114"/>
      <c r="Y629" s="114"/>
      <c r="Z629" s="114"/>
      <c r="AA629" s="114"/>
      <c r="AB629" s="114"/>
    </row>
    <row r="630" spans="1:28" ht="12.75">
      <c r="A630" s="114"/>
      <c r="B630" s="114"/>
      <c r="C630" s="7"/>
      <c r="D630" s="114"/>
      <c r="E630" s="117"/>
      <c r="F630" s="117"/>
      <c r="G630" s="117"/>
      <c r="H630" s="114"/>
      <c r="I630" s="114"/>
      <c r="J630" s="114"/>
      <c r="K630" s="114"/>
      <c r="L630" s="114"/>
      <c r="M630" s="114"/>
      <c r="N630" s="88"/>
      <c r="O630" s="115"/>
      <c r="P630" s="114"/>
      <c r="Q630" s="114"/>
      <c r="R630" s="114"/>
      <c r="S630" s="114"/>
      <c r="T630" s="114"/>
      <c r="U630" s="114"/>
      <c r="V630" s="114"/>
      <c r="W630" s="114"/>
      <c r="X630" s="114"/>
      <c r="Y630" s="114"/>
      <c r="Z630" s="114"/>
      <c r="AA630" s="114"/>
      <c r="AB630" s="114"/>
    </row>
    <row r="631" spans="1:28" ht="12.75">
      <c r="A631" s="114"/>
      <c r="B631" s="114"/>
      <c r="C631" s="7"/>
      <c r="D631" s="114"/>
      <c r="E631" s="117"/>
      <c r="F631" s="117"/>
      <c r="G631" s="117"/>
      <c r="H631" s="114"/>
      <c r="I631" s="114"/>
      <c r="J631" s="114"/>
      <c r="K631" s="114"/>
      <c r="L631" s="114"/>
      <c r="M631" s="114"/>
      <c r="N631" s="88"/>
      <c r="O631" s="115"/>
      <c r="P631" s="114"/>
      <c r="Q631" s="114"/>
      <c r="R631" s="114"/>
      <c r="S631" s="114"/>
      <c r="T631" s="114"/>
      <c r="U631" s="114"/>
      <c r="V631" s="114"/>
      <c r="W631" s="114"/>
      <c r="X631" s="114"/>
      <c r="Y631" s="114"/>
      <c r="Z631" s="114"/>
      <c r="AA631" s="114"/>
      <c r="AB631" s="114"/>
    </row>
    <row r="632" spans="1:28" ht="12.75">
      <c r="A632" s="114"/>
      <c r="B632" s="114"/>
      <c r="C632" s="7"/>
      <c r="D632" s="114"/>
      <c r="E632" s="117"/>
      <c r="F632" s="117"/>
      <c r="G632" s="117"/>
      <c r="H632" s="114"/>
      <c r="I632" s="114"/>
      <c r="J632" s="114"/>
      <c r="K632" s="114"/>
      <c r="L632" s="114"/>
      <c r="M632" s="114"/>
      <c r="N632" s="88"/>
      <c r="O632" s="115"/>
      <c r="P632" s="114"/>
      <c r="Q632" s="114"/>
      <c r="R632" s="114"/>
      <c r="S632" s="114"/>
      <c r="T632" s="114"/>
      <c r="U632" s="114"/>
      <c r="V632" s="114"/>
      <c r="W632" s="114"/>
      <c r="X632" s="114"/>
      <c r="Y632" s="114"/>
      <c r="Z632" s="114"/>
      <c r="AA632" s="114"/>
      <c r="AB632" s="114"/>
    </row>
    <row r="633" spans="1:28" ht="12.75">
      <c r="A633" s="114"/>
      <c r="B633" s="114"/>
      <c r="C633" s="7"/>
      <c r="D633" s="114"/>
      <c r="E633" s="117"/>
      <c r="F633" s="117"/>
      <c r="G633" s="117"/>
      <c r="H633" s="114"/>
      <c r="I633" s="114"/>
      <c r="J633" s="114"/>
      <c r="K633" s="114"/>
      <c r="L633" s="114"/>
      <c r="M633" s="114"/>
      <c r="N633" s="88"/>
      <c r="O633" s="115"/>
      <c r="P633" s="114"/>
      <c r="Q633" s="114"/>
      <c r="R633" s="114"/>
      <c r="S633" s="114"/>
      <c r="T633" s="114"/>
      <c r="U633" s="114"/>
      <c r="V633" s="114"/>
      <c r="W633" s="114"/>
      <c r="X633" s="114"/>
      <c r="Y633" s="114"/>
      <c r="Z633" s="114"/>
      <c r="AA633" s="114"/>
      <c r="AB633" s="114"/>
    </row>
    <row r="634" spans="1:28" ht="12.75">
      <c r="A634" s="114"/>
      <c r="B634" s="114"/>
      <c r="C634" s="7"/>
      <c r="D634" s="114"/>
      <c r="E634" s="117"/>
      <c r="F634" s="117"/>
      <c r="G634" s="117"/>
      <c r="H634" s="114"/>
      <c r="I634" s="114"/>
      <c r="J634" s="114"/>
      <c r="K634" s="114"/>
      <c r="L634" s="114"/>
      <c r="M634" s="114"/>
      <c r="N634" s="88"/>
      <c r="O634" s="115"/>
      <c r="P634" s="114"/>
      <c r="Q634" s="114"/>
      <c r="R634" s="114"/>
      <c r="S634" s="114"/>
      <c r="T634" s="114"/>
      <c r="U634" s="114"/>
      <c r="V634" s="114"/>
      <c r="W634" s="114"/>
      <c r="X634" s="114"/>
      <c r="Y634" s="114"/>
      <c r="Z634" s="114"/>
      <c r="AA634" s="114"/>
      <c r="AB634" s="114"/>
    </row>
    <row r="635" spans="1:28" ht="12.75">
      <c r="A635" s="114"/>
      <c r="B635" s="114"/>
      <c r="C635" s="7"/>
      <c r="D635" s="114"/>
      <c r="E635" s="117"/>
      <c r="F635" s="117"/>
      <c r="G635" s="117"/>
      <c r="H635" s="114"/>
      <c r="I635" s="114"/>
      <c r="J635" s="114"/>
      <c r="K635" s="114"/>
      <c r="L635" s="114"/>
      <c r="M635" s="114"/>
      <c r="N635" s="88"/>
      <c r="O635" s="115"/>
      <c r="P635" s="114"/>
      <c r="Q635" s="114"/>
      <c r="R635" s="114"/>
      <c r="S635" s="114"/>
      <c r="T635" s="114"/>
      <c r="U635" s="114"/>
      <c r="V635" s="114"/>
      <c r="W635" s="114"/>
      <c r="X635" s="114"/>
      <c r="Y635" s="114"/>
      <c r="Z635" s="114"/>
      <c r="AA635" s="114"/>
      <c r="AB635" s="114"/>
    </row>
    <row r="636" spans="1:28" ht="12.75">
      <c r="A636" s="114"/>
      <c r="B636" s="114"/>
      <c r="C636" s="7"/>
      <c r="D636" s="114"/>
      <c r="E636" s="117"/>
      <c r="F636" s="117"/>
      <c r="G636" s="117"/>
      <c r="H636" s="114"/>
      <c r="I636" s="114"/>
      <c r="J636" s="114"/>
      <c r="K636" s="114"/>
      <c r="L636" s="114"/>
      <c r="M636" s="114"/>
      <c r="N636" s="88"/>
      <c r="O636" s="115"/>
      <c r="P636" s="114"/>
      <c r="Q636" s="114"/>
      <c r="R636" s="114"/>
      <c r="S636" s="114"/>
      <c r="T636" s="114"/>
      <c r="U636" s="114"/>
      <c r="V636" s="114"/>
      <c r="W636" s="114"/>
      <c r="X636" s="114"/>
      <c r="Y636" s="114"/>
      <c r="Z636" s="114"/>
      <c r="AA636" s="114"/>
      <c r="AB636" s="114"/>
    </row>
    <row r="637" spans="1:28" ht="12.75">
      <c r="A637" s="114"/>
      <c r="B637" s="114"/>
      <c r="C637" s="7"/>
      <c r="D637" s="114"/>
      <c r="E637" s="117"/>
      <c r="F637" s="117"/>
      <c r="G637" s="117"/>
      <c r="H637" s="114"/>
      <c r="I637" s="114"/>
      <c r="J637" s="114"/>
      <c r="K637" s="114"/>
      <c r="L637" s="114"/>
      <c r="M637" s="114"/>
      <c r="N637" s="88"/>
      <c r="O637" s="115"/>
      <c r="P637" s="114"/>
      <c r="Q637" s="114"/>
      <c r="R637" s="114"/>
      <c r="S637" s="114"/>
      <c r="T637" s="114"/>
      <c r="U637" s="114"/>
      <c r="V637" s="114"/>
      <c r="W637" s="114"/>
      <c r="X637" s="114"/>
      <c r="Y637" s="114"/>
      <c r="Z637" s="114"/>
      <c r="AA637" s="114"/>
      <c r="AB637" s="114"/>
    </row>
    <row r="638" spans="1:28" ht="12.75">
      <c r="A638" s="114"/>
      <c r="B638" s="114"/>
      <c r="C638" s="7"/>
      <c r="D638" s="114"/>
      <c r="E638" s="117"/>
      <c r="F638" s="117"/>
      <c r="G638" s="117"/>
      <c r="H638" s="114"/>
      <c r="I638" s="114"/>
      <c r="J638" s="114"/>
      <c r="K638" s="114"/>
      <c r="L638" s="114"/>
      <c r="M638" s="114"/>
      <c r="N638" s="88"/>
      <c r="O638" s="115"/>
      <c r="P638" s="114"/>
      <c r="Q638" s="114"/>
      <c r="R638" s="114"/>
      <c r="S638" s="114"/>
      <c r="T638" s="114"/>
      <c r="U638" s="114"/>
      <c r="V638" s="114"/>
      <c r="W638" s="114"/>
      <c r="X638" s="114"/>
      <c r="Y638" s="114"/>
      <c r="Z638" s="114"/>
      <c r="AA638" s="114"/>
      <c r="AB638" s="114"/>
    </row>
    <row r="639" spans="1:28" ht="12.75">
      <c r="A639" s="114"/>
      <c r="B639" s="114"/>
      <c r="C639" s="7"/>
      <c r="D639" s="114"/>
      <c r="E639" s="117"/>
      <c r="F639" s="117"/>
      <c r="G639" s="117"/>
      <c r="H639" s="114"/>
      <c r="I639" s="114"/>
      <c r="J639" s="114"/>
      <c r="K639" s="114"/>
      <c r="L639" s="114"/>
      <c r="M639" s="114"/>
      <c r="N639" s="88"/>
      <c r="O639" s="115"/>
      <c r="P639" s="114"/>
      <c r="Q639" s="114"/>
      <c r="R639" s="114"/>
      <c r="S639" s="114"/>
      <c r="T639" s="114"/>
      <c r="U639" s="114"/>
      <c r="V639" s="114"/>
      <c r="W639" s="114"/>
      <c r="X639" s="114"/>
      <c r="Y639" s="114"/>
      <c r="Z639" s="114"/>
      <c r="AA639" s="114"/>
      <c r="AB639" s="114"/>
    </row>
    <row r="640" spans="1:28" ht="12.75">
      <c r="A640" s="114"/>
      <c r="B640" s="114"/>
      <c r="C640" s="7"/>
      <c r="D640" s="114"/>
      <c r="E640" s="117"/>
      <c r="F640" s="117"/>
      <c r="G640" s="117"/>
      <c r="H640" s="114"/>
      <c r="I640" s="114"/>
      <c r="J640" s="114"/>
      <c r="K640" s="114"/>
      <c r="L640" s="114"/>
      <c r="M640" s="114"/>
      <c r="N640" s="88"/>
      <c r="O640" s="115"/>
      <c r="P640" s="114"/>
      <c r="Q640" s="114"/>
      <c r="R640" s="114"/>
      <c r="S640" s="114"/>
      <c r="T640" s="114"/>
      <c r="U640" s="114"/>
      <c r="V640" s="114"/>
      <c r="W640" s="114"/>
      <c r="X640" s="114"/>
      <c r="Y640" s="114"/>
      <c r="Z640" s="114"/>
      <c r="AA640" s="114"/>
      <c r="AB640" s="114"/>
    </row>
    <row r="641" spans="1:28" ht="12.75">
      <c r="A641" s="114"/>
      <c r="B641" s="114"/>
      <c r="C641" s="7"/>
      <c r="D641" s="114"/>
      <c r="E641" s="117"/>
      <c r="F641" s="117"/>
      <c r="G641" s="117"/>
      <c r="H641" s="114"/>
      <c r="I641" s="114"/>
      <c r="J641" s="114"/>
      <c r="K641" s="114"/>
      <c r="L641" s="114"/>
      <c r="M641" s="114"/>
      <c r="N641" s="88"/>
      <c r="O641" s="115"/>
      <c r="P641" s="114"/>
      <c r="Q641" s="114"/>
      <c r="R641" s="114"/>
      <c r="S641" s="114"/>
      <c r="T641" s="114"/>
      <c r="U641" s="114"/>
      <c r="V641" s="114"/>
      <c r="W641" s="114"/>
      <c r="X641" s="114"/>
      <c r="Y641" s="114"/>
      <c r="Z641" s="114"/>
      <c r="AA641" s="114"/>
      <c r="AB641" s="114"/>
    </row>
    <row r="642" spans="1:28" ht="12.75">
      <c r="A642" s="114"/>
      <c r="B642" s="114"/>
      <c r="C642" s="7"/>
      <c r="D642" s="114"/>
      <c r="E642" s="117"/>
      <c r="F642" s="117"/>
      <c r="G642" s="117"/>
      <c r="H642" s="114"/>
      <c r="I642" s="114"/>
      <c r="J642" s="114"/>
      <c r="K642" s="114"/>
      <c r="L642" s="114"/>
      <c r="M642" s="114"/>
      <c r="N642" s="88"/>
      <c r="O642" s="115"/>
      <c r="P642" s="114"/>
      <c r="Q642" s="114"/>
      <c r="R642" s="114"/>
      <c r="S642" s="114"/>
      <c r="T642" s="114"/>
      <c r="U642" s="114"/>
      <c r="V642" s="114"/>
      <c r="W642" s="114"/>
      <c r="X642" s="114"/>
      <c r="Y642" s="114"/>
      <c r="Z642" s="114"/>
      <c r="AA642" s="114"/>
      <c r="AB642" s="114"/>
    </row>
    <row r="643" spans="1:28" ht="12.75">
      <c r="A643" s="114"/>
      <c r="B643" s="114"/>
      <c r="C643" s="7"/>
      <c r="D643" s="114"/>
      <c r="E643" s="117"/>
      <c r="F643" s="117"/>
      <c r="G643" s="117"/>
      <c r="H643" s="114"/>
      <c r="I643" s="114"/>
      <c r="J643" s="114"/>
      <c r="K643" s="114"/>
      <c r="L643" s="114"/>
      <c r="M643" s="114"/>
      <c r="N643" s="88"/>
      <c r="O643" s="115"/>
      <c r="P643" s="114"/>
      <c r="Q643" s="114"/>
      <c r="R643" s="114"/>
      <c r="S643" s="114"/>
      <c r="T643" s="114"/>
      <c r="U643" s="114"/>
      <c r="V643" s="114"/>
      <c r="W643" s="114"/>
      <c r="X643" s="114"/>
      <c r="Y643" s="114"/>
      <c r="Z643" s="114"/>
      <c r="AA643" s="114"/>
      <c r="AB643" s="114"/>
    </row>
    <row r="644" spans="1:28" ht="12.75">
      <c r="A644" s="114"/>
      <c r="B644" s="114"/>
      <c r="C644" s="7"/>
      <c r="D644" s="114"/>
      <c r="E644" s="117"/>
      <c r="F644" s="117"/>
      <c r="G644" s="117"/>
      <c r="H644" s="114"/>
      <c r="I644" s="114"/>
      <c r="J644" s="114"/>
      <c r="K644" s="114"/>
      <c r="L644" s="114"/>
      <c r="M644" s="114"/>
      <c r="N644" s="88"/>
      <c r="O644" s="115"/>
      <c r="P644" s="114"/>
      <c r="Q644" s="114"/>
      <c r="R644" s="114"/>
      <c r="S644" s="114"/>
      <c r="T644" s="114"/>
      <c r="U644" s="114"/>
      <c r="V644" s="114"/>
      <c r="W644" s="114"/>
      <c r="X644" s="114"/>
      <c r="Y644" s="114"/>
      <c r="Z644" s="114"/>
      <c r="AA644" s="114"/>
      <c r="AB644" s="114"/>
    </row>
    <row r="645" spans="1:28" ht="12.75">
      <c r="A645" s="114"/>
      <c r="B645" s="114"/>
      <c r="C645" s="7"/>
      <c r="D645" s="114"/>
      <c r="E645" s="117"/>
      <c r="F645" s="117"/>
      <c r="G645" s="117"/>
      <c r="H645" s="114"/>
      <c r="I645" s="114"/>
      <c r="J645" s="114"/>
      <c r="K645" s="114"/>
      <c r="L645" s="114"/>
      <c r="M645" s="114"/>
      <c r="N645" s="88"/>
      <c r="O645" s="115"/>
      <c r="P645" s="114"/>
      <c r="Q645" s="114"/>
      <c r="R645" s="114"/>
      <c r="S645" s="114"/>
      <c r="T645" s="114"/>
      <c r="U645" s="114"/>
      <c r="V645" s="114"/>
      <c r="W645" s="114"/>
      <c r="X645" s="114"/>
      <c r="Y645" s="114"/>
      <c r="Z645" s="114"/>
      <c r="AA645" s="114"/>
      <c r="AB645" s="114"/>
    </row>
    <row r="646" spans="1:28" ht="12.75">
      <c r="A646" s="114"/>
      <c r="B646" s="114"/>
      <c r="C646" s="7"/>
      <c r="D646" s="114"/>
      <c r="E646" s="117"/>
      <c r="F646" s="117"/>
      <c r="G646" s="117"/>
      <c r="H646" s="114"/>
      <c r="I646" s="114"/>
      <c r="J646" s="114"/>
      <c r="K646" s="114"/>
      <c r="L646" s="114"/>
      <c r="M646" s="114"/>
      <c r="N646" s="88"/>
      <c r="O646" s="115"/>
      <c r="P646" s="114"/>
      <c r="Q646" s="114"/>
      <c r="R646" s="114"/>
      <c r="S646" s="114"/>
      <c r="T646" s="114"/>
      <c r="U646" s="114"/>
      <c r="V646" s="114"/>
      <c r="W646" s="114"/>
      <c r="X646" s="114"/>
      <c r="Y646" s="114"/>
      <c r="Z646" s="114"/>
      <c r="AA646" s="114"/>
      <c r="AB646" s="114"/>
    </row>
    <row r="647" spans="1:28" ht="12.75">
      <c r="A647" s="114"/>
      <c r="B647" s="114"/>
      <c r="C647" s="7"/>
      <c r="D647" s="114"/>
      <c r="E647" s="117"/>
      <c r="F647" s="117"/>
      <c r="G647" s="117"/>
      <c r="H647" s="114"/>
      <c r="I647" s="114"/>
      <c r="J647" s="114"/>
      <c r="K647" s="114"/>
      <c r="L647" s="114"/>
      <c r="M647" s="114"/>
      <c r="N647" s="88"/>
      <c r="O647" s="115"/>
      <c r="P647" s="114"/>
      <c r="Q647" s="114"/>
      <c r="R647" s="114"/>
      <c r="S647" s="114"/>
      <c r="T647" s="114"/>
      <c r="U647" s="114"/>
      <c r="V647" s="114"/>
      <c r="W647" s="114"/>
      <c r="X647" s="114"/>
      <c r="Y647" s="114"/>
      <c r="Z647" s="114"/>
      <c r="AA647" s="114"/>
      <c r="AB647" s="114"/>
    </row>
    <row r="648" spans="1:28" ht="12.75">
      <c r="A648" s="114"/>
      <c r="B648" s="114"/>
      <c r="C648" s="7"/>
      <c r="D648" s="114"/>
      <c r="E648" s="117"/>
      <c r="F648" s="117"/>
      <c r="G648" s="117"/>
      <c r="H648" s="114"/>
      <c r="I648" s="114"/>
      <c r="J648" s="114"/>
      <c r="K648" s="114"/>
      <c r="L648" s="114"/>
      <c r="M648" s="114"/>
      <c r="N648" s="88"/>
      <c r="O648" s="115"/>
      <c r="P648" s="114"/>
      <c r="Q648" s="114"/>
      <c r="R648" s="114"/>
      <c r="S648" s="114"/>
      <c r="T648" s="114"/>
      <c r="U648" s="114"/>
      <c r="V648" s="114"/>
      <c r="W648" s="114"/>
      <c r="X648" s="114"/>
      <c r="Y648" s="114"/>
      <c r="Z648" s="114"/>
      <c r="AA648" s="114"/>
      <c r="AB648" s="114"/>
    </row>
    <row r="649" spans="1:28" ht="12.75">
      <c r="A649" s="114"/>
      <c r="B649" s="114"/>
      <c r="C649" s="7"/>
      <c r="D649" s="114"/>
      <c r="E649" s="117"/>
      <c r="F649" s="117"/>
      <c r="G649" s="117"/>
      <c r="H649" s="114"/>
      <c r="I649" s="114"/>
      <c r="J649" s="114"/>
      <c r="K649" s="114"/>
      <c r="L649" s="114"/>
      <c r="M649" s="114"/>
      <c r="N649" s="88"/>
      <c r="O649" s="115"/>
      <c r="P649" s="114"/>
      <c r="Q649" s="114"/>
      <c r="R649" s="114"/>
      <c r="S649" s="114"/>
      <c r="T649" s="114"/>
      <c r="U649" s="114"/>
      <c r="V649" s="114"/>
      <c r="W649" s="114"/>
      <c r="X649" s="114"/>
      <c r="Y649" s="114"/>
      <c r="Z649" s="114"/>
      <c r="AA649" s="114"/>
      <c r="AB649" s="114"/>
    </row>
    <row r="650" spans="1:28" ht="12.75">
      <c r="A650" s="114"/>
      <c r="B650" s="114"/>
      <c r="C650" s="7"/>
      <c r="D650" s="114"/>
      <c r="E650" s="117"/>
      <c r="F650" s="117"/>
      <c r="G650" s="117"/>
      <c r="H650" s="114"/>
      <c r="I650" s="114"/>
      <c r="J650" s="114"/>
      <c r="K650" s="114"/>
      <c r="L650" s="114"/>
      <c r="M650" s="114"/>
      <c r="N650" s="88"/>
      <c r="O650" s="115"/>
      <c r="P650" s="114"/>
      <c r="Q650" s="114"/>
      <c r="R650" s="114"/>
      <c r="S650" s="114"/>
      <c r="T650" s="114"/>
      <c r="U650" s="114"/>
      <c r="V650" s="114"/>
      <c r="W650" s="114"/>
      <c r="X650" s="114"/>
      <c r="Y650" s="114"/>
      <c r="Z650" s="114"/>
      <c r="AA650" s="114"/>
      <c r="AB650" s="114"/>
    </row>
    <row r="651" spans="1:28" ht="12.75">
      <c r="A651" s="114"/>
      <c r="B651" s="114"/>
      <c r="C651" s="7"/>
      <c r="D651" s="114"/>
      <c r="E651" s="117"/>
      <c r="F651" s="117"/>
      <c r="G651" s="117"/>
      <c r="H651" s="114"/>
      <c r="I651" s="114"/>
      <c r="J651" s="114"/>
      <c r="K651" s="114"/>
      <c r="L651" s="114"/>
      <c r="M651" s="114"/>
      <c r="N651" s="88"/>
      <c r="O651" s="115"/>
      <c r="P651" s="114"/>
      <c r="Q651" s="114"/>
      <c r="R651" s="114"/>
      <c r="S651" s="114"/>
      <c r="T651" s="114"/>
      <c r="U651" s="114"/>
      <c r="V651" s="114"/>
      <c r="W651" s="114"/>
      <c r="X651" s="114"/>
      <c r="Y651" s="114"/>
      <c r="Z651" s="114"/>
      <c r="AA651" s="114"/>
      <c r="AB651" s="114"/>
    </row>
    <row r="652" spans="1:28" ht="12.75">
      <c r="A652" s="114"/>
      <c r="B652" s="114"/>
      <c r="C652" s="7"/>
      <c r="D652" s="114"/>
      <c r="E652" s="117"/>
      <c r="F652" s="117"/>
      <c r="G652" s="117"/>
      <c r="H652" s="114"/>
      <c r="I652" s="114"/>
      <c r="J652" s="114"/>
      <c r="K652" s="114"/>
      <c r="L652" s="114"/>
      <c r="M652" s="114"/>
      <c r="N652" s="88"/>
      <c r="O652" s="115"/>
      <c r="P652" s="114"/>
      <c r="Q652" s="114"/>
      <c r="R652" s="114"/>
      <c r="S652" s="114"/>
      <c r="T652" s="114"/>
      <c r="U652" s="114"/>
      <c r="V652" s="114"/>
      <c r="W652" s="114"/>
      <c r="X652" s="114"/>
      <c r="Y652" s="114"/>
      <c r="Z652" s="114"/>
      <c r="AA652" s="114"/>
      <c r="AB652" s="114"/>
    </row>
    <row r="653" spans="1:28" ht="12.75">
      <c r="A653" s="114"/>
      <c r="B653" s="114"/>
      <c r="C653" s="7"/>
      <c r="D653" s="114"/>
      <c r="E653" s="117"/>
      <c r="F653" s="117"/>
      <c r="G653" s="117"/>
      <c r="H653" s="114"/>
      <c r="I653" s="114"/>
      <c r="J653" s="114"/>
      <c r="K653" s="114"/>
      <c r="L653" s="114"/>
      <c r="M653" s="114"/>
      <c r="N653" s="88"/>
      <c r="O653" s="115"/>
      <c r="P653" s="114"/>
      <c r="Q653" s="114"/>
      <c r="R653" s="114"/>
      <c r="S653" s="114"/>
      <c r="T653" s="114"/>
      <c r="U653" s="114"/>
      <c r="V653" s="114"/>
      <c r="W653" s="114"/>
      <c r="X653" s="114"/>
      <c r="Y653" s="114"/>
      <c r="Z653" s="114"/>
      <c r="AA653" s="114"/>
      <c r="AB653" s="114"/>
    </row>
    <row r="654" spans="1:28" ht="12.75">
      <c r="A654" s="114"/>
      <c r="B654" s="114"/>
      <c r="C654" s="7"/>
      <c r="D654" s="114"/>
      <c r="E654" s="117"/>
      <c r="F654" s="117"/>
      <c r="G654" s="117"/>
      <c r="H654" s="114"/>
      <c r="I654" s="114"/>
      <c r="J654" s="114"/>
      <c r="K654" s="114"/>
      <c r="L654" s="114"/>
      <c r="M654" s="114"/>
      <c r="N654" s="88"/>
      <c r="O654" s="115"/>
      <c r="P654" s="114"/>
      <c r="Q654" s="114"/>
      <c r="R654" s="114"/>
      <c r="S654" s="114"/>
      <c r="T654" s="114"/>
      <c r="U654" s="114"/>
      <c r="V654" s="114"/>
      <c r="W654" s="114"/>
      <c r="X654" s="114"/>
      <c r="Y654" s="114"/>
      <c r="Z654" s="114"/>
      <c r="AA654" s="114"/>
      <c r="AB654" s="114"/>
    </row>
    <row r="655" spans="1:28" ht="12.75">
      <c r="A655" s="114"/>
      <c r="B655" s="114"/>
      <c r="C655" s="7"/>
      <c r="D655" s="114"/>
      <c r="E655" s="117"/>
      <c r="F655" s="117"/>
      <c r="G655" s="117"/>
      <c r="H655" s="114"/>
      <c r="I655" s="114"/>
      <c r="J655" s="114"/>
      <c r="K655" s="114"/>
      <c r="L655" s="114"/>
      <c r="M655" s="114"/>
      <c r="N655" s="88"/>
      <c r="O655" s="115"/>
      <c r="P655" s="114"/>
      <c r="Q655" s="114"/>
      <c r="R655" s="114"/>
      <c r="S655" s="114"/>
      <c r="T655" s="114"/>
      <c r="U655" s="114"/>
      <c r="V655" s="114"/>
      <c r="W655" s="114"/>
      <c r="X655" s="114"/>
      <c r="Y655" s="114"/>
      <c r="Z655" s="114"/>
      <c r="AA655" s="114"/>
      <c r="AB655" s="114"/>
    </row>
    <row r="656" spans="1:28" ht="12.75">
      <c r="A656" s="114"/>
      <c r="B656" s="114"/>
      <c r="C656" s="7"/>
      <c r="D656" s="114"/>
      <c r="E656" s="117"/>
      <c r="F656" s="117"/>
      <c r="G656" s="117"/>
      <c r="H656" s="114"/>
      <c r="I656" s="114"/>
      <c r="J656" s="114"/>
      <c r="K656" s="114"/>
      <c r="L656" s="114"/>
      <c r="M656" s="114"/>
      <c r="N656" s="88"/>
      <c r="O656" s="115"/>
      <c r="P656" s="114"/>
      <c r="Q656" s="114"/>
      <c r="R656" s="114"/>
      <c r="S656" s="114"/>
      <c r="T656" s="114"/>
      <c r="U656" s="114"/>
      <c r="V656" s="114"/>
      <c r="W656" s="114"/>
      <c r="X656" s="114"/>
      <c r="Y656" s="114"/>
      <c r="Z656" s="114"/>
      <c r="AA656" s="114"/>
      <c r="AB656" s="114"/>
    </row>
    <row r="657" spans="1:28" ht="12.75">
      <c r="A657" s="114"/>
      <c r="B657" s="114"/>
      <c r="C657" s="7"/>
      <c r="D657" s="114"/>
      <c r="E657" s="117"/>
      <c r="F657" s="117"/>
      <c r="G657" s="117"/>
      <c r="H657" s="114"/>
      <c r="I657" s="114"/>
      <c r="J657" s="114"/>
      <c r="K657" s="114"/>
      <c r="L657" s="114"/>
      <c r="M657" s="114"/>
      <c r="N657" s="88"/>
      <c r="O657" s="115"/>
      <c r="P657" s="114"/>
      <c r="Q657" s="114"/>
      <c r="R657" s="114"/>
      <c r="S657" s="114"/>
      <c r="T657" s="114"/>
      <c r="U657" s="114"/>
      <c r="V657" s="114"/>
      <c r="W657" s="114"/>
      <c r="X657" s="114"/>
      <c r="Y657" s="114"/>
      <c r="Z657" s="114"/>
      <c r="AA657" s="114"/>
      <c r="AB657" s="114"/>
    </row>
    <row r="658" spans="1:28" ht="12.75">
      <c r="A658" s="114"/>
      <c r="B658" s="114"/>
      <c r="C658" s="7"/>
      <c r="D658" s="114"/>
      <c r="E658" s="117"/>
      <c r="F658" s="117"/>
      <c r="G658" s="117"/>
      <c r="H658" s="114"/>
      <c r="I658" s="114"/>
      <c r="J658" s="114"/>
      <c r="K658" s="114"/>
      <c r="L658" s="114"/>
      <c r="M658" s="114"/>
      <c r="N658" s="88"/>
      <c r="O658" s="115"/>
      <c r="P658" s="114"/>
      <c r="Q658" s="114"/>
      <c r="R658" s="114"/>
      <c r="S658" s="114"/>
      <c r="T658" s="114"/>
      <c r="U658" s="114"/>
      <c r="V658" s="114"/>
      <c r="W658" s="114"/>
      <c r="X658" s="114"/>
      <c r="Y658" s="114"/>
      <c r="Z658" s="114"/>
      <c r="AA658" s="114"/>
      <c r="AB658" s="114"/>
    </row>
    <row r="659" spans="1:28" ht="12.75">
      <c r="A659" s="114"/>
      <c r="B659" s="114"/>
      <c r="C659" s="7"/>
      <c r="D659" s="114"/>
      <c r="E659" s="117"/>
      <c r="F659" s="117"/>
      <c r="G659" s="117"/>
      <c r="H659" s="114"/>
      <c r="I659" s="114"/>
      <c r="J659" s="114"/>
      <c r="K659" s="114"/>
      <c r="L659" s="114"/>
      <c r="M659" s="114"/>
      <c r="N659" s="88"/>
      <c r="O659" s="115"/>
      <c r="P659" s="114"/>
      <c r="Q659" s="114"/>
      <c r="R659" s="114"/>
      <c r="S659" s="114"/>
      <c r="T659" s="114"/>
      <c r="U659" s="114"/>
      <c r="V659" s="114"/>
      <c r="W659" s="114"/>
      <c r="X659" s="114"/>
      <c r="Y659" s="114"/>
      <c r="Z659" s="114"/>
      <c r="AA659" s="114"/>
      <c r="AB659" s="114"/>
    </row>
    <row r="660" spans="1:28" ht="12.75">
      <c r="A660" s="114"/>
      <c r="B660" s="114"/>
      <c r="C660" s="7"/>
      <c r="D660" s="114"/>
      <c r="E660" s="117"/>
      <c r="F660" s="117"/>
      <c r="G660" s="117"/>
      <c r="H660" s="114"/>
      <c r="I660" s="114"/>
      <c r="J660" s="114"/>
      <c r="K660" s="114"/>
      <c r="L660" s="114"/>
      <c r="M660" s="114"/>
      <c r="N660" s="88"/>
      <c r="O660" s="115"/>
      <c r="P660" s="114"/>
      <c r="Q660" s="114"/>
      <c r="R660" s="114"/>
      <c r="S660" s="114"/>
      <c r="T660" s="114"/>
      <c r="U660" s="114"/>
      <c r="V660" s="114"/>
      <c r="W660" s="114"/>
      <c r="X660" s="114"/>
      <c r="Y660" s="114"/>
      <c r="Z660" s="114"/>
      <c r="AA660" s="114"/>
      <c r="AB660" s="114"/>
    </row>
    <row r="661" spans="1:28" ht="12.75">
      <c r="A661" s="114"/>
      <c r="B661" s="114"/>
      <c r="C661" s="7"/>
      <c r="D661" s="114"/>
      <c r="E661" s="117"/>
      <c r="F661" s="117"/>
      <c r="G661" s="117"/>
      <c r="H661" s="114"/>
      <c r="I661" s="114"/>
      <c r="J661" s="114"/>
      <c r="K661" s="114"/>
      <c r="L661" s="114"/>
      <c r="M661" s="114"/>
      <c r="N661" s="88"/>
      <c r="O661" s="115"/>
      <c r="P661" s="114"/>
      <c r="Q661" s="114"/>
      <c r="R661" s="114"/>
      <c r="S661" s="114"/>
      <c r="T661" s="114"/>
      <c r="U661" s="114"/>
      <c r="V661" s="114"/>
      <c r="W661" s="114"/>
      <c r="X661" s="114"/>
      <c r="Y661" s="114"/>
      <c r="Z661" s="114"/>
      <c r="AA661" s="114"/>
      <c r="AB661" s="114"/>
    </row>
    <row r="662" spans="1:28" ht="12.75">
      <c r="A662" s="114"/>
      <c r="B662" s="114"/>
      <c r="C662" s="7"/>
      <c r="D662" s="114"/>
      <c r="E662" s="117"/>
      <c r="F662" s="117"/>
      <c r="G662" s="117"/>
      <c r="H662" s="114"/>
      <c r="I662" s="114"/>
      <c r="J662" s="114"/>
      <c r="K662" s="114"/>
      <c r="L662" s="114"/>
      <c r="M662" s="114"/>
      <c r="N662" s="88"/>
      <c r="O662" s="115"/>
      <c r="P662" s="114"/>
      <c r="Q662" s="114"/>
      <c r="R662" s="114"/>
      <c r="S662" s="114"/>
      <c r="T662" s="114"/>
      <c r="U662" s="114"/>
      <c r="V662" s="114"/>
      <c r="W662" s="114"/>
      <c r="X662" s="114"/>
      <c r="Y662" s="114"/>
      <c r="Z662" s="114"/>
      <c r="AA662" s="114"/>
      <c r="AB662" s="114"/>
    </row>
    <row r="663" spans="1:28" ht="12.75">
      <c r="A663" s="114"/>
      <c r="B663" s="114"/>
      <c r="C663" s="7"/>
      <c r="D663" s="114"/>
      <c r="E663" s="117"/>
      <c r="F663" s="117"/>
      <c r="G663" s="117"/>
      <c r="H663" s="114"/>
      <c r="I663" s="114"/>
      <c r="J663" s="114"/>
      <c r="K663" s="114"/>
      <c r="L663" s="114"/>
      <c r="M663" s="114"/>
      <c r="N663" s="88"/>
      <c r="O663" s="115"/>
      <c r="P663" s="114"/>
      <c r="Q663" s="114"/>
      <c r="R663" s="114"/>
      <c r="S663" s="114"/>
      <c r="T663" s="114"/>
      <c r="U663" s="114"/>
      <c r="V663" s="114"/>
      <c r="W663" s="114"/>
      <c r="X663" s="114"/>
      <c r="Y663" s="114"/>
      <c r="Z663" s="114"/>
      <c r="AA663" s="114"/>
      <c r="AB663" s="114"/>
    </row>
    <row r="664" spans="1:28" ht="12.75">
      <c r="A664" s="114"/>
      <c r="B664" s="114"/>
      <c r="C664" s="7"/>
      <c r="D664" s="114"/>
      <c r="E664" s="117"/>
      <c r="F664" s="117"/>
      <c r="G664" s="117"/>
      <c r="H664" s="114"/>
      <c r="I664" s="114"/>
      <c r="J664" s="114"/>
      <c r="K664" s="114"/>
      <c r="L664" s="114"/>
      <c r="M664" s="114"/>
      <c r="N664" s="88"/>
      <c r="O664" s="115"/>
      <c r="P664" s="114"/>
      <c r="Q664" s="114"/>
      <c r="R664" s="114"/>
      <c r="S664" s="114"/>
      <c r="T664" s="114"/>
      <c r="U664" s="114"/>
      <c r="V664" s="114"/>
      <c r="W664" s="114"/>
      <c r="X664" s="114"/>
      <c r="Y664" s="114"/>
      <c r="Z664" s="114"/>
      <c r="AA664" s="114"/>
      <c r="AB664" s="114"/>
    </row>
    <row r="665" spans="1:28" ht="12.75">
      <c r="A665" s="114"/>
      <c r="B665" s="114"/>
      <c r="C665" s="7"/>
      <c r="D665" s="114"/>
      <c r="E665" s="117"/>
      <c r="F665" s="117"/>
      <c r="G665" s="117"/>
      <c r="H665" s="114"/>
      <c r="I665" s="114"/>
      <c r="J665" s="114"/>
      <c r="K665" s="114"/>
      <c r="L665" s="114"/>
      <c r="M665" s="114"/>
      <c r="N665" s="88"/>
      <c r="O665" s="115"/>
      <c r="P665" s="114"/>
      <c r="Q665" s="114"/>
      <c r="R665" s="114"/>
      <c r="S665" s="114"/>
      <c r="T665" s="114"/>
      <c r="U665" s="114"/>
      <c r="V665" s="114"/>
      <c r="W665" s="114"/>
      <c r="X665" s="114"/>
      <c r="Y665" s="114"/>
      <c r="Z665" s="114"/>
      <c r="AA665" s="114"/>
      <c r="AB665" s="114"/>
    </row>
    <row r="666" spans="1:28" ht="12.75">
      <c r="A666" s="114"/>
      <c r="B666" s="114"/>
      <c r="C666" s="7"/>
      <c r="D666" s="114"/>
      <c r="E666" s="117"/>
      <c r="F666" s="117"/>
      <c r="G666" s="117"/>
      <c r="H666" s="114"/>
      <c r="I666" s="114"/>
      <c r="J666" s="114"/>
      <c r="K666" s="114"/>
      <c r="L666" s="114"/>
      <c r="M666" s="114"/>
      <c r="N666" s="88"/>
      <c r="O666" s="115"/>
      <c r="P666" s="114"/>
      <c r="Q666" s="114"/>
      <c r="R666" s="114"/>
      <c r="S666" s="114"/>
      <c r="T666" s="114"/>
      <c r="U666" s="114"/>
      <c r="V666" s="114"/>
      <c r="W666" s="114"/>
      <c r="X666" s="114"/>
      <c r="Y666" s="114"/>
      <c r="Z666" s="114"/>
      <c r="AA666" s="114"/>
      <c r="AB666" s="114"/>
    </row>
    <row r="667" spans="1:28" ht="12.75">
      <c r="A667" s="114"/>
      <c r="B667" s="114"/>
      <c r="C667" s="7"/>
      <c r="D667" s="114"/>
      <c r="E667" s="117"/>
      <c r="F667" s="117"/>
      <c r="G667" s="117"/>
      <c r="H667" s="114"/>
      <c r="I667" s="114"/>
      <c r="J667" s="114"/>
      <c r="K667" s="114"/>
      <c r="L667" s="114"/>
      <c r="M667" s="114"/>
      <c r="N667" s="88"/>
      <c r="O667" s="115"/>
      <c r="P667" s="114"/>
      <c r="Q667" s="114"/>
      <c r="R667" s="114"/>
      <c r="S667" s="114"/>
      <c r="T667" s="114"/>
      <c r="U667" s="114"/>
      <c r="V667" s="114"/>
      <c r="W667" s="114"/>
      <c r="X667" s="114"/>
      <c r="Y667" s="114"/>
      <c r="Z667" s="114"/>
      <c r="AA667" s="114"/>
      <c r="AB667" s="114"/>
    </row>
    <row r="668" spans="1:28" ht="12.75">
      <c r="A668" s="114"/>
      <c r="B668" s="114"/>
      <c r="C668" s="7"/>
      <c r="D668" s="114"/>
      <c r="E668" s="117"/>
      <c r="F668" s="117"/>
      <c r="G668" s="117"/>
      <c r="H668" s="114"/>
      <c r="I668" s="114"/>
      <c r="J668" s="114"/>
      <c r="K668" s="114"/>
      <c r="L668" s="114"/>
      <c r="M668" s="114"/>
      <c r="N668" s="88"/>
      <c r="O668" s="115"/>
      <c r="P668" s="114"/>
      <c r="Q668" s="114"/>
      <c r="R668" s="114"/>
      <c r="S668" s="114"/>
      <c r="T668" s="114"/>
      <c r="U668" s="114"/>
      <c r="V668" s="114"/>
      <c r="W668" s="114"/>
      <c r="X668" s="114"/>
      <c r="Y668" s="114"/>
      <c r="Z668" s="114"/>
      <c r="AA668" s="114"/>
      <c r="AB668" s="114"/>
    </row>
    <row r="669" spans="1:28" ht="12.75">
      <c r="A669" s="114"/>
      <c r="B669" s="114"/>
      <c r="C669" s="7"/>
      <c r="D669" s="114"/>
      <c r="E669" s="117"/>
      <c r="F669" s="117"/>
      <c r="G669" s="117"/>
      <c r="H669" s="114"/>
      <c r="I669" s="114"/>
      <c r="J669" s="114"/>
      <c r="K669" s="114"/>
      <c r="L669" s="114"/>
      <c r="M669" s="114"/>
      <c r="N669" s="88"/>
      <c r="O669" s="115"/>
      <c r="P669" s="114"/>
      <c r="Q669" s="114"/>
      <c r="R669" s="114"/>
      <c r="S669" s="114"/>
      <c r="T669" s="114"/>
      <c r="U669" s="114"/>
      <c r="V669" s="114"/>
      <c r="W669" s="114"/>
      <c r="X669" s="114"/>
      <c r="Y669" s="114"/>
      <c r="Z669" s="114"/>
      <c r="AA669" s="114"/>
      <c r="AB669" s="114"/>
    </row>
    <row r="670" spans="1:28" ht="12.75">
      <c r="A670" s="114"/>
      <c r="B670" s="114"/>
      <c r="C670" s="7"/>
      <c r="D670" s="114"/>
      <c r="E670" s="117"/>
      <c r="F670" s="117"/>
      <c r="G670" s="117"/>
      <c r="H670" s="114"/>
      <c r="I670" s="114"/>
      <c r="J670" s="114"/>
      <c r="K670" s="114"/>
      <c r="L670" s="114"/>
      <c r="M670" s="114"/>
      <c r="N670" s="88"/>
      <c r="O670" s="115"/>
      <c r="P670" s="114"/>
      <c r="Q670" s="114"/>
      <c r="R670" s="114"/>
      <c r="S670" s="114"/>
      <c r="T670" s="114"/>
      <c r="U670" s="114"/>
      <c r="V670" s="114"/>
      <c r="W670" s="114"/>
      <c r="X670" s="114"/>
      <c r="Y670" s="114"/>
      <c r="Z670" s="114"/>
      <c r="AA670" s="114"/>
      <c r="AB670" s="114"/>
    </row>
    <row r="671" spans="1:28" ht="12.75">
      <c r="A671" s="114"/>
      <c r="B671" s="114"/>
      <c r="C671" s="7"/>
      <c r="D671" s="114"/>
      <c r="E671" s="117"/>
      <c r="F671" s="117"/>
      <c r="G671" s="117"/>
      <c r="H671" s="114"/>
      <c r="I671" s="114"/>
      <c r="J671" s="114"/>
      <c r="K671" s="114"/>
      <c r="L671" s="114"/>
      <c r="M671" s="114"/>
      <c r="N671" s="88"/>
      <c r="O671" s="115"/>
      <c r="P671" s="114"/>
      <c r="Q671" s="114"/>
      <c r="R671" s="114"/>
      <c r="S671" s="114"/>
      <c r="T671" s="114"/>
      <c r="U671" s="114"/>
      <c r="V671" s="114"/>
      <c r="W671" s="114"/>
      <c r="X671" s="114"/>
      <c r="Y671" s="114"/>
      <c r="Z671" s="114"/>
      <c r="AA671" s="114"/>
      <c r="AB671" s="114"/>
    </row>
    <row r="672" spans="1:28" ht="12.75">
      <c r="A672" s="114"/>
      <c r="B672" s="114"/>
      <c r="C672" s="7"/>
      <c r="D672" s="114"/>
      <c r="E672" s="117"/>
      <c r="F672" s="117"/>
      <c r="G672" s="117"/>
      <c r="H672" s="114"/>
      <c r="I672" s="114"/>
      <c r="J672" s="114"/>
      <c r="K672" s="114"/>
      <c r="L672" s="114"/>
      <c r="M672" s="114"/>
      <c r="N672" s="88"/>
      <c r="O672" s="115"/>
      <c r="P672" s="114"/>
      <c r="Q672" s="114"/>
      <c r="R672" s="114"/>
      <c r="S672" s="114"/>
      <c r="T672" s="114"/>
      <c r="U672" s="114"/>
      <c r="V672" s="114"/>
      <c r="W672" s="114"/>
      <c r="X672" s="114"/>
      <c r="Y672" s="114"/>
      <c r="Z672" s="114"/>
      <c r="AA672" s="114"/>
      <c r="AB672" s="114"/>
    </row>
    <row r="673" spans="1:28" ht="12.75">
      <c r="A673" s="114"/>
      <c r="B673" s="114"/>
      <c r="C673" s="7"/>
      <c r="D673" s="114"/>
      <c r="E673" s="117"/>
      <c r="F673" s="117"/>
      <c r="G673" s="117"/>
      <c r="H673" s="114"/>
      <c r="I673" s="114"/>
      <c r="J673" s="114"/>
      <c r="K673" s="114"/>
      <c r="L673" s="114"/>
      <c r="M673" s="114"/>
      <c r="N673" s="88"/>
      <c r="O673" s="115"/>
      <c r="P673" s="114"/>
      <c r="Q673" s="114"/>
      <c r="R673" s="114"/>
      <c r="S673" s="114"/>
      <c r="T673" s="114"/>
      <c r="U673" s="114"/>
      <c r="V673" s="114"/>
      <c r="W673" s="114"/>
      <c r="X673" s="114"/>
      <c r="Y673" s="114"/>
      <c r="Z673" s="114"/>
      <c r="AA673" s="114"/>
      <c r="AB673" s="114"/>
    </row>
    <row r="674" spans="1:28" ht="12.75">
      <c r="A674" s="114"/>
      <c r="B674" s="114"/>
      <c r="C674" s="7"/>
      <c r="D674" s="114"/>
      <c r="E674" s="117"/>
      <c r="F674" s="117"/>
      <c r="G674" s="117"/>
      <c r="H674" s="114"/>
      <c r="I674" s="114"/>
      <c r="J674" s="114"/>
      <c r="K674" s="114"/>
      <c r="L674" s="114"/>
      <c r="M674" s="114"/>
      <c r="N674" s="88"/>
      <c r="O674" s="115"/>
      <c r="P674" s="114"/>
      <c r="Q674" s="114"/>
      <c r="R674" s="114"/>
      <c r="S674" s="114"/>
      <c r="T674" s="114"/>
      <c r="U674" s="114"/>
      <c r="V674" s="114"/>
      <c r="W674" s="114"/>
      <c r="X674" s="114"/>
      <c r="Y674" s="114"/>
      <c r="Z674" s="114"/>
      <c r="AA674" s="114"/>
      <c r="AB674" s="114"/>
    </row>
    <row r="675" spans="1:28" ht="12.75">
      <c r="A675" s="114"/>
      <c r="B675" s="114"/>
      <c r="C675" s="7"/>
      <c r="D675" s="114"/>
      <c r="E675" s="117"/>
      <c r="F675" s="117"/>
      <c r="G675" s="117"/>
      <c r="H675" s="114"/>
      <c r="I675" s="114"/>
      <c r="J675" s="114"/>
      <c r="K675" s="114"/>
      <c r="L675" s="114"/>
      <c r="M675" s="114"/>
      <c r="N675" s="88"/>
      <c r="O675" s="115"/>
      <c r="P675" s="114"/>
      <c r="Q675" s="114"/>
      <c r="R675" s="114"/>
      <c r="S675" s="114"/>
      <c r="T675" s="114"/>
      <c r="U675" s="114"/>
      <c r="V675" s="114"/>
      <c r="W675" s="114"/>
      <c r="X675" s="114"/>
      <c r="Y675" s="114"/>
      <c r="Z675" s="114"/>
      <c r="AA675" s="114"/>
      <c r="AB675" s="114"/>
    </row>
    <row r="676" spans="1:28" ht="12.75">
      <c r="A676" s="114"/>
      <c r="B676" s="114"/>
      <c r="C676" s="7"/>
      <c r="D676" s="114"/>
      <c r="E676" s="117"/>
      <c r="F676" s="117"/>
      <c r="G676" s="117"/>
      <c r="H676" s="114"/>
      <c r="I676" s="114"/>
      <c r="J676" s="114"/>
      <c r="K676" s="114"/>
      <c r="L676" s="114"/>
      <c r="M676" s="114"/>
      <c r="N676" s="88"/>
      <c r="O676" s="115"/>
      <c r="P676" s="114"/>
      <c r="Q676" s="114"/>
      <c r="R676" s="114"/>
      <c r="S676" s="114"/>
      <c r="T676" s="114"/>
      <c r="U676" s="114"/>
      <c r="V676" s="114"/>
      <c r="W676" s="114"/>
      <c r="X676" s="114"/>
      <c r="Y676" s="114"/>
      <c r="Z676" s="114"/>
      <c r="AA676" s="114"/>
      <c r="AB676" s="114"/>
    </row>
    <row r="677" spans="1:28" ht="12.75">
      <c r="A677" s="114"/>
      <c r="B677" s="114"/>
      <c r="C677" s="7"/>
      <c r="D677" s="114"/>
      <c r="E677" s="117"/>
      <c r="F677" s="117"/>
      <c r="G677" s="117"/>
      <c r="H677" s="114"/>
      <c r="I677" s="114"/>
      <c r="J677" s="114"/>
      <c r="K677" s="114"/>
      <c r="L677" s="114"/>
      <c r="M677" s="114"/>
      <c r="N677" s="88"/>
      <c r="O677" s="115"/>
      <c r="P677" s="114"/>
      <c r="Q677" s="114"/>
      <c r="R677" s="114"/>
      <c r="S677" s="114"/>
      <c r="T677" s="114"/>
      <c r="U677" s="114"/>
      <c r="V677" s="114"/>
      <c r="W677" s="114"/>
      <c r="X677" s="114"/>
      <c r="Y677" s="114"/>
      <c r="Z677" s="114"/>
      <c r="AA677" s="114"/>
      <c r="AB677" s="114"/>
    </row>
    <row r="678" spans="1:28" ht="12.75">
      <c r="A678" s="114"/>
      <c r="B678" s="114"/>
      <c r="C678" s="7"/>
      <c r="D678" s="114"/>
      <c r="E678" s="117"/>
      <c r="F678" s="117"/>
      <c r="G678" s="117"/>
      <c r="H678" s="114"/>
      <c r="I678" s="114"/>
      <c r="J678" s="114"/>
      <c r="K678" s="114"/>
      <c r="L678" s="114"/>
      <c r="M678" s="114"/>
      <c r="N678" s="88"/>
      <c r="O678" s="115"/>
      <c r="P678" s="114"/>
      <c r="Q678" s="114"/>
      <c r="R678" s="114"/>
      <c r="S678" s="114"/>
      <c r="T678" s="114"/>
      <c r="U678" s="114"/>
      <c r="V678" s="114"/>
      <c r="W678" s="114"/>
      <c r="X678" s="114"/>
      <c r="Y678" s="114"/>
      <c r="Z678" s="114"/>
      <c r="AA678" s="114"/>
      <c r="AB678" s="114"/>
    </row>
    <row r="679" spans="1:28" ht="12.75">
      <c r="A679" s="114"/>
      <c r="B679" s="114"/>
      <c r="C679" s="7"/>
      <c r="D679" s="114"/>
      <c r="E679" s="117"/>
      <c r="F679" s="117"/>
      <c r="G679" s="117"/>
      <c r="H679" s="114"/>
      <c r="I679" s="114"/>
      <c r="J679" s="114"/>
      <c r="K679" s="114"/>
      <c r="L679" s="114"/>
      <c r="M679" s="114"/>
      <c r="N679" s="88"/>
      <c r="O679" s="115"/>
      <c r="P679" s="114"/>
      <c r="Q679" s="114"/>
      <c r="R679" s="114"/>
      <c r="S679" s="114"/>
      <c r="T679" s="114"/>
      <c r="U679" s="114"/>
      <c r="V679" s="114"/>
      <c r="W679" s="114"/>
      <c r="X679" s="114"/>
      <c r="Y679" s="114"/>
      <c r="Z679" s="114"/>
      <c r="AA679" s="114"/>
      <c r="AB679" s="114"/>
    </row>
    <row r="680" spans="1:28" ht="12.75">
      <c r="A680" s="114"/>
      <c r="B680" s="114"/>
      <c r="C680" s="7"/>
      <c r="D680" s="114"/>
      <c r="E680" s="117"/>
      <c r="F680" s="117"/>
      <c r="G680" s="117"/>
      <c r="H680" s="114"/>
      <c r="I680" s="114"/>
      <c r="J680" s="114"/>
      <c r="K680" s="114"/>
      <c r="L680" s="114"/>
      <c r="M680" s="114"/>
      <c r="N680" s="88"/>
      <c r="O680" s="115"/>
      <c r="P680" s="114"/>
      <c r="Q680" s="114"/>
      <c r="R680" s="114"/>
      <c r="S680" s="114"/>
      <c r="T680" s="114"/>
      <c r="U680" s="114"/>
      <c r="V680" s="114"/>
      <c r="W680" s="114"/>
      <c r="X680" s="114"/>
      <c r="Y680" s="114"/>
      <c r="Z680" s="114"/>
      <c r="AA680" s="114"/>
      <c r="AB680" s="114"/>
    </row>
    <row r="681" spans="1:28" ht="12.75">
      <c r="A681" s="114"/>
      <c r="B681" s="114"/>
      <c r="C681" s="7"/>
      <c r="D681" s="114"/>
      <c r="E681" s="117"/>
      <c r="F681" s="117"/>
      <c r="G681" s="117"/>
      <c r="H681" s="114"/>
      <c r="I681" s="114"/>
      <c r="J681" s="114"/>
      <c r="K681" s="114"/>
      <c r="L681" s="114"/>
      <c r="M681" s="114"/>
      <c r="N681" s="88"/>
      <c r="O681" s="115"/>
      <c r="P681" s="114"/>
      <c r="Q681" s="114"/>
      <c r="R681" s="114"/>
      <c r="S681" s="114"/>
      <c r="T681" s="114"/>
      <c r="U681" s="114"/>
      <c r="V681" s="114"/>
      <c r="W681" s="114"/>
      <c r="X681" s="114"/>
      <c r="Y681" s="114"/>
      <c r="Z681" s="114"/>
      <c r="AA681" s="114"/>
      <c r="AB681" s="114"/>
    </row>
    <row r="682" spans="1:28" ht="12.75">
      <c r="A682" s="114"/>
      <c r="B682" s="114"/>
      <c r="C682" s="7"/>
      <c r="D682" s="114"/>
      <c r="E682" s="117"/>
      <c r="F682" s="117"/>
      <c r="G682" s="117"/>
      <c r="H682" s="114"/>
      <c r="I682" s="114"/>
      <c r="J682" s="114"/>
      <c r="K682" s="114"/>
      <c r="L682" s="114"/>
      <c r="M682" s="114"/>
      <c r="N682" s="88"/>
      <c r="O682" s="115"/>
      <c r="P682" s="114"/>
      <c r="Q682" s="114"/>
      <c r="R682" s="114"/>
      <c r="S682" s="114"/>
      <c r="T682" s="114"/>
      <c r="U682" s="114"/>
      <c r="V682" s="114"/>
      <c r="W682" s="114"/>
      <c r="X682" s="114"/>
      <c r="Y682" s="114"/>
      <c r="Z682" s="114"/>
      <c r="AA682" s="114"/>
      <c r="AB682" s="114"/>
    </row>
    <row r="683" spans="1:28" ht="12.75">
      <c r="A683" s="114"/>
      <c r="B683" s="114"/>
      <c r="C683" s="7"/>
      <c r="D683" s="114"/>
      <c r="E683" s="117"/>
      <c r="F683" s="117"/>
      <c r="G683" s="117"/>
      <c r="H683" s="114"/>
      <c r="I683" s="114"/>
      <c r="J683" s="114"/>
      <c r="K683" s="114"/>
      <c r="L683" s="114"/>
      <c r="M683" s="114"/>
      <c r="N683" s="88"/>
      <c r="O683" s="115"/>
      <c r="P683" s="114"/>
      <c r="Q683" s="114"/>
      <c r="R683" s="114"/>
      <c r="S683" s="114"/>
      <c r="T683" s="114"/>
      <c r="U683" s="114"/>
      <c r="V683" s="114"/>
      <c r="W683" s="114"/>
      <c r="X683" s="114"/>
      <c r="Y683" s="114"/>
      <c r="Z683" s="114"/>
      <c r="AA683" s="114"/>
      <c r="AB683" s="114"/>
    </row>
    <row r="684" spans="1:28" ht="12.75">
      <c r="A684" s="114"/>
      <c r="B684" s="114"/>
      <c r="C684" s="7"/>
      <c r="D684" s="114"/>
      <c r="E684" s="117"/>
      <c r="F684" s="117"/>
      <c r="G684" s="117"/>
      <c r="H684" s="114"/>
      <c r="I684" s="114"/>
      <c r="J684" s="114"/>
      <c r="K684" s="114"/>
      <c r="L684" s="114"/>
      <c r="M684" s="114"/>
      <c r="N684" s="88"/>
      <c r="O684" s="115"/>
      <c r="P684" s="114"/>
      <c r="Q684" s="114"/>
      <c r="R684" s="114"/>
      <c r="S684" s="114"/>
      <c r="T684" s="114"/>
      <c r="U684" s="114"/>
      <c r="V684" s="114"/>
      <c r="W684" s="114"/>
      <c r="X684" s="114"/>
      <c r="Y684" s="114"/>
      <c r="Z684" s="114"/>
      <c r="AA684" s="114"/>
      <c r="AB684" s="114"/>
    </row>
    <row r="685" spans="1:28" ht="12.75">
      <c r="A685" s="114"/>
      <c r="B685" s="114"/>
      <c r="C685" s="7"/>
      <c r="D685" s="114"/>
      <c r="E685" s="117"/>
      <c r="F685" s="117"/>
      <c r="G685" s="117"/>
      <c r="H685" s="114"/>
      <c r="I685" s="114"/>
      <c r="J685" s="114"/>
      <c r="K685" s="114"/>
      <c r="L685" s="114"/>
      <c r="M685" s="114"/>
      <c r="N685" s="88"/>
      <c r="O685" s="115"/>
      <c r="P685" s="114"/>
      <c r="Q685" s="114"/>
      <c r="R685" s="114"/>
      <c r="S685" s="114"/>
      <c r="T685" s="114"/>
      <c r="U685" s="114"/>
      <c r="V685" s="114"/>
      <c r="W685" s="114"/>
      <c r="X685" s="114"/>
      <c r="Y685" s="114"/>
      <c r="Z685" s="114"/>
      <c r="AA685" s="114"/>
      <c r="AB685" s="114"/>
    </row>
    <row r="686" spans="1:28" ht="12.75">
      <c r="A686" s="114"/>
      <c r="B686" s="114"/>
      <c r="C686" s="7"/>
      <c r="D686" s="114"/>
      <c r="E686" s="117"/>
      <c r="F686" s="117"/>
      <c r="G686" s="117"/>
      <c r="H686" s="114"/>
      <c r="I686" s="114"/>
      <c r="J686" s="114"/>
      <c r="K686" s="114"/>
      <c r="L686" s="114"/>
      <c r="M686" s="114"/>
      <c r="N686" s="88"/>
      <c r="O686" s="115"/>
      <c r="P686" s="114"/>
      <c r="Q686" s="114"/>
      <c r="R686" s="114"/>
      <c r="S686" s="114"/>
      <c r="T686" s="114"/>
      <c r="U686" s="114"/>
      <c r="V686" s="114"/>
      <c r="W686" s="114"/>
      <c r="X686" s="114"/>
      <c r="Y686" s="114"/>
      <c r="Z686" s="114"/>
      <c r="AA686" s="114"/>
      <c r="AB686" s="114"/>
    </row>
    <row r="687" spans="1:28" ht="12.75">
      <c r="A687" s="114"/>
      <c r="B687" s="114"/>
      <c r="C687" s="7"/>
      <c r="D687" s="114"/>
      <c r="E687" s="117"/>
      <c r="F687" s="117"/>
      <c r="G687" s="117"/>
      <c r="H687" s="114"/>
      <c r="I687" s="114"/>
      <c r="J687" s="114"/>
      <c r="K687" s="114"/>
      <c r="L687" s="114"/>
      <c r="M687" s="114"/>
      <c r="N687" s="88"/>
      <c r="O687" s="115"/>
      <c r="P687" s="114"/>
      <c r="Q687" s="114"/>
      <c r="R687" s="114"/>
      <c r="S687" s="114"/>
      <c r="T687" s="114"/>
      <c r="U687" s="114"/>
      <c r="V687" s="114"/>
      <c r="W687" s="114"/>
      <c r="X687" s="114"/>
      <c r="Y687" s="114"/>
      <c r="Z687" s="114"/>
      <c r="AA687" s="114"/>
      <c r="AB687" s="114"/>
    </row>
    <row r="688" spans="1:28" ht="12.75">
      <c r="A688" s="114"/>
      <c r="B688" s="114"/>
      <c r="C688" s="7"/>
      <c r="D688" s="114"/>
      <c r="E688" s="117"/>
      <c r="F688" s="117"/>
      <c r="G688" s="117"/>
      <c r="H688" s="114"/>
      <c r="I688" s="114"/>
      <c r="J688" s="114"/>
      <c r="K688" s="114"/>
      <c r="L688" s="114"/>
      <c r="M688" s="114"/>
      <c r="N688" s="88"/>
      <c r="O688" s="115"/>
      <c r="P688" s="114"/>
      <c r="Q688" s="114"/>
      <c r="R688" s="114"/>
      <c r="S688" s="114"/>
      <c r="T688" s="114"/>
      <c r="U688" s="114"/>
      <c r="V688" s="114"/>
      <c r="W688" s="114"/>
      <c r="X688" s="114"/>
      <c r="Y688" s="114"/>
      <c r="Z688" s="114"/>
      <c r="AA688" s="114"/>
      <c r="AB688" s="114"/>
    </row>
    <row r="689" spans="1:28" ht="12.75">
      <c r="A689" s="114"/>
      <c r="B689" s="114"/>
      <c r="C689" s="7"/>
      <c r="D689" s="114"/>
      <c r="E689" s="117"/>
      <c r="F689" s="117"/>
      <c r="G689" s="117"/>
      <c r="H689" s="114"/>
      <c r="I689" s="114"/>
      <c r="J689" s="114"/>
      <c r="K689" s="114"/>
      <c r="L689" s="114"/>
      <c r="M689" s="114"/>
      <c r="N689" s="88"/>
      <c r="O689" s="115"/>
      <c r="P689" s="114"/>
      <c r="Q689" s="114"/>
      <c r="R689" s="114"/>
      <c r="S689" s="114"/>
      <c r="T689" s="114"/>
      <c r="U689" s="114"/>
      <c r="V689" s="114"/>
      <c r="W689" s="114"/>
      <c r="X689" s="114"/>
      <c r="Y689" s="114"/>
      <c r="Z689" s="114"/>
      <c r="AA689" s="114"/>
      <c r="AB689" s="114"/>
    </row>
    <row r="690" spans="1:28" ht="12.75">
      <c r="A690" s="114"/>
      <c r="B690" s="114"/>
      <c r="C690" s="7"/>
      <c r="D690" s="114"/>
      <c r="E690" s="117"/>
      <c r="F690" s="117"/>
      <c r="G690" s="117"/>
      <c r="H690" s="114"/>
      <c r="I690" s="114"/>
      <c r="J690" s="114"/>
      <c r="K690" s="114"/>
      <c r="L690" s="114"/>
      <c r="M690" s="114"/>
      <c r="N690" s="88"/>
      <c r="O690" s="115"/>
      <c r="P690" s="114"/>
      <c r="Q690" s="114"/>
      <c r="R690" s="114"/>
      <c r="S690" s="114"/>
      <c r="T690" s="114"/>
      <c r="U690" s="114"/>
      <c r="V690" s="114"/>
      <c r="W690" s="114"/>
      <c r="X690" s="114"/>
      <c r="Y690" s="114"/>
      <c r="Z690" s="114"/>
      <c r="AA690" s="114"/>
      <c r="AB690" s="114"/>
    </row>
    <row r="691" spans="1:28" ht="12.75">
      <c r="A691" s="114"/>
      <c r="B691" s="114"/>
      <c r="C691" s="7"/>
      <c r="D691" s="114"/>
      <c r="E691" s="117"/>
      <c r="F691" s="117"/>
      <c r="G691" s="117"/>
      <c r="H691" s="114"/>
      <c r="I691" s="114"/>
      <c r="J691" s="114"/>
      <c r="K691" s="114"/>
      <c r="L691" s="114"/>
      <c r="M691" s="114"/>
      <c r="N691" s="88"/>
      <c r="O691" s="115"/>
      <c r="P691" s="114"/>
      <c r="Q691" s="114"/>
      <c r="R691" s="114"/>
      <c r="S691" s="114"/>
      <c r="T691" s="114"/>
      <c r="U691" s="114"/>
      <c r="V691" s="114"/>
      <c r="W691" s="114"/>
      <c r="X691" s="114"/>
      <c r="Y691" s="114"/>
      <c r="Z691" s="114"/>
      <c r="AA691" s="114"/>
      <c r="AB691" s="114"/>
    </row>
    <row r="692" spans="1:28" ht="12.75">
      <c r="A692" s="114"/>
      <c r="B692" s="114"/>
      <c r="C692" s="7"/>
      <c r="D692" s="114"/>
      <c r="E692" s="117"/>
      <c r="F692" s="117"/>
      <c r="G692" s="117"/>
      <c r="H692" s="114"/>
      <c r="I692" s="114"/>
      <c r="J692" s="114"/>
      <c r="K692" s="114"/>
      <c r="L692" s="114"/>
      <c r="M692" s="114"/>
      <c r="N692" s="88"/>
      <c r="O692" s="115"/>
      <c r="P692" s="114"/>
      <c r="Q692" s="114"/>
      <c r="R692" s="114"/>
      <c r="S692" s="114"/>
      <c r="T692" s="114"/>
      <c r="U692" s="114"/>
      <c r="V692" s="114"/>
      <c r="W692" s="114"/>
      <c r="X692" s="114"/>
      <c r="Y692" s="114"/>
      <c r="Z692" s="114"/>
      <c r="AA692" s="114"/>
      <c r="AB692" s="114"/>
    </row>
    <row r="693" spans="1:28" ht="12.75">
      <c r="A693" s="114"/>
      <c r="B693" s="114"/>
      <c r="C693" s="7"/>
      <c r="D693" s="114"/>
      <c r="E693" s="117"/>
      <c r="F693" s="117"/>
      <c r="G693" s="117"/>
      <c r="H693" s="114"/>
      <c r="I693" s="114"/>
      <c r="J693" s="114"/>
      <c r="K693" s="114"/>
      <c r="L693" s="114"/>
      <c r="M693" s="114"/>
      <c r="N693" s="88"/>
      <c r="O693" s="115"/>
      <c r="P693" s="114"/>
      <c r="Q693" s="114"/>
      <c r="R693" s="114"/>
      <c r="S693" s="114"/>
      <c r="T693" s="114"/>
      <c r="U693" s="114"/>
      <c r="V693" s="114"/>
      <c r="W693" s="114"/>
      <c r="X693" s="114"/>
      <c r="Y693" s="114"/>
      <c r="Z693" s="114"/>
      <c r="AA693" s="114"/>
      <c r="AB693" s="114"/>
    </row>
    <row r="694" spans="1:28" ht="12.75">
      <c r="A694" s="114"/>
      <c r="B694" s="114"/>
      <c r="C694" s="7"/>
      <c r="D694" s="114"/>
      <c r="E694" s="117"/>
      <c r="F694" s="117"/>
      <c r="G694" s="117"/>
      <c r="H694" s="114"/>
      <c r="I694" s="114"/>
      <c r="J694" s="114"/>
      <c r="K694" s="114"/>
      <c r="L694" s="114"/>
      <c r="M694" s="114"/>
      <c r="N694" s="88"/>
      <c r="O694" s="115"/>
      <c r="P694" s="114"/>
      <c r="Q694" s="114"/>
      <c r="R694" s="114"/>
      <c r="S694" s="114"/>
      <c r="T694" s="114"/>
      <c r="U694" s="114"/>
      <c r="V694" s="114"/>
      <c r="W694" s="114"/>
      <c r="X694" s="114"/>
      <c r="Y694" s="114"/>
      <c r="Z694" s="114"/>
      <c r="AA694" s="114"/>
      <c r="AB694" s="114"/>
    </row>
    <row r="695" spans="1:28" ht="12.75">
      <c r="A695" s="114"/>
      <c r="B695" s="114"/>
      <c r="C695" s="7"/>
      <c r="D695" s="114"/>
      <c r="E695" s="117"/>
      <c r="F695" s="117"/>
      <c r="G695" s="117"/>
      <c r="H695" s="114"/>
      <c r="I695" s="114"/>
      <c r="J695" s="114"/>
      <c r="K695" s="114"/>
      <c r="L695" s="114"/>
      <c r="M695" s="114"/>
      <c r="N695" s="88"/>
      <c r="O695" s="115"/>
      <c r="P695" s="114"/>
      <c r="Q695" s="114"/>
      <c r="R695" s="114"/>
      <c r="S695" s="114"/>
      <c r="T695" s="114"/>
      <c r="U695" s="114"/>
      <c r="V695" s="114"/>
      <c r="W695" s="114"/>
      <c r="X695" s="114"/>
      <c r="Y695" s="114"/>
      <c r="Z695" s="114"/>
      <c r="AA695" s="114"/>
      <c r="AB695" s="114"/>
    </row>
    <row r="696" spans="1:28" ht="12.75">
      <c r="A696" s="114"/>
      <c r="B696" s="114"/>
      <c r="C696" s="7"/>
      <c r="D696" s="114"/>
      <c r="E696" s="117"/>
      <c r="F696" s="117"/>
      <c r="G696" s="117"/>
      <c r="H696" s="114"/>
      <c r="I696" s="114"/>
      <c r="J696" s="114"/>
      <c r="K696" s="114"/>
      <c r="L696" s="114"/>
      <c r="M696" s="114"/>
      <c r="N696" s="88"/>
      <c r="O696" s="115"/>
      <c r="P696" s="114"/>
      <c r="Q696" s="114"/>
      <c r="R696" s="114"/>
      <c r="S696" s="114"/>
      <c r="T696" s="114"/>
      <c r="U696" s="114"/>
      <c r="V696" s="114"/>
      <c r="W696" s="114"/>
      <c r="X696" s="114"/>
      <c r="Y696" s="114"/>
      <c r="Z696" s="114"/>
      <c r="AA696" s="114"/>
      <c r="AB696" s="114"/>
    </row>
    <row r="697" spans="1:28" ht="12.75">
      <c r="A697" s="114"/>
      <c r="B697" s="114"/>
      <c r="C697" s="7"/>
      <c r="D697" s="114"/>
      <c r="E697" s="117"/>
      <c r="F697" s="117"/>
      <c r="G697" s="117"/>
      <c r="H697" s="114"/>
      <c r="I697" s="114"/>
      <c r="J697" s="114"/>
      <c r="K697" s="114"/>
      <c r="L697" s="114"/>
      <c r="M697" s="114"/>
      <c r="N697" s="88"/>
      <c r="O697" s="115"/>
      <c r="P697" s="114"/>
      <c r="Q697" s="114"/>
      <c r="R697" s="114"/>
      <c r="S697" s="114"/>
      <c r="T697" s="114"/>
      <c r="U697" s="114"/>
      <c r="V697" s="114"/>
      <c r="W697" s="114"/>
      <c r="X697" s="114"/>
      <c r="Y697" s="114"/>
      <c r="Z697" s="114"/>
      <c r="AA697" s="114"/>
      <c r="AB697" s="114"/>
    </row>
    <row r="698" spans="1:28" ht="12.75">
      <c r="A698" s="114"/>
      <c r="B698" s="114"/>
      <c r="C698" s="7"/>
      <c r="D698" s="114"/>
      <c r="E698" s="117"/>
      <c r="F698" s="117"/>
      <c r="G698" s="117"/>
      <c r="H698" s="114"/>
      <c r="I698" s="114"/>
      <c r="J698" s="114"/>
      <c r="K698" s="114"/>
      <c r="L698" s="114"/>
      <c r="M698" s="114"/>
      <c r="N698" s="88"/>
      <c r="O698" s="115"/>
      <c r="P698" s="114"/>
      <c r="Q698" s="114"/>
      <c r="R698" s="114"/>
      <c r="S698" s="114"/>
      <c r="T698" s="114"/>
      <c r="U698" s="114"/>
      <c r="V698" s="114"/>
      <c r="W698" s="114"/>
      <c r="X698" s="114"/>
      <c r="Y698" s="114"/>
      <c r="Z698" s="114"/>
      <c r="AA698" s="114"/>
      <c r="AB698" s="114"/>
    </row>
    <row r="699" spans="1:28" ht="12.75">
      <c r="A699" s="114"/>
      <c r="B699" s="114"/>
      <c r="C699" s="7"/>
      <c r="D699" s="114"/>
      <c r="E699" s="117"/>
      <c r="F699" s="117"/>
      <c r="G699" s="117"/>
      <c r="H699" s="114"/>
      <c r="I699" s="114"/>
      <c r="J699" s="114"/>
      <c r="K699" s="114"/>
      <c r="L699" s="114"/>
      <c r="M699" s="114"/>
      <c r="N699" s="88"/>
      <c r="O699" s="115"/>
      <c r="P699" s="114"/>
      <c r="Q699" s="114"/>
      <c r="R699" s="114"/>
      <c r="S699" s="114"/>
      <c r="T699" s="114"/>
      <c r="U699" s="114"/>
      <c r="V699" s="114"/>
      <c r="W699" s="114"/>
      <c r="X699" s="114"/>
      <c r="Y699" s="114"/>
      <c r="Z699" s="114"/>
      <c r="AA699" s="114"/>
      <c r="AB699" s="114"/>
    </row>
    <row r="700" spans="1:28" ht="12.75">
      <c r="A700" s="114"/>
      <c r="B700" s="114"/>
      <c r="C700" s="7"/>
      <c r="D700" s="114"/>
      <c r="E700" s="117"/>
      <c r="F700" s="117"/>
      <c r="G700" s="117"/>
      <c r="H700" s="114"/>
      <c r="I700" s="114"/>
      <c r="J700" s="114"/>
      <c r="K700" s="114"/>
      <c r="L700" s="114"/>
      <c r="M700" s="114"/>
      <c r="N700" s="88"/>
      <c r="O700" s="115"/>
      <c r="P700" s="114"/>
      <c r="Q700" s="114"/>
      <c r="R700" s="114"/>
      <c r="S700" s="114"/>
      <c r="T700" s="114"/>
      <c r="U700" s="114"/>
      <c r="V700" s="114"/>
      <c r="W700" s="114"/>
      <c r="X700" s="114"/>
      <c r="Y700" s="114"/>
      <c r="Z700" s="114"/>
      <c r="AA700" s="114"/>
      <c r="AB700" s="114"/>
    </row>
    <row r="701" spans="1:28" ht="12.75">
      <c r="A701" s="114"/>
      <c r="B701" s="114"/>
      <c r="C701" s="7"/>
      <c r="D701" s="114"/>
      <c r="E701" s="117"/>
      <c r="F701" s="117"/>
      <c r="G701" s="117"/>
      <c r="H701" s="114"/>
      <c r="I701" s="114"/>
      <c r="J701" s="114"/>
      <c r="K701" s="114"/>
      <c r="L701" s="114"/>
      <c r="M701" s="114"/>
      <c r="N701" s="88"/>
      <c r="O701" s="115"/>
      <c r="P701" s="114"/>
      <c r="Q701" s="114"/>
      <c r="R701" s="114"/>
      <c r="S701" s="114"/>
      <c r="T701" s="114"/>
      <c r="U701" s="114"/>
      <c r="V701" s="114"/>
      <c r="W701" s="114"/>
      <c r="X701" s="114"/>
      <c r="Y701" s="114"/>
      <c r="Z701" s="114"/>
      <c r="AA701" s="114"/>
      <c r="AB701" s="114"/>
    </row>
    <row r="702" spans="1:28" ht="12.75">
      <c r="A702" s="114"/>
      <c r="B702" s="114"/>
      <c r="C702" s="7"/>
      <c r="D702" s="114"/>
      <c r="E702" s="117"/>
      <c r="F702" s="117"/>
      <c r="G702" s="117"/>
      <c r="H702" s="114"/>
      <c r="I702" s="114"/>
      <c r="J702" s="114"/>
      <c r="K702" s="114"/>
      <c r="L702" s="114"/>
      <c r="M702" s="114"/>
      <c r="N702" s="88"/>
      <c r="O702" s="115"/>
      <c r="P702" s="114"/>
      <c r="Q702" s="114"/>
      <c r="R702" s="114"/>
      <c r="S702" s="114"/>
      <c r="T702" s="114"/>
      <c r="U702" s="114"/>
      <c r="V702" s="114"/>
      <c r="W702" s="114"/>
      <c r="X702" s="114"/>
      <c r="Y702" s="114"/>
      <c r="Z702" s="114"/>
      <c r="AA702" s="114"/>
      <c r="AB702" s="114"/>
    </row>
    <row r="703" spans="1:28" ht="12.75">
      <c r="A703" s="114"/>
      <c r="B703" s="114"/>
      <c r="C703" s="7"/>
      <c r="D703" s="114"/>
      <c r="E703" s="117"/>
      <c r="F703" s="117"/>
      <c r="G703" s="117"/>
      <c r="H703" s="114"/>
      <c r="I703" s="114"/>
      <c r="J703" s="114"/>
      <c r="K703" s="114"/>
      <c r="L703" s="114"/>
      <c r="M703" s="114"/>
      <c r="N703" s="88"/>
      <c r="O703" s="115"/>
      <c r="P703" s="114"/>
      <c r="Q703" s="114"/>
      <c r="R703" s="114"/>
      <c r="S703" s="114"/>
      <c r="T703" s="114"/>
      <c r="U703" s="114"/>
      <c r="V703" s="114"/>
      <c r="W703" s="114"/>
      <c r="X703" s="114"/>
      <c r="Y703" s="114"/>
      <c r="Z703" s="114"/>
      <c r="AA703" s="114"/>
      <c r="AB703" s="114"/>
    </row>
    <row r="704" spans="1:28" ht="12.75">
      <c r="A704" s="114"/>
      <c r="B704" s="114"/>
      <c r="C704" s="7"/>
      <c r="D704" s="114"/>
      <c r="E704" s="117"/>
      <c r="F704" s="117"/>
      <c r="G704" s="117"/>
      <c r="H704" s="114"/>
      <c r="I704" s="114"/>
      <c r="J704" s="114"/>
      <c r="K704" s="114"/>
      <c r="L704" s="114"/>
      <c r="M704" s="114"/>
      <c r="N704" s="88"/>
      <c r="O704" s="115"/>
      <c r="P704" s="114"/>
      <c r="Q704" s="114"/>
      <c r="R704" s="114"/>
      <c r="S704" s="114"/>
      <c r="T704" s="114"/>
      <c r="U704" s="114"/>
      <c r="V704" s="114"/>
      <c r="W704" s="114"/>
      <c r="X704" s="114"/>
      <c r="Y704" s="114"/>
      <c r="Z704" s="114"/>
      <c r="AA704" s="114"/>
      <c r="AB704" s="114"/>
    </row>
    <row r="705" spans="1:28" ht="12.75">
      <c r="A705" s="114"/>
      <c r="B705" s="114"/>
      <c r="C705" s="7"/>
      <c r="D705" s="114"/>
      <c r="E705" s="117"/>
      <c r="F705" s="117"/>
      <c r="G705" s="117"/>
      <c r="H705" s="114"/>
      <c r="I705" s="114"/>
      <c r="J705" s="114"/>
      <c r="K705" s="114"/>
      <c r="L705" s="114"/>
      <c r="M705" s="114"/>
      <c r="N705" s="88"/>
      <c r="O705" s="115"/>
      <c r="P705" s="114"/>
      <c r="Q705" s="114"/>
      <c r="R705" s="114"/>
      <c r="S705" s="114"/>
      <c r="T705" s="114"/>
      <c r="U705" s="114"/>
      <c r="V705" s="114"/>
      <c r="W705" s="114"/>
      <c r="X705" s="114"/>
      <c r="Y705" s="114"/>
      <c r="Z705" s="114"/>
      <c r="AA705" s="114"/>
      <c r="AB705" s="114"/>
    </row>
    <row r="706" spans="1:28" ht="12.75">
      <c r="A706" s="114"/>
      <c r="B706" s="114"/>
      <c r="C706" s="7"/>
      <c r="D706" s="114"/>
      <c r="E706" s="117"/>
      <c r="F706" s="117"/>
      <c r="G706" s="117"/>
      <c r="H706" s="114"/>
      <c r="I706" s="114"/>
      <c r="J706" s="114"/>
      <c r="K706" s="114"/>
      <c r="L706" s="114"/>
      <c r="M706" s="114"/>
      <c r="N706" s="88"/>
      <c r="O706" s="115"/>
      <c r="P706" s="114"/>
      <c r="Q706" s="114"/>
      <c r="R706" s="114"/>
      <c r="S706" s="114"/>
      <c r="T706" s="114"/>
      <c r="U706" s="114"/>
      <c r="V706" s="114"/>
      <c r="W706" s="114"/>
      <c r="X706" s="114"/>
      <c r="Y706" s="114"/>
      <c r="Z706" s="114"/>
      <c r="AA706" s="114"/>
      <c r="AB706" s="114"/>
    </row>
    <row r="707" spans="1:28" ht="12.75">
      <c r="A707" s="114"/>
      <c r="B707" s="114"/>
      <c r="C707" s="7"/>
      <c r="D707" s="114"/>
      <c r="E707" s="117"/>
      <c r="F707" s="117"/>
      <c r="G707" s="117"/>
      <c r="H707" s="114"/>
      <c r="I707" s="114"/>
      <c r="J707" s="114"/>
      <c r="K707" s="114"/>
      <c r="L707" s="114"/>
      <c r="M707" s="114"/>
      <c r="N707" s="88"/>
      <c r="O707" s="115"/>
      <c r="P707" s="114"/>
      <c r="Q707" s="114"/>
      <c r="R707" s="114"/>
      <c r="S707" s="114"/>
      <c r="T707" s="114"/>
      <c r="U707" s="114"/>
      <c r="V707" s="114"/>
      <c r="W707" s="114"/>
      <c r="X707" s="114"/>
      <c r="Y707" s="114"/>
      <c r="Z707" s="114"/>
      <c r="AA707" s="114"/>
      <c r="AB707" s="114"/>
    </row>
    <row r="708" spans="1:28" ht="12.75">
      <c r="A708" s="114"/>
      <c r="B708" s="114"/>
      <c r="C708" s="7"/>
      <c r="D708" s="114"/>
      <c r="E708" s="117"/>
      <c r="F708" s="117"/>
      <c r="G708" s="117"/>
      <c r="H708" s="114"/>
      <c r="I708" s="114"/>
      <c r="J708" s="114"/>
      <c r="K708" s="114"/>
      <c r="L708" s="114"/>
      <c r="M708" s="114"/>
      <c r="N708" s="88"/>
      <c r="O708" s="115"/>
      <c r="P708" s="114"/>
      <c r="Q708" s="114"/>
      <c r="R708" s="114"/>
      <c r="S708" s="114"/>
      <c r="T708" s="114"/>
      <c r="U708" s="114"/>
      <c r="V708" s="114"/>
      <c r="W708" s="114"/>
      <c r="X708" s="114"/>
      <c r="Y708" s="114"/>
      <c r="Z708" s="114"/>
      <c r="AA708" s="114"/>
      <c r="AB708" s="114"/>
    </row>
    <row r="709" spans="1:28" ht="12.75">
      <c r="A709" s="114"/>
      <c r="B709" s="114"/>
      <c r="C709" s="7"/>
      <c r="D709" s="114"/>
      <c r="E709" s="117"/>
      <c r="F709" s="117"/>
      <c r="G709" s="117"/>
      <c r="H709" s="114"/>
      <c r="I709" s="114"/>
      <c r="J709" s="114"/>
      <c r="K709" s="114"/>
      <c r="L709" s="114"/>
      <c r="M709" s="114"/>
      <c r="N709" s="88"/>
      <c r="O709" s="115"/>
      <c r="P709" s="114"/>
      <c r="Q709" s="114"/>
      <c r="R709" s="114"/>
      <c r="S709" s="114"/>
      <c r="T709" s="114"/>
      <c r="U709" s="114"/>
      <c r="V709" s="114"/>
      <c r="W709" s="114"/>
      <c r="X709" s="114"/>
      <c r="Y709" s="114"/>
      <c r="Z709" s="114"/>
      <c r="AA709" s="114"/>
      <c r="AB709" s="114"/>
    </row>
    <row r="710" spans="1:28" ht="12.75">
      <c r="A710" s="114"/>
      <c r="B710" s="114"/>
      <c r="C710" s="7"/>
      <c r="D710" s="114"/>
      <c r="E710" s="117"/>
      <c r="F710" s="117"/>
      <c r="G710" s="117"/>
      <c r="H710" s="114"/>
      <c r="I710" s="114"/>
      <c r="J710" s="114"/>
      <c r="K710" s="114"/>
      <c r="L710" s="114"/>
      <c r="M710" s="114"/>
      <c r="N710" s="88"/>
      <c r="O710" s="115"/>
      <c r="P710" s="114"/>
      <c r="Q710" s="114"/>
      <c r="R710" s="114"/>
      <c r="S710" s="114"/>
      <c r="T710" s="114"/>
      <c r="U710" s="114"/>
      <c r="V710" s="114"/>
      <c r="W710" s="114"/>
      <c r="X710" s="114"/>
      <c r="Y710" s="114"/>
      <c r="Z710" s="114"/>
      <c r="AA710" s="114"/>
      <c r="AB710" s="114"/>
    </row>
    <row r="711" spans="1:28" ht="12.75">
      <c r="A711" s="114"/>
      <c r="B711" s="114"/>
      <c r="C711" s="7"/>
      <c r="D711" s="114"/>
      <c r="E711" s="117"/>
      <c r="F711" s="117"/>
      <c r="G711" s="117"/>
      <c r="H711" s="114"/>
      <c r="I711" s="114"/>
      <c r="J711" s="114"/>
      <c r="K711" s="114"/>
      <c r="L711" s="114"/>
      <c r="M711" s="114"/>
      <c r="N711" s="88"/>
      <c r="O711" s="115"/>
      <c r="P711" s="114"/>
      <c r="Q711" s="114"/>
      <c r="R711" s="114"/>
      <c r="S711" s="114"/>
      <c r="T711" s="114"/>
      <c r="U711" s="114"/>
      <c r="V711" s="114"/>
      <c r="W711" s="114"/>
      <c r="X711" s="114"/>
      <c r="Y711" s="114"/>
      <c r="Z711" s="114"/>
      <c r="AA711" s="114"/>
      <c r="AB711" s="114"/>
    </row>
    <row r="712" spans="1:28" ht="12.75">
      <c r="A712" s="114"/>
      <c r="B712" s="114"/>
      <c r="C712" s="7"/>
      <c r="D712" s="114"/>
      <c r="E712" s="117"/>
      <c r="F712" s="117"/>
      <c r="G712" s="117"/>
      <c r="H712" s="114"/>
      <c r="I712" s="114"/>
      <c r="J712" s="114"/>
      <c r="K712" s="114"/>
      <c r="L712" s="114"/>
      <c r="M712" s="114"/>
      <c r="N712" s="88"/>
      <c r="O712" s="115"/>
      <c r="P712" s="114"/>
      <c r="Q712" s="114"/>
      <c r="R712" s="114"/>
      <c r="S712" s="114"/>
      <c r="T712" s="114"/>
      <c r="U712" s="114"/>
      <c r="V712" s="114"/>
      <c r="W712" s="114"/>
      <c r="X712" s="114"/>
      <c r="Y712" s="114"/>
      <c r="Z712" s="114"/>
      <c r="AA712" s="114"/>
      <c r="AB712" s="114"/>
    </row>
    <row r="713" spans="1:28" ht="12.75">
      <c r="A713" s="114"/>
      <c r="B713" s="114"/>
      <c r="C713" s="7"/>
      <c r="D713" s="114"/>
      <c r="E713" s="117"/>
      <c r="F713" s="117"/>
      <c r="G713" s="117"/>
      <c r="H713" s="114"/>
      <c r="I713" s="114"/>
      <c r="J713" s="114"/>
      <c r="K713" s="114"/>
      <c r="L713" s="114"/>
      <c r="M713" s="114"/>
      <c r="N713" s="88"/>
      <c r="O713" s="115"/>
      <c r="P713" s="114"/>
      <c r="Q713" s="114"/>
      <c r="R713" s="114"/>
      <c r="S713" s="114"/>
      <c r="T713" s="114"/>
      <c r="U713" s="114"/>
      <c r="V713" s="114"/>
      <c r="W713" s="114"/>
      <c r="X713" s="114"/>
      <c r="Y713" s="114"/>
      <c r="Z713" s="114"/>
      <c r="AA713" s="114"/>
      <c r="AB713" s="114"/>
    </row>
    <row r="714" spans="1:28" ht="12.75">
      <c r="A714" s="114"/>
      <c r="B714" s="114"/>
      <c r="C714" s="7"/>
      <c r="D714" s="114"/>
      <c r="E714" s="117"/>
      <c r="F714" s="117"/>
      <c r="G714" s="117"/>
      <c r="H714" s="114"/>
      <c r="I714" s="114"/>
      <c r="J714" s="114"/>
      <c r="K714" s="114"/>
      <c r="L714" s="114"/>
      <c r="M714" s="114"/>
      <c r="N714" s="88"/>
      <c r="O714" s="115"/>
      <c r="P714" s="114"/>
      <c r="Q714" s="114"/>
      <c r="R714" s="114"/>
      <c r="S714" s="114"/>
      <c r="T714" s="114"/>
      <c r="U714" s="114"/>
      <c r="V714" s="114"/>
      <c r="W714" s="114"/>
      <c r="X714" s="114"/>
      <c r="Y714" s="114"/>
      <c r="Z714" s="114"/>
      <c r="AA714" s="114"/>
      <c r="AB714" s="114"/>
    </row>
    <row r="715" spans="1:28" ht="12.75">
      <c r="A715" s="114"/>
      <c r="B715" s="114"/>
      <c r="C715" s="7"/>
      <c r="D715" s="114"/>
      <c r="E715" s="117"/>
      <c r="F715" s="117"/>
      <c r="G715" s="117"/>
      <c r="H715" s="114"/>
      <c r="I715" s="114"/>
      <c r="J715" s="114"/>
      <c r="K715" s="114"/>
      <c r="L715" s="114"/>
      <c r="M715" s="114"/>
      <c r="N715" s="88"/>
      <c r="O715" s="115"/>
      <c r="P715" s="114"/>
      <c r="Q715" s="114"/>
      <c r="R715" s="114"/>
      <c r="S715" s="114"/>
      <c r="T715" s="114"/>
      <c r="U715" s="114"/>
      <c r="V715" s="114"/>
      <c r="W715" s="114"/>
      <c r="X715" s="114"/>
      <c r="Y715" s="114"/>
      <c r="Z715" s="114"/>
      <c r="AA715" s="114"/>
      <c r="AB715" s="114"/>
    </row>
    <row r="716" spans="1:28" ht="12.75">
      <c r="A716" s="114"/>
      <c r="B716" s="114"/>
      <c r="C716" s="7"/>
      <c r="D716" s="114"/>
      <c r="E716" s="117"/>
      <c r="F716" s="117"/>
      <c r="G716" s="117"/>
      <c r="H716" s="114"/>
      <c r="I716" s="114"/>
      <c r="J716" s="114"/>
      <c r="K716" s="114"/>
      <c r="L716" s="114"/>
      <c r="M716" s="114"/>
      <c r="N716" s="88"/>
      <c r="O716" s="115"/>
      <c r="P716" s="114"/>
      <c r="Q716" s="114"/>
      <c r="R716" s="114"/>
      <c r="S716" s="114"/>
      <c r="T716" s="114"/>
      <c r="U716" s="114"/>
      <c r="V716" s="114"/>
      <c r="W716" s="114"/>
      <c r="X716" s="114"/>
      <c r="Y716" s="114"/>
      <c r="Z716" s="114"/>
      <c r="AA716" s="114"/>
      <c r="AB716" s="114"/>
    </row>
    <row r="717" spans="1:28" ht="12.75">
      <c r="A717" s="114"/>
      <c r="B717" s="114"/>
      <c r="C717" s="7"/>
      <c r="D717" s="114"/>
      <c r="E717" s="117"/>
      <c r="F717" s="117"/>
      <c r="G717" s="117"/>
      <c r="H717" s="114"/>
      <c r="I717" s="114"/>
      <c r="J717" s="114"/>
      <c r="K717" s="114"/>
      <c r="L717" s="114"/>
      <c r="M717" s="114"/>
      <c r="N717" s="88"/>
      <c r="O717" s="115"/>
      <c r="P717" s="114"/>
      <c r="Q717" s="114"/>
      <c r="R717" s="114"/>
      <c r="S717" s="114"/>
      <c r="T717" s="114"/>
      <c r="U717" s="114"/>
      <c r="V717" s="114"/>
      <c r="W717" s="114"/>
      <c r="X717" s="114"/>
      <c r="Y717" s="114"/>
      <c r="Z717" s="114"/>
      <c r="AA717" s="114"/>
      <c r="AB717" s="114"/>
    </row>
    <row r="718" spans="1:28" ht="12.75">
      <c r="A718" s="114"/>
      <c r="B718" s="114"/>
      <c r="C718" s="7"/>
      <c r="D718" s="114"/>
      <c r="E718" s="117"/>
      <c r="F718" s="117"/>
      <c r="G718" s="117"/>
      <c r="H718" s="114"/>
      <c r="I718" s="114"/>
      <c r="J718" s="114"/>
      <c r="K718" s="114"/>
      <c r="L718" s="114"/>
      <c r="M718" s="114"/>
      <c r="N718" s="88"/>
      <c r="O718" s="115"/>
      <c r="P718" s="114"/>
      <c r="Q718" s="114"/>
      <c r="R718" s="114"/>
      <c r="S718" s="114"/>
      <c r="T718" s="114"/>
      <c r="U718" s="114"/>
      <c r="V718" s="114"/>
      <c r="W718" s="114"/>
      <c r="X718" s="114"/>
      <c r="Y718" s="114"/>
      <c r="Z718" s="114"/>
      <c r="AA718" s="114"/>
      <c r="AB718" s="114"/>
    </row>
    <row r="719" spans="1:28" ht="12.75">
      <c r="A719" s="114"/>
      <c r="B719" s="114"/>
      <c r="C719" s="7"/>
      <c r="D719" s="114"/>
      <c r="E719" s="117"/>
      <c r="F719" s="117"/>
      <c r="G719" s="117"/>
      <c r="H719" s="114"/>
      <c r="I719" s="114"/>
      <c r="J719" s="114"/>
      <c r="K719" s="114"/>
      <c r="L719" s="114"/>
      <c r="M719" s="114"/>
      <c r="N719" s="88"/>
      <c r="O719" s="115"/>
      <c r="P719" s="114"/>
      <c r="Q719" s="114"/>
      <c r="R719" s="114"/>
      <c r="S719" s="114"/>
      <c r="T719" s="114"/>
      <c r="U719" s="114"/>
      <c r="V719" s="114"/>
      <c r="W719" s="114"/>
      <c r="X719" s="114"/>
      <c r="Y719" s="114"/>
      <c r="Z719" s="114"/>
      <c r="AA719" s="114"/>
      <c r="AB719" s="114"/>
    </row>
    <row r="720" spans="1:28" ht="12.75">
      <c r="A720" s="114"/>
      <c r="B720" s="114"/>
      <c r="C720" s="7"/>
      <c r="D720" s="114"/>
      <c r="E720" s="117"/>
      <c r="F720" s="117"/>
      <c r="G720" s="117"/>
      <c r="H720" s="114"/>
      <c r="I720" s="114"/>
      <c r="J720" s="114"/>
      <c r="K720" s="114"/>
      <c r="L720" s="114"/>
      <c r="M720" s="114"/>
      <c r="N720" s="88"/>
      <c r="O720" s="115"/>
      <c r="P720" s="114"/>
      <c r="Q720" s="114"/>
      <c r="R720" s="114"/>
      <c r="S720" s="114"/>
      <c r="T720" s="114"/>
      <c r="U720" s="114"/>
      <c r="V720" s="114"/>
      <c r="W720" s="114"/>
      <c r="X720" s="114"/>
      <c r="Y720" s="114"/>
      <c r="Z720" s="114"/>
      <c r="AA720" s="114"/>
      <c r="AB720" s="114"/>
    </row>
    <row r="721" spans="1:28" ht="12.75">
      <c r="A721" s="114"/>
      <c r="B721" s="114"/>
      <c r="C721" s="7"/>
      <c r="D721" s="114"/>
      <c r="E721" s="117"/>
      <c r="F721" s="117"/>
      <c r="G721" s="117"/>
      <c r="H721" s="114"/>
      <c r="I721" s="114"/>
      <c r="J721" s="114"/>
      <c r="K721" s="114"/>
      <c r="L721" s="114"/>
      <c r="M721" s="114"/>
      <c r="N721" s="88"/>
      <c r="O721" s="115"/>
      <c r="P721" s="114"/>
      <c r="Q721" s="114"/>
      <c r="R721" s="114"/>
      <c r="S721" s="114"/>
      <c r="T721" s="114"/>
      <c r="U721" s="114"/>
      <c r="V721" s="114"/>
      <c r="W721" s="114"/>
      <c r="X721" s="114"/>
      <c r="Y721" s="114"/>
      <c r="Z721" s="114"/>
      <c r="AA721" s="114"/>
      <c r="AB721" s="114"/>
    </row>
    <row r="722" spans="1:28" ht="12.75">
      <c r="A722" s="114"/>
      <c r="B722" s="114"/>
      <c r="C722" s="7"/>
      <c r="D722" s="114"/>
      <c r="E722" s="117"/>
      <c r="F722" s="117"/>
      <c r="G722" s="117"/>
      <c r="H722" s="114"/>
      <c r="I722" s="114"/>
      <c r="J722" s="114"/>
      <c r="K722" s="114"/>
      <c r="L722" s="114"/>
      <c r="M722" s="114"/>
      <c r="N722" s="88"/>
      <c r="O722" s="115"/>
      <c r="P722" s="114"/>
      <c r="Q722" s="114"/>
      <c r="R722" s="114"/>
      <c r="S722" s="114"/>
      <c r="T722" s="114"/>
      <c r="U722" s="114"/>
      <c r="V722" s="114"/>
      <c r="W722" s="114"/>
      <c r="X722" s="114"/>
      <c r="Y722" s="114"/>
      <c r="Z722" s="114"/>
      <c r="AA722" s="114"/>
      <c r="AB722" s="114"/>
    </row>
    <row r="723" spans="1:28" ht="12.75">
      <c r="A723" s="114"/>
      <c r="B723" s="114"/>
      <c r="C723" s="7"/>
      <c r="D723" s="114"/>
      <c r="E723" s="117"/>
      <c r="F723" s="117"/>
      <c r="G723" s="117"/>
      <c r="H723" s="114"/>
      <c r="I723" s="114"/>
      <c r="J723" s="114"/>
      <c r="K723" s="114"/>
      <c r="L723" s="114"/>
      <c r="M723" s="114"/>
      <c r="N723" s="88"/>
      <c r="O723" s="115"/>
      <c r="P723" s="114"/>
      <c r="Q723" s="114"/>
      <c r="R723" s="114"/>
      <c r="S723" s="114"/>
      <c r="T723" s="114"/>
      <c r="U723" s="114"/>
      <c r="V723" s="114"/>
      <c r="W723" s="114"/>
      <c r="X723" s="114"/>
      <c r="Y723" s="114"/>
      <c r="Z723" s="114"/>
      <c r="AA723" s="114"/>
      <c r="AB723" s="114"/>
    </row>
    <row r="724" spans="1:28" ht="12.75">
      <c r="A724" s="114"/>
      <c r="B724" s="114"/>
      <c r="C724" s="7"/>
      <c r="D724" s="114"/>
      <c r="E724" s="117"/>
      <c r="F724" s="117"/>
      <c r="G724" s="117"/>
      <c r="H724" s="114"/>
      <c r="I724" s="114"/>
      <c r="J724" s="114"/>
      <c r="K724" s="114"/>
      <c r="L724" s="114"/>
      <c r="M724" s="114"/>
      <c r="N724" s="88"/>
      <c r="O724" s="115"/>
      <c r="P724" s="114"/>
      <c r="Q724" s="114"/>
      <c r="R724" s="114"/>
      <c r="S724" s="114"/>
      <c r="T724" s="114"/>
      <c r="U724" s="114"/>
      <c r="V724" s="114"/>
      <c r="W724" s="114"/>
      <c r="X724" s="114"/>
      <c r="Y724" s="114"/>
      <c r="Z724" s="114"/>
      <c r="AA724" s="114"/>
      <c r="AB724" s="114"/>
    </row>
    <row r="725" spans="1:28" ht="12.75">
      <c r="A725" s="114"/>
      <c r="B725" s="114"/>
      <c r="C725" s="7"/>
      <c r="D725" s="114"/>
      <c r="E725" s="117"/>
      <c r="F725" s="117"/>
      <c r="G725" s="117"/>
      <c r="H725" s="114"/>
      <c r="I725" s="114"/>
      <c r="J725" s="114"/>
      <c r="K725" s="114"/>
      <c r="L725" s="114"/>
      <c r="M725" s="114"/>
      <c r="N725" s="88"/>
      <c r="O725" s="115"/>
      <c r="P725" s="114"/>
      <c r="Q725" s="114"/>
      <c r="R725" s="114"/>
      <c r="S725" s="114"/>
      <c r="T725" s="114"/>
      <c r="U725" s="114"/>
      <c r="V725" s="114"/>
      <c r="W725" s="114"/>
      <c r="X725" s="114"/>
      <c r="Y725" s="114"/>
      <c r="Z725" s="114"/>
      <c r="AA725" s="114"/>
      <c r="AB725" s="114"/>
    </row>
    <row r="726" spans="1:28" ht="12.75">
      <c r="A726" s="114"/>
      <c r="B726" s="114"/>
      <c r="C726" s="7"/>
      <c r="D726" s="114"/>
      <c r="E726" s="117"/>
      <c r="F726" s="117"/>
      <c r="G726" s="117"/>
      <c r="H726" s="114"/>
      <c r="I726" s="114"/>
      <c r="J726" s="114"/>
      <c r="K726" s="114"/>
      <c r="L726" s="114"/>
      <c r="M726" s="114"/>
      <c r="N726" s="88"/>
      <c r="O726" s="115"/>
      <c r="P726" s="114"/>
      <c r="Q726" s="114"/>
      <c r="R726" s="114"/>
      <c r="S726" s="114"/>
      <c r="T726" s="114"/>
      <c r="U726" s="114"/>
      <c r="V726" s="114"/>
      <c r="W726" s="114"/>
      <c r="X726" s="114"/>
      <c r="Y726" s="114"/>
      <c r="Z726" s="114"/>
      <c r="AA726" s="114"/>
      <c r="AB726" s="114"/>
    </row>
    <row r="727" spans="1:28" ht="12.75">
      <c r="A727" s="114"/>
      <c r="B727" s="114"/>
      <c r="C727" s="7"/>
      <c r="D727" s="114"/>
      <c r="E727" s="117"/>
      <c r="F727" s="117"/>
      <c r="G727" s="117"/>
      <c r="H727" s="114"/>
      <c r="I727" s="114"/>
      <c r="J727" s="114"/>
      <c r="K727" s="114"/>
      <c r="L727" s="114"/>
      <c r="M727" s="114"/>
      <c r="N727" s="88"/>
      <c r="O727" s="115"/>
      <c r="P727" s="114"/>
      <c r="Q727" s="114"/>
      <c r="R727" s="114"/>
      <c r="S727" s="114"/>
      <c r="T727" s="114"/>
      <c r="U727" s="114"/>
      <c r="V727" s="114"/>
      <c r="W727" s="114"/>
      <c r="X727" s="114"/>
      <c r="Y727" s="114"/>
      <c r="Z727" s="114"/>
      <c r="AA727" s="114"/>
      <c r="AB727" s="114"/>
    </row>
    <row r="728" spans="1:28" ht="12.75">
      <c r="A728" s="114"/>
      <c r="B728" s="114"/>
      <c r="C728" s="7"/>
      <c r="D728" s="114"/>
      <c r="E728" s="117"/>
      <c r="F728" s="117"/>
      <c r="G728" s="117"/>
      <c r="H728" s="114"/>
      <c r="I728" s="114"/>
      <c r="J728" s="114"/>
      <c r="K728" s="114"/>
      <c r="L728" s="114"/>
      <c r="M728" s="114"/>
      <c r="N728" s="88"/>
      <c r="O728" s="115"/>
      <c r="P728" s="114"/>
      <c r="Q728" s="114"/>
      <c r="R728" s="114"/>
      <c r="S728" s="114"/>
      <c r="T728" s="114"/>
      <c r="U728" s="114"/>
      <c r="V728" s="114"/>
      <c r="W728" s="114"/>
      <c r="X728" s="114"/>
      <c r="Y728" s="114"/>
      <c r="Z728" s="114"/>
      <c r="AA728" s="114"/>
      <c r="AB728" s="114"/>
    </row>
    <row r="729" spans="1:28" ht="12.75">
      <c r="A729" s="114"/>
      <c r="B729" s="114"/>
      <c r="C729" s="7"/>
      <c r="D729" s="114"/>
      <c r="E729" s="117"/>
      <c r="F729" s="117"/>
      <c r="G729" s="117"/>
      <c r="H729" s="114"/>
      <c r="I729" s="114"/>
      <c r="J729" s="114"/>
      <c r="K729" s="114"/>
      <c r="L729" s="114"/>
      <c r="M729" s="114"/>
      <c r="N729" s="88"/>
      <c r="O729" s="115"/>
      <c r="P729" s="114"/>
      <c r="Q729" s="114"/>
      <c r="R729" s="114"/>
      <c r="S729" s="114"/>
      <c r="T729" s="114"/>
      <c r="U729" s="114"/>
      <c r="V729" s="114"/>
      <c r="W729" s="114"/>
      <c r="X729" s="114"/>
      <c r="Y729" s="114"/>
      <c r="Z729" s="114"/>
      <c r="AA729" s="114"/>
      <c r="AB729" s="114"/>
    </row>
    <row r="730" spans="1:28" ht="12.75">
      <c r="A730" s="114"/>
      <c r="B730" s="114"/>
      <c r="C730" s="7"/>
      <c r="D730" s="114"/>
      <c r="E730" s="117"/>
      <c r="F730" s="117"/>
      <c r="G730" s="117"/>
      <c r="H730" s="114"/>
      <c r="I730" s="114"/>
      <c r="J730" s="114"/>
      <c r="K730" s="114"/>
      <c r="L730" s="114"/>
      <c r="M730" s="114"/>
      <c r="N730" s="88"/>
      <c r="O730" s="115"/>
      <c r="P730" s="114"/>
      <c r="Q730" s="114"/>
      <c r="R730" s="114"/>
      <c r="S730" s="114"/>
      <c r="T730" s="114"/>
      <c r="U730" s="114"/>
      <c r="V730" s="114"/>
      <c r="W730" s="114"/>
      <c r="X730" s="114"/>
      <c r="Y730" s="114"/>
      <c r="Z730" s="114"/>
      <c r="AA730" s="114"/>
      <c r="AB730" s="114"/>
    </row>
    <row r="731" spans="1:28" ht="12.75">
      <c r="A731" s="114"/>
      <c r="B731" s="114"/>
      <c r="C731" s="7"/>
      <c r="D731" s="114"/>
      <c r="E731" s="117"/>
      <c r="F731" s="117"/>
      <c r="G731" s="117"/>
      <c r="H731" s="114"/>
      <c r="I731" s="114"/>
      <c r="J731" s="114"/>
      <c r="K731" s="114"/>
      <c r="L731" s="114"/>
      <c r="M731" s="114"/>
      <c r="N731" s="88"/>
      <c r="O731" s="115"/>
      <c r="P731" s="114"/>
      <c r="Q731" s="114"/>
      <c r="R731" s="114"/>
      <c r="S731" s="114"/>
      <c r="T731" s="114"/>
      <c r="U731" s="114"/>
      <c r="V731" s="114"/>
      <c r="W731" s="114"/>
      <c r="X731" s="114"/>
      <c r="Y731" s="114"/>
      <c r="Z731" s="114"/>
      <c r="AA731" s="114"/>
      <c r="AB731" s="114"/>
    </row>
    <row r="732" spans="1:28" ht="12.75">
      <c r="A732" s="114"/>
      <c r="B732" s="114"/>
      <c r="C732" s="7"/>
      <c r="D732" s="114"/>
      <c r="E732" s="117"/>
      <c r="F732" s="117"/>
      <c r="G732" s="117"/>
      <c r="H732" s="114"/>
      <c r="I732" s="114"/>
      <c r="J732" s="114"/>
      <c r="K732" s="114"/>
      <c r="L732" s="114"/>
      <c r="M732" s="114"/>
      <c r="N732" s="88"/>
      <c r="O732" s="115"/>
      <c r="P732" s="114"/>
      <c r="Q732" s="114"/>
      <c r="R732" s="114"/>
      <c r="S732" s="114"/>
      <c r="T732" s="114"/>
      <c r="U732" s="114"/>
      <c r="V732" s="114"/>
      <c r="W732" s="114"/>
      <c r="X732" s="114"/>
      <c r="Y732" s="114"/>
      <c r="Z732" s="114"/>
      <c r="AA732" s="114"/>
      <c r="AB732" s="114"/>
    </row>
    <row r="733" spans="1:28" ht="12.75">
      <c r="A733" s="114"/>
      <c r="B733" s="114"/>
      <c r="C733" s="7"/>
      <c r="D733" s="114"/>
      <c r="E733" s="117"/>
      <c r="F733" s="117"/>
      <c r="G733" s="117"/>
      <c r="H733" s="114"/>
      <c r="I733" s="114"/>
      <c r="J733" s="114"/>
      <c r="K733" s="114"/>
      <c r="L733" s="114"/>
      <c r="M733" s="114"/>
      <c r="N733" s="88"/>
      <c r="O733" s="115"/>
      <c r="P733" s="114"/>
      <c r="Q733" s="114"/>
      <c r="R733" s="114"/>
      <c r="S733" s="114"/>
      <c r="T733" s="114"/>
      <c r="U733" s="114"/>
      <c r="V733" s="114"/>
      <c r="W733" s="114"/>
      <c r="X733" s="114"/>
      <c r="Y733" s="114"/>
      <c r="Z733" s="114"/>
      <c r="AA733" s="114"/>
      <c r="AB733" s="114"/>
    </row>
    <row r="734" spans="1:28" ht="12.75">
      <c r="A734" s="114"/>
      <c r="B734" s="114"/>
      <c r="C734" s="7"/>
      <c r="D734" s="114"/>
      <c r="E734" s="117"/>
      <c r="F734" s="117"/>
      <c r="G734" s="117"/>
      <c r="H734" s="114"/>
      <c r="I734" s="114"/>
      <c r="J734" s="114"/>
      <c r="K734" s="114"/>
      <c r="L734" s="114"/>
      <c r="M734" s="114"/>
      <c r="N734" s="88"/>
      <c r="O734" s="115"/>
      <c r="P734" s="114"/>
      <c r="Q734" s="114"/>
      <c r="R734" s="114"/>
      <c r="S734" s="114"/>
      <c r="T734" s="114"/>
      <c r="U734" s="114"/>
      <c r="V734" s="114"/>
      <c r="W734" s="114"/>
      <c r="X734" s="114"/>
      <c r="Y734" s="114"/>
      <c r="Z734" s="114"/>
      <c r="AA734" s="114"/>
      <c r="AB734" s="114"/>
    </row>
    <row r="735" spans="1:28" ht="12.75">
      <c r="A735" s="114"/>
      <c r="B735" s="114"/>
      <c r="C735" s="7"/>
      <c r="D735" s="114"/>
      <c r="E735" s="117"/>
      <c r="F735" s="117"/>
      <c r="G735" s="117"/>
      <c r="H735" s="114"/>
      <c r="I735" s="114"/>
      <c r="J735" s="114"/>
      <c r="K735" s="114"/>
      <c r="L735" s="114"/>
      <c r="M735" s="114"/>
      <c r="N735" s="88"/>
      <c r="O735" s="115"/>
      <c r="P735" s="114"/>
      <c r="Q735" s="114"/>
      <c r="R735" s="114"/>
      <c r="S735" s="114"/>
      <c r="T735" s="114"/>
      <c r="U735" s="114"/>
      <c r="V735" s="114"/>
      <c r="W735" s="114"/>
      <c r="X735" s="114"/>
      <c r="Y735" s="114"/>
      <c r="Z735" s="114"/>
      <c r="AA735" s="114"/>
      <c r="AB735" s="114"/>
    </row>
    <row r="736" spans="1:28" ht="12.75">
      <c r="A736" s="114"/>
      <c r="B736" s="114"/>
      <c r="C736" s="7"/>
      <c r="D736" s="114"/>
      <c r="E736" s="117"/>
      <c r="F736" s="117"/>
      <c r="G736" s="117"/>
      <c r="H736" s="114"/>
      <c r="I736" s="114"/>
      <c r="J736" s="114"/>
      <c r="K736" s="114"/>
      <c r="L736" s="114"/>
      <c r="M736" s="114"/>
      <c r="N736" s="88"/>
      <c r="O736" s="115"/>
      <c r="P736" s="114"/>
      <c r="Q736" s="114"/>
      <c r="R736" s="114"/>
      <c r="S736" s="114"/>
      <c r="T736" s="114"/>
      <c r="U736" s="114"/>
      <c r="V736" s="114"/>
      <c r="W736" s="114"/>
      <c r="X736" s="114"/>
      <c r="Y736" s="114"/>
      <c r="Z736" s="114"/>
      <c r="AA736" s="114"/>
      <c r="AB736" s="114"/>
    </row>
    <row r="737" spans="1:28" ht="12.75">
      <c r="A737" s="114"/>
      <c r="B737" s="114"/>
      <c r="C737" s="7"/>
      <c r="D737" s="114"/>
      <c r="E737" s="117"/>
      <c r="F737" s="117"/>
      <c r="G737" s="117"/>
      <c r="H737" s="114"/>
      <c r="I737" s="114"/>
      <c r="J737" s="114"/>
      <c r="K737" s="114"/>
      <c r="L737" s="114"/>
      <c r="M737" s="114"/>
      <c r="N737" s="88"/>
      <c r="O737" s="115"/>
      <c r="P737" s="114"/>
      <c r="Q737" s="114"/>
      <c r="R737" s="114"/>
      <c r="S737" s="114"/>
      <c r="T737" s="114"/>
      <c r="U737" s="114"/>
      <c r="V737" s="114"/>
      <c r="W737" s="114"/>
      <c r="X737" s="114"/>
      <c r="Y737" s="114"/>
      <c r="Z737" s="114"/>
      <c r="AA737" s="114"/>
      <c r="AB737" s="114"/>
    </row>
    <row r="738" spans="1:28" ht="12.75">
      <c r="A738" s="114"/>
      <c r="B738" s="114"/>
      <c r="C738" s="7"/>
      <c r="D738" s="114"/>
      <c r="E738" s="117"/>
      <c r="F738" s="117"/>
      <c r="G738" s="117"/>
      <c r="H738" s="114"/>
      <c r="I738" s="114"/>
      <c r="J738" s="114"/>
      <c r="K738" s="114"/>
      <c r="L738" s="114"/>
      <c r="M738" s="114"/>
      <c r="N738" s="88"/>
      <c r="O738" s="115"/>
      <c r="P738" s="114"/>
      <c r="Q738" s="114"/>
      <c r="R738" s="114"/>
      <c r="S738" s="114"/>
      <c r="T738" s="114"/>
      <c r="U738" s="114"/>
      <c r="V738" s="114"/>
      <c r="W738" s="114"/>
      <c r="X738" s="114"/>
      <c r="Y738" s="114"/>
      <c r="Z738" s="114"/>
      <c r="AA738" s="114"/>
      <c r="AB738" s="114"/>
    </row>
    <row r="739" spans="1:28" ht="12.75">
      <c r="A739" s="114"/>
      <c r="B739" s="114"/>
      <c r="C739" s="7"/>
      <c r="D739" s="114"/>
      <c r="E739" s="117"/>
      <c r="F739" s="117"/>
      <c r="G739" s="117"/>
      <c r="H739" s="114"/>
      <c r="I739" s="114"/>
      <c r="J739" s="114"/>
      <c r="K739" s="114"/>
      <c r="L739" s="114"/>
      <c r="M739" s="114"/>
      <c r="N739" s="88"/>
      <c r="O739" s="115"/>
      <c r="P739" s="114"/>
      <c r="Q739" s="114"/>
      <c r="R739" s="114"/>
      <c r="S739" s="114"/>
      <c r="T739" s="114"/>
      <c r="U739" s="114"/>
      <c r="V739" s="114"/>
      <c r="W739" s="114"/>
      <c r="X739" s="114"/>
      <c r="Y739" s="114"/>
      <c r="Z739" s="114"/>
      <c r="AA739" s="114"/>
      <c r="AB739" s="114"/>
    </row>
    <row r="740" spans="1:28" ht="12.75">
      <c r="A740" s="114"/>
      <c r="B740" s="114"/>
      <c r="C740" s="7"/>
      <c r="D740" s="114"/>
      <c r="E740" s="117"/>
      <c r="F740" s="117"/>
      <c r="G740" s="117"/>
      <c r="H740" s="114"/>
      <c r="I740" s="114"/>
      <c r="J740" s="114"/>
      <c r="K740" s="114"/>
      <c r="L740" s="114"/>
      <c r="M740" s="114"/>
      <c r="N740" s="88"/>
      <c r="O740" s="115"/>
      <c r="P740" s="114"/>
      <c r="Q740" s="114"/>
      <c r="R740" s="114"/>
      <c r="S740" s="114"/>
      <c r="T740" s="114"/>
      <c r="U740" s="114"/>
      <c r="V740" s="114"/>
      <c r="W740" s="114"/>
      <c r="X740" s="114"/>
      <c r="Y740" s="114"/>
      <c r="Z740" s="114"/>
      <c r="AA740" s="114"/>
      <c r="AB740" s="114"/>
    </row>
    <row r="741" spans="1:28" ht="12.75">
      <c r="A741" s="114"/>
      <c r="B741" s="114"/>
      <c r="C741" s="7"/>
      <c r="D741" s="114"/>
      <c r="E741" s="117"/>
      <c r="F741" s="117"/>
      <c r="G741" s="117"/>
      <c r="H741" s="114"/>
      <c r="I741" s="114"/>
      <c r="J741" s="114"/>
      <c r="K741" s="114"/>
      <c r="L741" s="114"/>
      <c r="M741" s="114"/>
      <c r="N741" s="88"/>
      <c r="O741" s="115"/>
      <c r="P741" s="114"/>
      <c r="Q741" s="114"/>
      <c r="R741" s="114"/>
      <c r="S741" s="114"/>
      <c r="T741" s="114"/>
      <c r="U741" s="114"/>
      <c r="V741" s="114"/>
      <c r="W741" s="114"/>
      <c r="X741" s="114"/>
      <c r="Y741" s="114"/>
      <c r="Z741" s="114"/>
      <c r="AA741" s="114"/>
      <c r="AB741" s="114"/>
    </row>
    <row r="742" spans="1:28" ht="12.75">
      <c r="A742" s="114"/>
      <c r="B742" s="114"/>
      <c r="C742" s="7"/>
      <c r="D742" s="114"/>
      <c r="E742" s="117"/>
      <c r="F742" s="117"/>
      <c r="G742" s="117"/>
      <c r="H742" s="114"/>
      <c r="I742" s="114"/>
      <c r="J742" s="114"/>
      <c r="K742" s="114"/>
      <c r="L742" s="114"/>
      <c r="M742" s="114"/>
      <c r="N742" s="88"/>
      <c r="O742" s="115"/>
      <c r="P742" s="114"/>
      <c r="Q742" s="114"/>
      <c r="R742" s="114"/>
      <c r="S742" s="114"/>
      <c r="T742" s="114"/>
      <c r="U742" s="114"/>
      <c r="V742" s="114"/>
      <c r="W742" s="114"/>
      <c r="X742" s="114"/>
      <c r="Y742" s="114"/>
      <c r="Z742" s="114"/>
      <c r="AA742" s="114"/>
      <c r="AB742" s="114"/>
    </row>
    <row r="743" spans="1:28" ht="12.75">
      <c r="A743" s="114"/>
      <c r="B743" s="114"/>
      <c r="C743" s="7"/>
      <c r="D743" s="114"/>
      <c r="E743" s="117"/>
      <c r="F743" s="117"/>
      <c r="G743" s="117"/>
      <c r="H743" s="114"/>
      <c r="I743" s="114"/>
      <c r="J743" s="114"/>
      <c r="K743" s="114"/>
      <c r="L743" s="114"/>
      <c r="M743" s="114"/>
      <c r="N743" s="88"/>
      <c r="O743" s="115"/>
      <c r="P743" s="114"/>
      <c r="Q743" s="114"/>
      <c r="R743" s="114"/>
      <c r="S743" s="114"/>
      <c r="T743" s="114"/>
      <c r="U743" s="114"/>
      <c r="V743" s="114"/>
      <c r="W743" s="114"/>
      <c r="X743" s="114"/>
      <c r="Y743" s="114"/>
      <c r="Z743" s="114"/>
      <c r="AA743" s="114"/>
      <c r="AB743" s="114"/>
    </row>
    <row r="744" spans="1:28" ht="12.75">
      <c r="A744" s="114"/>
      <c r="B744" s="114"/>
      <c r="C744" s="7"/>
      <c r="D744" s="114"/>
      <c r="E744" s="117"/>
      <c r="F744" s="117"/>
      <c r="G744" s="117"/>
      <c r="H744" s="114"/>
      <c r="I744" s="114"/>
      <c r="J744" s="114"/>
      <c r="K744" s="114"/>
      <c r="L744" s="114"/>
      <c r="M744" s="114"/>
      <c r="N744" s="88"/>
      <c r="O744" s="115"/>
      <c r="P744" s="114"/>
      <c r="Q744" s="114"/>
      <c r="R744" s="114"/>
      <c r="S744" s="114"/>
      <c r="T744" s="114"/>
      <c r="U744" s="114"/>
      <c r="V744" s="114"/>
      <c r="W744" s="114"/>
      <c r="X744" s="114"/>
      <c r="Y744" s="114"/>
      <c r="Z744" s="114"/>
      <c r="AA744" s="114"/>
      <c r="AB744" s="114"/>
    </row>
    <row r="745" spans="1:28" ht="12.75">
      <c r="A745" s="114"/>
      <c r="B745" s="114"/>
      <c r="C745" s="7"/>
      <c r="D745" s="114"/>
      <c r="E745" s="117"/>
      <c r="F745" s="117"/>
      <c r="G745" s="117"/>
      <c r="H745" s="114"/>
      <c r="I745" s="114"/>
      <c r="J745" s="114"/>
      <c r="K745" s="114"/>
      <c r="L745" s="114"/>
      <c r="M745" s="114"/>
      <c r="N745" s="88"/>
      <c r="O745" s="115"/>
      <c r="P745" s="114"/>
      <c r="Q745" s="114"/>
      <c r="R745" s="114"/>
      <c r="S745" s="114"/>
      <c r="T745" s="114"/>
      <c r="U745" s="114"/>
      <c r="V745" s="114"/>
      <c r="W745" s="114"/>
      <c r="X745" s="114"/>
      <c r="Y745" s="114"/>
      <c r="Z745" s="114"/>
      <c r="AA745" s="114"/>
      <c r="AB745" s="114"/>
    </row>
    <row r="746" spans="1:28" ht="12.75">
      <c r="A746" s="114"/>
      <c r="B746" s="114"/>
      <c r="C746" s="7"/>
      <c r="D746" s="114"/>
      <c r="E746" s="117"/>
      <c r="F746" s="117"/>
      <c r="G746" s="117"/>
      <c r="H746" s="114"/>
      <c r="I746" s="114"/>
      <c r="J746" s="114"/>
      <c r="K746" s="114"/>
      <c r="L746" s="114"/>
      <c r="M746" s="114"/>
      <c r="N746" s="88"/>
      <c r="O746" s="115"/>
      <c r="P746" s="114"/>
      <c r="Q746" s="114"/>
      <c r="R746" s="114"/>
      <c r="S746" s="114"/>
      <c r="T746" s="114"/>
      <c r="U746" s="114"/>
      <c r="V746" s="114"/>
      <c r="W746" s="114"/>
      <c r="X746" s="114"/>
      <c r="Y746" s="114"/>
      <c r="Z746" s="114"/>
      <c r="AA746" s="114"/>
      <c r="AB746" s="114"/>
    </row>
    <row r="747" spans="1:28" ht="12.75">
      <c r="A747" s="114"/>
      <c r="B747" s="114"/>
      <c r="C747" s="7"/>
      <c r="D747" s="114"/>
      <c r="E747" s="117"/>
      <c r="F747" s="117"/>
      <c r="G747" s="117"/>
      <c r="H747" s="114"/>
      <c r="I747" s="114"/>
      <c r="J747" s="114"/>
      <c r="K747" s="114"/>
      <c r="L747" s="114"/>
      <c r="M747" s="114"/>
      <c r="N747" s="88"/>
      <c r="O747" s="115"/>
      <c r="P747" s="114"/>
      <c r="Q747" s="114"/>
      <c r="R747" s="114"/>
      <c r="S747" s="114"/>
      <c r="T747" s="114"/>
      <c r="U747" s="114"/>
      <c r="V747" s="114"/>
      <c r="W747" s="114"/>
      <c r="X747" s="114"/>
      <c r="Y747" s="114"/>
      <c r="Z747" s="114"/>
      <c r="AA747" s="114"/>
      <c r="AB747" s="114"/>
    </row>
    <row r="748" spans="1:28" ht="12.75">
      <c r="A748" s="114"/>
      <c r="B748" s="114"/>
      <c r="C748" s="7"/>
      <c r="D748" s="114"/>
      <c r="E748" s="117"/>
      <c r="F748" s="117"/>
      <c r="G748" s="117"/>
      <c r="H748" s="114"/>
      <c r="I748" s="114"/>
      <c r="J748" s="114"/>
      <c r="K748" s="114"/>
      <c r="L748" s="114"/>
      <c r="M748" s="114"/>
      <c r="N748" s="88"/>
      <c r="O748" s="115"/>
      <c r="P748" s="114"/>
      <c r="Q748" s="114"/>
      <c r="R748" s="114"/>
      <c r="S748" s="114"/>
      <c r="T748" s="114"/>
      <c r="U748" s="114"/>
      <c r="V748" s="114"/>
      <c r="W748" s="114"/>
      <c r="X748" s="114"/>
      <c r="Y748" s="114"/>
      <c r="Z748" s="114"/>
      <c r="AA748" s="114"/>
      <c r="AB748" s="114"/>
    </row>
    <row r="749" spans="1:28" ht="12.75">
      <c r="A749" s="114"/>
      <c r="B749" s="114"/>
      <c r="C749" s="7"/>
      <c r="D749" s="114"/>
      <c r="E749" s="117"/>
      <c r="F749" s="117"/>
      <c r="G749" s="117"/>
      <c r="H749" s="114"/>
      <c r="I749" s="114"/>
      <c r="J749" s="114"/>
      <c r="K749" s="114"/>
      <c r="L749" s="114"/>
      <c r="M749" s="114"/>
      <c r="N749" s="88"/>
      <c r="O749" s="115"/>
      <c r="P749" s="114"/>
      <c r="Q749" s="114"/>
      <c r="R749" s="114"/>
      <c r="S749" s="114"/>
      <c r="T749" s="114"/>
      <c r="U749" s="114"/>
      <c r="V749" s="114"/>
      <c r="W749" s="114"/>
      <c r="X749" s="114"/>
      <c r="Y749" s="114"/>
      <c r="Z749" s="114"/>
      <c r="AA749" s="114"/>
      <c r="AB749" s="114"/>
    </row>
    <row r="750" spans="1:28" ht="12.75">
      <c r="A750" s="114"/>
      <c r="B750" s="114"/>
      <c r="C750" s="7"/>
      <c r="D750" s="114"/>
      <c r="E750" s="117"/>
      <c r="F750" s="117"/>
      <c r="G750" s="117"/>
      <c r="H750" s="114"/>
      <c r="I750" s="114"/>
      <c r="J750" s="114"/>
      <c r="K750" s="114"/>
      <c r="L750" s="114"/>
      <c r="M750" s="114"/>
      <c r="N750" s="88"/>
      <c r="O750" s="115"/>
      <c r="P750" s="114"/>
      <c r="Q750" s="114"/>
      <c r="R750" s="114"/>
      <c r="S750" s="114"/>
      <c r="T750" s="114"/>
      <c r="U750" s="114"/>
      <c r="V750" s="114"/>
      <c r="W750" s="114"/>
      <c r="X750" s="114"/>
      <c r="Y750" s="114"/>
      <c r="Z750" s="114"/>
      <c r="AA750" s="114"/>
      <c r="AB750" s="114"/>
    </row>
    <row r="751" spans="1:28" ht="12.75">
      <c r="A751" s="114"/>
      <c r="B751" s="114"/>
      <c r="C751" s="7"/>
      <c r="D751" s="114"/>
      <c r="E751" s="117"/>
      <c r="F751" s="117"/>
      <c r="G751" s="117"/>
      <c r="H751" s="114"/>
      <c r="I751" s="114"/>
      <c r="J751" s="114"/>
      <c r="K751" s="114"/>
      <c r="L751" s="114"/>
      <c r="M751" s="114"/>
      <c r="N751" s="88"/>
      <c r="O751" s="115"/>
      <c r="P751" s="114"/>
      <c r="Q751" s="114"/>
      <c r="R751" s="114"/>
      <c r="S751" s="114"/>
      <c r="T751" s="114"/>
      <c r="U751" s="114"/>
      <c r="V751" s="114"/>
      <c r="W751" s="114"/>
      <c r="X751" s="114"/>
      <c r="Y751" s="114"/>
      <c r="Z751" s="114"/>
      <c r="AA751" s="114"/>
      <c r="AB751" s="114"/>
    </row>
    <row r="752" spans="1:28" ht="12.75">
      <c r="A752" s="114"/>
      <c r="B752" s="114"/>
      <c r="C752" s="7"/>
      <c r="D752" s="114"/>
      <c r="E752" s="117"/>
      <c r="F752" s="117"/>
      <c r="G752" s="117"/>
      <c r="H752" s="114"/>
      <c r="I752" s="114"/>
      <c r="J752" s="114"/>
      <c r="K752" s="114"/>
      <c r="L752" s="114"/>
      <c r="M752" s="114"/>
      <c r="N752" s="88"/>
      <c r="O752" s="115"/>
      <c r="P752" s="114"/>
      <c r="Q752" s="114"/>
      <c r="R752" s="114"/>
      <c r="S752" s="114"/>
      <c r="T752" s="114"/>
      <c r="U752" s="114"/>
      <c r="V752" s="114"/>
      <c r="W752" s="114"/>
      <c r="X752" s="114"/>
      <c r="Y752" s="114"/>
      <c r="Z752" s="114"/>
      <c r="AA752" s="114"/>
      <c r="AB752" s="114"/>
    </row>
    <row r="753" spans="1:28" ht="12.75">
      <c r="A753" s="114"/>
      <c r="B753" s="114"/>
      <c r="C753" s="7"/>
      <c r="D753" s="114"/>
      <c r="E753" s="117"/>
      <c r="F753" s="117"/>
      <c r="G753" s="117"/>
      <c r="H753" s="114"/>
      <c r="I753" s="114"/>
      <c r="J753" s="114"/>
      <c r="K753" s="114"/>
      <c r="L753" s="114"/>
      <c r="M753" s="114"/>
      <c r="N753" s="88"/>
      <c r="O753" s="115"/>
      <c r="P753" s="114"/>
      <c r="Q753" s="114"/>
      <c r="R753" s="114"/>
      <c r="S753" s="114"/>
      <c r="T753" s="114"/>
      <c r="U753" s="114"/>
      <c r="V753" s="114"/>
      <c r="W753" s="114"/>
      <c r="X753" s="114"/>
      <c r="Y753" s="114"/>
      <c r="Z753" s="114"/>
      <c r="AA753" s="114"/>
      <c r="AB753" s="114"/>
    </row>
    <row r="754" spans="1:28" ht="12.75">
      <c r="A754" s="114"/>
      <c r="B754" s="114"/>
      <c r="C754" s="7"/>
      <c r="D754" s="114"/>
      <c r="E754" s="117"/>
      <c r="F754" s="117"/>
      <c r="G754" s="117"/>
      <c r="H754" s="114"/>
      <c r="I754" s="114"/>
      <c r="J754" s="114"/>
      <c r="K754" s="114"/>
      <c r="L754" s="114"/>
      <c r="M754" s="114"/>
      <c r="N754" s="88"/>
      <c r="O754" s="115"/>
      <c r="P754" s="114"/>
      <c r="Q754" s="114"/>
      <c r="R754" s="114"/>
      <c r="S754" s="114"/>
      <c r="T754" s="114"/>
      <c r="U754" s="114"/>
      <c r="V754" s="114"/>
      <c r="W754" s="114"/>
      <c r="X754" s="114"/>
      <c r="Y754" s="114"/>
      <c r="Z754" s="114"/>
      <c r="AA754" s="114"/>
      <c r="AB754" s="114"/>
    </row>
    <row r="755" spans="1:28" ht="12.75">
      <c r="A755" s="114"/>
      <c r="B755" s="114"/>
      <c r="C755" s="7"/>
      <c r="D755" s="114"/>
      <c r="E755" s="117"/>
      <c r="F755" s="117"/>
      <c r="G755" s="117"/>
      <c r="H755" s="114"/>
      <c r="I755" s="114"/>
      <c r="J755" s="114"/>
      <c r="K755" s="114"/>
      <c r="L755" s="114"/>
      <c r="M755" s="114"/>
      <c r="N755" s="88"/>
      <c r="O755" s="115"/>
      <c r="P755" s="114"/>
      <c r="Q755" s="114"/>
      <c r="R755" s="114"/>
      <c r="S755" s="114"/>
      <c r="T755" s="114"/>
      <c r="U755" s="114"/>
      <c r="V755" s="114"/>
      <c r="W755" s="114"/>
      <c r="X755" s="114"/>
      <c r="Y755" s="114"/>
      <c r="Z755" s="114"/>
      <c r="AA755" s="114"/>
      <c r="AB755" s="114"/>
    </row>
    <row r="756" spans="1:28" ht="12.75">
      <c r="A756" s="114"/>
      <c r="B756" s="114"/>
      <c r="C756" s="7"/>
      <c r="D756" s="114"/>
      <c r="E756" s="117"/>
      <c r="F756" s="117"/>
      <c r="G756" s="117"/>
      <c r="H756" s="114"/>
      <c r="I756" s="114"/>
      <c r="J756" s="114"/>
      <c r="K756" s="114"/>
      <c r="L756" s="114"/>
      <c r="M756" s="114"/>
      <c r="N756" s="88"/>
      <c r="O756" s="115"/>
      <c r="P756" s="114"/>
      <c r="Q756" s="114"/>
      <c r="R756" s="114"/>
      <c r="S756" s="114"/>
      <c r="T756" s="114"/>
      <c r="U756" s="114"/>
      <c r="V756" s="114"/>
      <c r="W756" s="114"/>
      <c r="X756" s="114"/>
      <c r="Y756" s="114"/>
      <c r="Z756" s="114"/>
      <c r="AA756" s="114"/>
      <c r="AB756" s="114"/>
    </row>
    <row r="757" spans="1:28" ht="12.75">
      <c r="A757" s="114"/>
      <c r="B757" s="114"/>
      <c r="C757" s="7"/>
      <c r="D757" s="114"/>
      <c r="E757" s="117"/>
      <c r="F757" s="117"/>
      <c r="G757" s="117"/>
      <c r="H757" s="114"/>
      <c r="I757" s="114"/>
      <c r="J757" s="114"/>
      <c r="K757" s="114"/>
      <c r="L757" s="114"/>
      <c r="M757" s="114"/>
      <c r="N757" s="88"/>
      <c r="O757" s="115"/>
      <c r="P757" s="114"/>
      <c r="Q757" s="114"/>
      <c r="R757" s="114"/>
      <c r="S757" s="114"/>
      <c r="T757" s="114"/>
      <c r="U757" s="114"/>
      <c r="V757" s="114"/>
      <c r="W757" s="114"/>
      <c r="X757" s="114"/>
      <c r="Y757" s="114"/>
      <c r="Z757" s="114"/>
      <c r="AA757" s="114"/>
      <c r="AB757" s="114"/>
    </row>
    <row r="758" spans="1:28" ht="12.75">
      <c r="A758" s="114"/>
      <c r="B758" s="114"/>
      <c r="C758" s="7"/>
      <c r="D758" s="114"/>
      <c r="E758" s="117"/>
      <c r="F758" s="117"/>
      <c r="G758" s="117"/>
      <c r="H758" s="114"/>
      <c r="I758" s="114"/>
      <c r="J758" s="114"/>
      <c r="K758" s="114"/>
      <c r="L758" s="114"/>
      <c r="M758" s="114"/>
      <c r="N758" s="88"/>
      <c r="O758" s="115"/>
      <c r="P758" s="114"/>
      <c r="Q758" s="114"/>
      <c r="R758" s="114"/>
      <c r="S758" s="114"/>
      <c r="T758" s="114"/>
      <c r="U758" s="114"/>
      <c r="V758" s="114"/>
      <c r="W758" s="114"/>
      <c r="X758" s="114"/>
      <c r="Y758" s="114"/>
      <c r="Z758" s="114"/>
      <c r="AA758" s="114"/>
      <c r="AB758" s="114"/>
    </row>
    <row r="759" spans="1:28" ht="12.75">
      <c r="A759" s="114"/>
      <c r="B759" s="114"/>
      <c r="C759" s="7"/>
      <c r="D759" s="114"/>
      <c r="E759" s="117"/>
      <c r="F759" s="117"/>
      <c r="G759" s="117"/>
      <c r="H759" s="114"/>
      <c r="I759" s="114"/>
      <c r="J759" s="114"/>
      <c r="K759" s="114"/>
      <c r="L759" s="114"/>
      <c r="M759" s="114"/>
      <c r="N759" s="88"/>
      <c r="O759" s="115"/>
      <c r="P759" s="114"/>
      <c r="Q759" s="114"/>
      <c r="R759" s="114"/>
      <c r="S759" s="114"/>
      <c r="T759" s="114"/>
      <c r="U759" s="114"/>
      <c r="V759" s="114"/>
      <c r="W759" s="114"/>
      <c r="X759" s="114"/>
      <c r="Y759" s="114"/>
      <c r="Z759" s="114"/>
      <c r="AA759" s="114"/>
      <c r="AB759" s="114"/>
    </row>
    <row r="760" spans="1:28" ht="12.75">
      <c r="A760" s="114"/>
      <c r="B760" s="114"/>
      <c r="C760" s="7"/>
      <c r="D760" s="114"/>
      <c r="E760" s="117"/>
      <c r="F760" s="117"/>
      <c r="G760" s="117"/>
      <c r="H760" s="114"/>
      <c r="I760" s="114"/>
      <c r="J760" s="114"/>
      <c r="K760" s="114"/>
      <c r="L760" s="114"/>
      <c r="M760" s="114"/>
      <c r="N760" s="88"/>
      <c r="O760" s="115"/>
      <c r="P760" s="114"/>
      <c r="Q760" s="114"/>
      <c r="R760" s="114"/>
      <c r="S760" s="114"/>
      <c r="T760" s="114"/>
      <c r="U760" s="114"/>
      <c r="V760" s="114"/>
      <c r="W760" s="114"/>
      <c r="X760" s="114"/>
      <c r="Y760" s="114"/>
      <c r="Z760" s="114"/>
      <c r="AA760" s="114"/>
      <c r="AB760" s="114"/>
    </row>
    <row r="761" spans="1:28" ht="12.75">
      <c r="A761" s="114"/>
      <c r="B761" s="114"/>
      <c r="C761" s="7"/>
      <c r="D761" s="114"/>
      <c r="E761" s="117"/>
      <c r="F761" s="117"/>
      <c r="G761" s="117"/>
      <c r="H761" s="114"/>
      <c r="I761" s="114"/>
      <c r="J761" s="114"/>
      <c r="K761" s="114"/>
      <c r="L761" s="114"/>
      <c r="M761" s="114"/>
      <c r="N761" s="88"/>
      <c r="O761" s="115"/>
      <c r="P761" s="114"/>
      <c r="Q761" s="114"/>
      <c r="R761" s="114"/>
      <c r="S761" s="114"/>
      <c r="T761" s="114"/>
      <c r="U761" s="114"/>
      <c r="V761" s="114"/>
      <c r="W761" s="114"/>
      <c r="X761" s="114"/>
      <c r="Y761" s="114"/>
      <c r="Z761" s="114"/>
      <c r="AA761" s="114"/>
      <c r="AB761" s="114"/>
    </row>
    <row r="762" spans="1:28" ht="12.75">
      <c r="A762" s="114"/>
      <c r="B762" s="114"/>
      <c r="C762" s="7"/>
      <c r="D762" s="114"/>
      <c r="E762" s="117"/>
      <c r="F762" s="117"/>
      <c r="G762" s="117"/>
      <c r="H762" s="114"/>
      <c r="I762" s="114"/>
      <c r="J762" s="114"/>
      <c r="K762" s="114"/>
      <c r="L762" s="114"/>
      <c r="M762" s="114"/>
      <c r="N762" s="88"/>
      <c r="O762" s="115"/>
      <c r="P762" s="114"/>
      <c r="Q762" s="114"/>
      <c r="R762" s="114"/>
      <c r="S762" s="114"/>
      <c r="T762" s="114"/>
      <c r="U762" s="114"/>
      <c r="V762" s="114"/>
      <c r="W762" s="114"/>
      <c r="X762" s="114"/>
      <c r="Y762" s="114"/>
      <c r="Z762" s="114"/>
      <c r="AA762" s="114"/>
      <c r="AB762" s="114"/>
    </row>
    <row r="763" spans="1:28" ht="12.75">
      <c r="A763" s="114"/>
      <c r="B763" s="114"/>
      <c r="C763" s="7"/>
      <c r="D763" s="114"/>
      <c r="E763" s="117"/>
      <c r="F763" s="117"/>
      <c r="G763" s="117"/>
      <c r="H763" s="114"/>
      <c r="I763" s="114"/>
      <c r="J763" s="114"/>
      <c r="K763" s="114"/>
      <c r="L763" s="114"/>
      <c r="M763" s="114"/>
      <c r="N763" s="88"/>
      <c r="O763" s="115"/>
      <c r="P763" s="114"/>
      <c r="Q763" s="114"/>
      <c r="R763" s="114"/>
      <c r="S763" s="114"/>
      <c r="T763" s="114"/>
      <c r="U763" s="114"/>
      <c r="V763" s="114"/>
      <c r="W763" s="114"/>
      <c r="X763" s="114"/>
      <c r="Y763" s="114"/>
      <c r="Z763" s="114"/>
      <c r="AA763" s="114"/>
      <c r="AB763" s="114"/>
    </row>
    <row r="764" spans="1:28" ht="12.75">
      <c r="A764" s="114"/>
      <c r="B764" s="114"/>
      <c r="C764" s="7"/>
      <c r="D764" s="114"/>
      <c r="E764" s="117"/>
      <c r="F764" s="117"/>
      <c r="G764" s="117"/>
      <c r="H764" s="114"/>
      <c r="I764" s="114"/>
      <c r="J764" s="114"/>
      <c r="K764" s="114"/>
      <c r="L764" s="114"/>
      <c r="M764" s="114"/>
      <c r="N764" s="88"/>
      <c r="O764" s="115"/>
      <c r="P764" s="114"/>
      <c r="Q764" s="114"/>
      <c r="R764" s="114"/>
      <c r="S764" s="114"/>
      <c r="T764" s="114"/>
      <c r="U764" s="114"/>
      <c r="V764" s="114"/>
      <c r="W764" s="114"/>
      <c r="X764" s="114"/>
      <c r="Y764" s="114"/>
      <c r="Z764" s="114"/>
      <c r="AA764" s="114"/>
      <c r="AB764" s="114"/>
    </row>
    <row r="765" spans="1:28" ht="12.75">
      <c r="A765" s="114"/>
      <c r="B765" s="114"/>
      <c r="C765" s="7"/>
      <c r="D765" s="114"/>
      <c r="E765" s="117"/>
      <c r="F765" s="117"/>
      <c r="G765" s="117"/>
      <c r="H765" s="114"/>
      <c r="I765" s="114"/>
      <c r="J765" s="114"/>
      <c r="K765" s="114"/>
      <c r="L765" s="114"/>
      <c r="M765" s="114"/>
      <c r="N765" s="88"/>
      <c r="O765" s="115"/>
      <c r="P765" s="114"/>
      <c r="Q765" s="114"/>
      <c r="R765" s="114"/>
      <c r="S765" s="114"/>
      <c r="T765" s="114"/>
      <c r="U765" s="114"/>
      <c r="V765" s="114"/>
      <c r="W765" s="114"/>
      <c r="X765" s="114"/>
      <c r="Y765" s="114"/>
      <c r="Z765" s="114"/>
      <c r="AA765" s="114"/>
      <c r="AB765" s="114"/>
    </row>
    <row r="766" spans="1:28" ht="12.75">
      <c r="A766" s="114"/>
      <c r="B766" s="114"/>
      <c r="C766" s="7"/>
      <c r="D766" s="114"/>
      <c r="E766" s="117"/>
      <c r="F766" s="117"/>
      <c r="G766" s="117"/>
      <c r="H766" s="114"/>
      <c r="I766" s="114"/>
      <c r="J766" s="114"/>
      <c r="K766" s="114"/>
      <c r="L766" s="114"/>
      <c r="M766" s="114"/>
      <c r="N766" s="88"/>
      <c r="O766" s="115"/>
      <c r="P766" s="114"/>
      <c r="Q766" s="114"/>
      <c r="R766" s="114"/>
      <c r="S766" s="114"/>
      <c r="T766" s="114"/>
      <c r="U766" s="114"/>
      <c r="V766" s="114"/>
      <c r="W766" s="114"/>
      <c r="X766" s="114"/>
      <c r="Y766" s="114"/>
      <c r="Z766" s="114"/>
      <c r="AA766" s="114"/>
      <c r="AB766" s="114"/>
    </row>
    <row r="767" spans="1:28" ht="12.75">
      <c r="A767" s="114"/>
      <c r="B767" s="114"/>
      <c r="C767" s="7"/>
      <c r="D767" s="114"/>
      <c r="E767" s="117"/>
      <c r="F767" s="117"/>
      <c r="G767" s="117"/>
      <c r="H767" s="114"/>
      <c r="I767" s="114"/>
      <c r="J767" s="114"/>
      <c r="K767" s="114"/>
      <c r="L767" s="114"/>
      <c r="M767" s="114"/>
      <c r="N767" s="88"/>
      <c r="O767" s="115"/>
      <c r="P767" s="114"/>
      <c r="Q767" s="114"/>
      <c r="R767" s="114"/>
      <c r="S767" s="114"/>
      <c r="T767" s="114"/>
      <c r="U767" s="114"/>
      <c r="V767" s="114"/>
      <c r="W767" s="114"/>
      <c r="X767" s="114"/>
      <c r="Y767" s="114"/>
      <c r="Z767" s="114"/>
      <c r="AA767" s="114"/>
      <c r="AB767" s="114"/>
    </row>
    <row r="768" spans="1:28" ht="12.75">
      <c r="A768" s="114"/>
      <c r="B768" s="114"/>
      <c r="C768" s="7"/>
      <c r="D768" s="114"/>
      <c r="E768" s="117"/>
      <c r="F768" s="117"/>
      <c r="G768" s="117"/>
      <c r="H768" s="114"/>
      <c r="I768" s="114"/>
      <c r="J768" s="114"/>
      <c r="K768" s="114"/>
      <c r="L768" s="114"/>
      <c r="M768" s="114"/>
      <c r="N768" s="88"/>
      <c r="O768" s="115"/>
      <c r="P768" s="114"/>
      <c r="Q768" s="114"/>
      <c r="R768" s="114"/>
      <c r="S768" s="114"/>
      <c r="T768" s="114"/>
      <c r="U768" s="114"/>
      <c r="V768" s="114"/>
      <c r="W768" s="114"/>
      <c r="X768" s="114"/>
      <c r="Y768" s="114"/>
      <c r="Z768" s="114"/>
      <c r="AA768" s="114"/>
      <c r="AB768" s="114"/>
    </row>
    <row r="769" spans="1:28" ht="12.75">
      <c r="A769" s="114"/>
      <c r="B769" s="114"/>
      <c r="C769" s="7"/>
      <c r="D769" s="114"/>
      <c r="E769" s="117"/>
      <c r="F769" s="117"/>
      <c r="G769" s="117"/>
      <c r="H769" s="114"/>
      <c r="I769" s="114"/>
      <c r="J769" s="114"/>
      <c r="K769" s="114"/>
      <c r="L769" s="114"/>
      <c r="M769" s="114"/>
      <c r="N769" s="88"/>
      <c r="O769" s="115"/>
      <c r="P769" s="114"/>
      <c r="Q769" s="114"/>
      <c r="R769" s="114"/>
      <c r="S769" s="114"/>
      <c r="T769" s="114"/>
      <c r="U769" s="114"/>
      <c r="V769" s="114"/>
      <c r="W769" s="114"/>
      <c r="X769" s="114"/>
      <c r="Y769" s="114"/>
      <c r="Z769" s="114"/>
      <c r="AA769" s="114"/>
      <c r="AB769" s="114"/>
    </row>
    <row r="770" spans="1:28" ht="12.75">
      <c r="A770" s="114"/>
      <c r="B770" s="114"/>
      <c r="C770" s="7"/>
      <c r="D770" s="114"/>
      <c r="E770" s="117"/>
      <c r="F770" s="117"/>
      <c r="G770" s="117"/>
      <c r="H770" s="114"/>
      <c r="I770" s="114"/>
      <c r="J770" s="114"/>
      <c r="K770" s="114"/>
      <c r="L770" s="114"/>
      <c r="M770" s="114"/>
      <c r="N770" s="88"/>
      <c r="O770" s="115"/>
      <c r="P770" s="114"/>
      <c r="Q770" s="114"/>
      <c r="R770" s="114"/>
      <c r="S770" s="114"/>
      <c r="T770" s="114"/>
      <c r="U770" s="114"/>
      <c r="V770" s="114"/>
      <c r="W770" s="114"/>
      <c r="X770" s="114"/>
      <c r="Y770" s="114"/>
      <c r="Z770" s="114"/>
      <c r="AA770" s="114"/>
      <c r="AB770" s="114"/>
    </row>
    <row r="771" spans="1:28" ht="12.75">
      <c r="A771" s="114"/>
      <c r="B771" s="114"/>
      <c r="C771" s="7"/>
      <c r="D771" s="114"/>
      <c r="E771" s="117"/>
      <c r="F771" s="117"/>
      <c r="G771" s="117"/>
      <c r="H771" s="114"/>
      <c r="I771" s="114"/>
      <c r="J771" s="114"/>
      <c r="K771" s="114"/>
      <c r="L771" s="114"/>
      <c r="M771" s="114"/>
      <c r="N771" s="88"/>
      <c r="O771" s="115"/>
      <c r="P771" s="114"/>
      <c r="Q771" s="114"/>
      <c r="R771" s="114"/>
      <c r="S771" s="114"/>
      <c r="T771" s="114"/>
      <c r="U771" s="114"/>
      <c r="V771" s="114"/>
      <c r="W771" s="114"/>
      <c r="X771" s="114"/>
      <c r="Y771" s="114"/>
      <c r="Z771" s="114"/>
      <c r="AA771" s="114"/>
      <c r="AB771" s="114"/>
    </row>
    <row r="772" spans="1:28" ht="12.75">
      <c r="A772" s="114"/>
      <c r="B772" s="114"/>
      <c r="C772" s="7"/>
      <c r="D772" s="114"/>
      <c r="E772" s="117"/>
      <c r="F772" s="117"/>
      <c r="G772" s="117"/>
      <c r="H772" s="114"/>
      <c r="I772" s="114"/>
      <c r="J772" s="114"/>
      <c r="K772" s="114"/>
      <c r="L772" s="114"/>
      <c r="M772" s="114"/>
      <c r="N772" s="88"/>
      <c r="O772" s="115"/>
      <c r="P772" s="114"/>
      <c r="Q772" s="114"/>
      <c r="R772" s="114"/>
      <c r="S772" s="114"/>
      <c r="T772" s="114"/>
      <c r="U772" s="114"/>
      <c r="V772" s="114"/>
      <c r="W772" s="114"/>
      <c r="X772" s="114"/>
      <c r="Y772" s="114"/>
      <c r="Z772" s="114"/>
      <c r="AA772" s="114"/>
      <c r="AB772" s="114"/>
    </row>
    <row r="773" spans="1:28" ht="12.75">
      <c r="A773" s="114"/>
      <c r="B773" s="114"/>
      <c r="C773" s="7"/>
      <c r="D773" s="114"/>
      <c r="E773" s="117"/>
      <c r="F773" s="117"/>
      <c r="G773" s="117"/>
      <c r="H773" s="114"/>
      <c r="I773" s="114"/>
      <c r="J773" s="114"/>
      <c r="K773" s="114"/>
      <c r="L773" s="114"/>
      <c r="M773" s="114"/>
      <c r="N773" s="88"/>
      <c r="O773" s="115"/>
      <c r="P773" s="114"/>
      <c r="Q773" s="114"/>
      <c r="R773" s="114"/>
      <c r="S773" s="114"/>
      <c r="T773" s="114"/>
      <c r="U773" s="114"/>
      <c r="V773" s="114"/>
      <c r="W773" s="114"/>
      <c r="X773" s="114"/>
      <c r="Y773" s="114"/>
      <c r="Z773" s="114"/>
      <c r="AA773" s="114"/>
      <c r="AB773" s="114"/>
    </row>
    <row r="774" spans="1:28" ht="12.75">
      <c r="A774" s="114"/>
      <c r="B774" s="114"/>
      <c r="C774" s="7"/>
      <c r="D774" s="114"/>
      <c r="E774" s="117"/>
      <c r="F774" s="117"/>
      <c r="G774" s="117"/>
      <c r="H774" s="114"/>
      <c r="I774" s="114"/>
      <c r="J774" s="114"/>
      <c r="K774" s="114"/>
      <c r="L774" s="114"/>
      <c r="M774" s="114"/>
      <c r="N774" s="88"/>
      <c r="O774" s="115"/>
      <c r="P774" s="114"/>
      <c r="Q774" s="114"/>
      <c r="R774" s="114"/>
      <c r="S774" s="114"/>
      <c r="T774" s="114"/>
      <c r="U774" s="114"/>
      <c r="V774" s="114"/>
      <c r="W774" s="114"/>
      <c r="X774" s="114"/>
      <c r="Y774" s="114"/>
      <c r="Z774" s="114"/>
      <c r="AA774" s="114"/>
      <c r="AB774" s="114"/>
    </row>
    <row r="775" spans="1:28" ht="12.75">
      <c r="A775" s="114"/>
      <c r="B775" s="114"/>
      <c r="C775" s="7"/>
      <c r="D775" s="114"/>
      <c r="E775" s="117"/>
      <c r="F775" s="117"/>
      <c r="G775" s="117"/>
      <c r="H775" s="114"/>
      <c r="I775" s="114"/>
      <c r="J775" s="114"/>
      <c r="K775" s="114"/>
      <c r="L775" s="114"/>
      <c r="M775" s="114"/>
      <c r="N775" s="88"/>
      <c r="O775" s="115"/>
      <c r="P775" s="114"/>
      <c r="Q775" s="114"/>
      <c r="R775" s="114"/>
      <c r="S775" s="114"/>
      <c r="T775" s="114"/>
      <c r="U775" s="114"/>
      <c r="V775" s="114"/>
      <c r="W775" s="114"/>
      <c r="X775" s="114"/>
      <c r="Y775" s="114"/>
      <c r="Z775" s="114"/>
      <c r="AA775" s="114"/>
      <c r="AB775" s="114"/>
    </row>
    <row r="776" spans="1:28" ht="12.75">
      <c r="A776" s="114"/>
      <c r="B776" s="114"/>
      <c r="C776" s="7"/>
      <c r="D776" s="114"/>
      <c r="E776" s="117"/>
      <c r="F776" s="117"/>
      <c r="G776" s="117"/>
      <c r="H776" s="114"/>
      <c r="I776" s="114"/>
      <c r="J776" s="114"/>
      <c r="K776" s="114"/>
      <c r="L776" s="114"/>
      <c r="M776" s="114"/>
      <c r="N776" s="88"/>
      <c r="O776" s="115"/>
      <c r="P776" s="114"/>
      <c r="Q776" s="114"/>
      <c r="R776" s="114"/>
      <c r="S776" s="114"/>
      <c r="T776" s="114"/>
      <c r="U776" s="114"/>
      <c r="V776" s="114"/>
      <c r="W776" s="114"/>
      <c r="X776" s="114"/>
      <c r="Y776" s="114"/>
      <c r="Z776" s="114"/>
      <c r="AA776" s="114"/>
      <c r="AB776" s="114"/>
    </row>
    <row r="777" spans="1:28" ht="12.75">
      <c r="A777" s="114"/>
      <c r="B777" s="114"/>
      <c r="C777" s="7"/>
      <c r="D777" s="114"/>
      <c r="E777" s="117"/>
      <c r="F777" s="117"/>
      <c r="G777" s="117"/>
      <c r="H777" s="114"/>
      <c r="I777" s="114"/>
      <c r="J777" s="114"/>
      <c r="K777" s="114"/>
      <c r="L777" s="114"/>
      <c r="M777" s="114"/>
      <c r="N777" s="88"/>
      <c r="O777" s="115"/>
      <c r="P777" s="114"/>
      <c r="Q777" s="114"/>
      <c r="R777" s="114"/>
      <c r="S777" s="114"/>
      <c r="T777" s="114"/>
      <c r="U777" s="114"/>
      <c r="V777" s="114"/>
      <c r="W777" s="114"/>
      <c r="X777" s="114"/>
      <c r="Y777" s="114"/>
      <c r="Z777" s="114"/>
      <c r="AA777" s="114"/>
      <c r="AB777" s="114"/>
    </row>
    <row r="778" spans="1:28" ht="12.75">
      <c r="A778" s="114"/>
      <c r="B778" s="114"/>
      <c r="C778" s="7"/>
      <c r="D778" s="114"/>
      <c r="E778" s="117"/>
      <c r="F778" s="117"/>
      <c r="G778" s="117"/>
      <c r="H778" s="114"/>
      <c r="I778" s="114"/>
      <c r="J778" s="114"/>
      <c r="K778" s="114"/>
      <c r="L778" s="114"/>
      <c r="M778" s="114"/>
      <c r="N778" s="88"/>
      <c r="O778" s="115"/>
      <c r="P778" s="114"/>
      <c r="Q778" s="114"/>
      <c r="R778" s="114"/>
      <c r="S778" s="114"/>
      <c r="T778" s="114"/>
      <c r="U778" s="114"/>
      <c r="V778" s="114"/>
      <c r="W778" s="114"/>
      <c r="X778" s="114"/>
      <c r="Y778" s="114"/>
      <c r="Z778" s="114"/>
      <c r="AA778" s="114"/>
      <c r="AB778" s="114"/>
    </row>
    <row r="779" spans="1:28" ht="12.75">
      <c r="A779" s="114"/>
      <c r="B779" s="114"/>
      <c r="C779" s="7"/>
      <c r="D779" s="114"/>
      <c r="E779" s="117"/>
      <c r="F779" s="117"/>
      <c r="G779" s="117"/>
      <c r="H779" s="114"/>
      <c r="I779" s="114"/>
      <c r="J779" s="114"/>
      <c r="K779" s="114"/>
      <c r="L779" s="114"/>
      <c r="M779" s="114"/>
      <c r="N779" s="88"/>
      <c r="O779" s="115"/>
      <c r="P779" s="114"/>
      <c r="Q779" s="114"/>
      <c r="R779" s="114"/>
      <c r="S779" s="114"/>
      <c r="T779" s="114"/>
      <c r="U779" s="114"/>
      <c r="V779" s="114"/>
      <c r="W779" s="114"/>
      <c r="X779" s="114"/>
      <c r="Y779" s="114"/>
      <c r="Z779" s="114"/>
      <c r="AA779" s="114"/>
      <c r="AB779" s="114"/>
    </row>
    <row r="780" spans="1:28" ht="12.75">
      <c r="A780" s="114"/>
      <c r="B780" s="114"/>
      <c r="C780" s="7"/>
      <c r="D780" s="114"/>
      <c r="E780" s="117"/>
      <c r="F780" s="117"/>
      <c r="G780" s="117"/>
      <c r="H780" s="114"/>
      <c r="I780" s="114"/>
      <c r="J780" s="114"/>
      <c r="K780" s="114"/>
      <c r="L780" s="114"/>
      <c r="M780" s="114"/>
      <c r="N780" s="88"/>
      <c r="O780" s="115"/>
      <c r="P780" s="114"/>
      <c r="Q780" s="114"/>
      <c r="R780" s="114"/>
      <c r="S780" s="114"/>
      <c r="T780" s="114"/>
      <c r="U780" s="114"/>
      <c r="V780" s="114"/>
      <c r="W780" s="114"/>
      <c r="X780" s="114"/>
      <c r="Y780" s="114"/>
      <c r="Z780" s="114"/>
      <c r="AA780" s="114"/>
      <c r="AB780" s="114"/>
    </row>
    <row r="781" spans="1:28" ht="12.75">
      <c r="A781" s="114"/>
      <c r="B781" s="114"/>
      <c r="C781" s="7"/>
      <c r="D781" s="114"/>
      <c r="E781" s="117"/>
      <c r="F781" s="117"/>
      <c r="G781" s="117"/>
      <c r="H781" s="114"/>
      <c r="I781" s="114"/>
      <c r="J781" s="114"/>
      <c r="K781" s="114"/>
      <c r="L781" s="114"/>
      <c r="M781" s="114"/>
      <c r="N781" s="88"/>
      <c r="O781" s="115"/>
      <c r="P781" s="114"/>
      <c r="Q781" s="114"/>
      <c r="R781" s="114"/>
      <c r="S781" s="114"/>
      <c r="T781" s="114"/>
      <c r="U781" s="114"/>
      <c r="V781" s="114"/>
      <c r="W781" s="114"/>
      <c r="X781" s="114"/>
      <c r="Y781" s="114"/>
      <c r="Z781" s="114"/>
      <c r="AA781" s="114"/>
      <c r="AB781" s="114"/>
    </row>
    <row r="782" spans="1:28" ht="12.75">
      <c r="A782" s="114"/>
      <c r="B782" s="114"/>
      <c r="C782" s="7"/>
      <c r="D782" s="114"/>
      <c r="E782" s="117"/>
      <c r="F782" s="117"/>
      <c r="G782" s="117"/>
      <c r="H782" s="114"/>
      <c r="I782" s="114"/>
      <c r="J782" s="114"/>
      <c r="K782" s="114"/>
      <c r="L782" s="114"/>
      <c r="M782" s="114"/>
      <c r="N782" s="88"/>
      <c r="O782" s="115"/>
      <c r="P782" s="114"/>
      <c r="Q782" s="114"/>
      <c r="R782" s="114"/>
      <c r="S782" s="114"/>
      <c r="T782" s="114"/>
      <c r="U782" s="114"/>
      <c r="V782" s="114"/>
      <c r="W782" s="114"/>
      <c r="X782" s="114"/>
      <c r="Y782" s="114"/>
      <c r="Z782" s="114"/>
      <c r="AA782" s="114"/>
      <c r="AB782" s="114"/>
    </row>
    <row r="783" spans="1:28" ht="12.75">
      <c r="A783" s="114"/>
      <c r="B783" s="114"/>
      <c r="C783" s="7"/>
      <c r="D783" s="114"/>
      <c r="E783" s="117"/>
      <c r="F783" s="117"/>
      <c r="G783" s="117"/>
      <c r="H783" s="114"/>
      <c r="I783" s="114"/>
      <c r="J783" s="114"/>
      <c r="K783" s="114"/>
      <c r="L783" s="114"/>
      <c r="M783" s="114"/>
      <c r="N783" s="88"/>
      <c r="O783" s="115"/>
      <c r="P783" s="114"/>
      <c r="Q783" s="114"/>
      <c r="R783" s="114"/>
      <c r="S783" s="114"/>
      <c r="T783" s="114"/>
      <c r="U783" s="114"/>
      <c r="V783" s="114"/>
      <c r="W783" s="114"/>
      <c r="X783" s="114"/>
      <c r="Y783" s="114"/>
      <c r="Z783" s="114"/>
      <c r="AA783" s="114"/>
      <c r="AB783" s="114"/>
    </row>
    <row r="784" spans="1:28" ht="12.75">
      <c r="A784" s="114"/>
      <c r="B784" s="114"/>
      <c r="C784" s="7"/>
      <c r="D784" s="114"/>
      <c r="E784" s="117"/>
      <c r="F784" s="117"/>
      <c r="G784" s="117"/>
      <c r="H784" s="114"/>
      <c r="I784" s="114"/>
      <c r="J784" s="114"/>
      <c r="K784" s="114"/>
      <c r="L784" s="114"/>
      <c r="M784" s="114"/>
      <c r="N784" s="88"/>
      <c r="O784" s="115"/>
      <c r="P784" s="114"/>
      <c r="Q784" s="114"/>
      <c r="R784" s="114"/>
      <c r="S784" s="114"/>
      <c r="T784" s="114"/>
      <c r="U784" s="114"/>
      <c r="V784" s="114"/>
      <c r="W784" s="114"/>
      <c r="X784" s="114"/>
      <c r="Y784" s="114"/>
      <c r="Z784" s="114"/>
      <c r="AA784" s="114"/>
      <c r="AB784" s="114"/>
    </row>
    <row r="785" spans="1:28" ht="12.75">
      <c r="A785" s="114"/>
      <c r="B785" s="114"/>
      <c r="C785" s="7"/>
      <c r="D785" s="114"/>
      <c r="E785" s="117"/>
      <c r="F785" s="117"/>
      <c r="G785" s="117"/>
      <c r="H785" s="114"/>
      <c r="I785" s="114"/>
      <c r="J785" s="114"/>
      <c r="K785" s="114"/>
      <c r="L785" s="114"/>
      <c r="M785" s="114"/>
      <c r="N785" s="88"/>
      <c r="O785" s="115"/>
      <c r="P785" s="114"/>
      <c r="Q785" s="114"/>
      <c r="R785" s="114"/>
      <c r="S785" s="114"/>
      <c r="T785" s="114"/>
      <c r="U785" s="114"/>
      <c r="V785" s="114"/>
      <c r="W785" s="114"/>
      <c r="X785" s="114"/>
      <c r="Y785" s="114"/>
      <c r="Z785" s="114"/>
      <c r="AA785" s="114"/>
      <c r="AB785" s="114"/>
    </row>
    <row r="786" spans="1:28" ht="12.75">
      <c r="A786" s="114"/>
      <c r="B786" s="114"/>
      <c r="C786" s="7"/>
      <c r="D786" s="114"/>
      <c r="E786" s="117"/>
      <c r="F786" s="117"/>
      <c r="G786" s="117"/>
      <c r="H786" s="114"/>
      <c r="I786" s="114"/>
      <c r="J786" s="114"/>
      <c r="K786" s="114"/>
      <c r="L786" s="114"/>
      <c r="M786" s="114"/>
      <c r="N786" s="88"/>
      <c r="O786" s="115"/>
      <c r="P786" s="114"/>
      <c r="Q786" s="114"/>
      <c r="R786" s="114"/>
      <c r="S786" s="114"/>
      <c r="T786" s="114"/>
      <c r="U786" s="114"/>
      <c r="V786" s="114"/>
      <c r="W786" s="114"/>
      <c r="X786" s="114"/>
      <c r="Y786" s="114"/>
      <c r="Z786" s="114"/>
      <c r="AA786" s="114"/>
      <c r="AB786" s="114"/>
    </row>
    <row r="787" spans="1:28" ht="12.75">
      <c r="A787" s="114"/>
      <c r="B787" s="114"/>
      <c r="C787" s="7"/>
      <c r="D787" s="114"/>
      <c r="E787" s="117"/>
      <c r="F787" s="117"/>
      <c r="G787" s="117"/>
      <c r="H787" s="114"/>
      <c r="I787" s="114"/>
      <c r="J787" s="114"/>
      <c r="K787" s="114"/>
      <c r="L787" s="114"/>
      <c r="M787" s="114"/>
      <c r="N787" s="88"/>
      <c r="O787" s="115"/>
      <c r="P787" s="114"/>
      <c r="Q787" s="114"/>
      <c r="R787" s="114"/>
      <c r="S787" s="114"/>
      <c r="T787" s="114"/>
      <c r="U787" s="114"/>
      <c r="V787" s="114"/>
      <c r="W787" s="114"/>
      <c r="X787" s="114"/>
      <c r="Y787" s="114"/>
      <c r="Z787" s="114"/>
      <c r="AA787" s="114"/>
      <c r="AB787" s="114"/>
    </row>
    <row r="788" spans="1:28" ht="12.75">
      <c r="A788" s="114"/>
      <c r="B788" s="114"/>
      <c r="C788" s="7"/>
      <c r="D788" s="114"/>
      <c r="E788" s="117"/>
      <c r="F788" s="117"/>
      <c r="G788" s="117"/>
      <c r="H788" s="114"/>
      <c r="I788" s="114"/>
      <c r="J788" s="114"/>
      <c r="K788" s="114"/>
      <c r="L788" s="114"/>
      <c r="M788" s="114"/>
      <c r="N788" s="88"/>
      <c r="O788" s="115"/>
      <c r="P788" s="114"/>
      <c r="Q788" s="114"/>
      <c r="R788" s="114"/>
      <c r="S788" s="114"/>
      <c r="T788" s="114"/>
      <c r="U788" s="114"/>
      <c r="V788" s="114"/>
      <c r="W788" s="114"/>
      <c r="X788" s="114"/>
      <c r="Y788" s="114"/>
      <c r="Z788" s="114"/>
      <c r="AA788" s="114"/>
      <c r="AB788" s="114"/>
    </row>
    <row r="789" spans="1:28" ht="12.75">
      <c r="A789" s="114"/>
      <c r="B789" s="114"/>
      <c r="C789" s="7"/>
      <c r="D789" s="114"/>
      <c r="E789" s="117"/>
      <c r="F789" s="117"/>
      <c r="G789" s="117"/>
      <c r="H789" s="114"/>
      <c r="I789" s="114"/>
      <c r="J789" s="114"/>
      <c r="K789" s="114"/>
      <c r="L789" s="114"/>
      <c r="M789" s="114"/>
      <c r="N789" s="88"/>
      <c r="O789" s="115"/>
      <c r="P789" s="114"/>
      <c r="Q789" s="114"/>
      <c r="R789" s="114"/>
      <c r="S789" s="114"/>
      <c r="T789" s="114"/>
      <c r="U789" s="114"/>
      <c r="V789" s="114"/>
      <c r="W789" s="114"/>
      <c r="X789" s="114"/>
      <c r="Y789" s="114"/>
      <c r="Z789" s="114"/>
      <c r="AA789" s="114"/>
      <c r="AB789" s="114"/>
    </row>
    <row r="790" spans="1:28" ht="12.75">
      <c r="A790" s="114"/>
      <c r="B790" s="114"/>
      <c r="C790" s="7"/>
      <c r="D790" s="114"/>
      <c r="E790" s="117"/>
      <c r="F790" s="117"/>
      <c r="G790" s="117"/>
      <c r="H790" s="114"/>
      <c r="I790" s="114"/>
      <c r="J790" s="114"/>
      <c r="K790" s="114"/>
      <c r="L790" s="114"/>
      <c r="M790" s="114"/>
      <c r="N790" s="88"/>
      <c r="O790" s="115"/>
      <c r="P790" s="114"/>
      <c r="Q790" s="114"/>
      <c r="R790" s="114"/>
      <c r="S790" s="114"/>
      <c r="T790" s="114"/>
      <c r="U790" s="114"/>
      <c r="V790" s="114"/>
      <c r="W790" s="114"/>
      <c r="X790" s="114"/>
      <c r="Y790" s="114"/>
      <c r="Z790" s="114"/>
      <c r="AA790" s="114"/>
      <c r="AB790" s="114"/>
    </row>
    <row r="791" spans="1:28" ht="12.75">
      <c r="A791" s="114"/>
      <c r="B791" s="114"/>
      <c r="C791" s="7"/>
      <c r="D791" s="114"/>
      <c r="E791" s="117"/>
      <c r="F791" s="117"/>
      <c r="G791" s="117"/>
      <c r="H791" s="114"/>
      <c r="I791" s="114"/>
      <c r="J791" s="114"/>
      <c r="K791" s="114"/>
      <c r="L791" s="114"/>
      <c r="M791" s="114"/>
      <c r="N791" s="88"/>
      <c r="O791" s="115"/>
      <c r="P791" s="114"/>
      <c r="Q791" s="114"/>
      <c r="R791" s="114"/>
      <c r="S791" s="114"/>
      <c r="T791" s="114"/>
      <c r="U791" s="114"/>
      <c r="V791" s="114"/>
      <c r="W791" s="114"/>
      <c r="X791" s="114"/>
      <c r="Y791" s="114"/>
      <c r="Z791" s="114"/>
      <c r="AA791" s="114"/>
      <c r="AB791" s="114"/>
    </row>
    <row r="792" spans="1:28" ht="12.75">
      <c r="A792" s="114"/>
      <c r="B792" s="114"/>
      <c r="C792" s="7"/>
      <c r="D792" s="114"/>
      <c r="E792" s="117"/>
      <c r="F792" s="117"/>
      <c r="G792" s="117"/>
      <c r="H792" s="114"/>
      <c r="I792" s="114"/>
      <c r="J792" s="114"/>
      <c r="K792" s="114"/>
      <c r="L792" s="114"/>
      <c r="M792" s="114"/>
      <c r="N792" s="88"/>
      <c r="O792" s="115"/>
      <c r="P792" s="114"/>
      <c r="Q792" s="114"/>
      <c r="R792" s="114"/>
      <c r="S792" s="114"/>
      <c r="T792" s="114"/>
      <c r="U792" s="114"/>
      <c r="V792" s="114"/>
      <c r="W792" s="114"/>
      <c r="X792" s="114"/>
      <c r="Y792" s="114"/>
      <c r="Z792" s="114"/>
      <c r="AA792" s="114"/>
      <c r="AB792" s="114"/>
    </row>
    <row r="793" spans="1:28" ht="12.75">
      <c r="A793" s="114"/>
      <c r="B793" s="114"/>
      <c r="C793" s="7"/>
      <c r="D793" s="114"/>
      <c r="E793" s="117"/>
      <c r="F793" s="117"/>
      <c r="G793" s="117"/>
      <c r="H793" s="114"/>
      <c r="I793" s="114"/>
      <c r="J793" s="114"/>
      <c r="K793" s="114"/>
      <c r="L793" s="114"/>
      <c r="M793" s="114"/>
      <c r="N793" s="88"/>
      <c r="O793" s="115"/>
      <c r="P793" s="114"/>
      <c r="Q793" s="114"/>
      <c r="R793" s="114"/>
      <c r="S793" s="114"/>
      <c r="T793" s="114"/>
      <c r="U793" s="114"/>
      <c r="V793" s="114"/>
      <c r="W793" s="114"/>
      <c r="X793" s="114"/>
      <c r="Y793" s="114"/>
      <c r="Z793" s="114"/>
      <c r="AA793" s="114"/>
      <c r="AB793" s="114"/>
    </row>
    <row r="794" spans="1:28" ht="12.75">
      <c r="A794" s="114"/>
      <c r="B794" s="114"/>
      <c r="C794" s="7"/>
      <c r="D794" s="114"/>
      <c r="E794" s="117"/>
      <c r="F794" s="117"/>
      <c r="G794" s="117"/>
      <c r="H794" s="114"/>
      <c r="I794" s="114"/>
      <c r="J794" s="114"/>
      <c r="K794" s="114"/>
      <c r="L794" s="114"/>
      <c r="M794" s="114"/>
      <c r="N794" s="88"/>
      <c r="O794" s="115"/>
      <c r="P794" s="114"/>
      <c r="Q794" s="114"/>
      <c r="R794" s="114"/>
      <c r="S794" s="114"/>
      <c r="T794" s="114"/>
      <c r="U794" s="114"/>
      <c r="V794" s="114"/>
      <c r="W794" s="114"/>
      <c r="X794" s="114"/>
      <c r="Y794" s="114"/>
      <c r="Z794" s="114"/>
      <c r="AA794" s="114"/>
      <c r="AB794" s="114"/>
    </row>
    <row r="795" spans="1:28" ht="12.75">
      <c r="A795" s="114"/>
      <c r="B795" s="114"/>
      <c r="C795" s="7"/>
      <c r="D795" s="114"/>
      <c r="E795" s="117"/>
      <c r="F795" s="117"/>
      <c r="G795" s="117"/>
      <c r="H795" s="114"/>
      <c r="I795" s="114"/>
      <c r="J795" s="114"/>
      <c r="K795" s="114"/>
      <c r="L795" s="114"/>
      <c r="M795" s="114"/>
      <c r="N795" s="88"/>
      <c r="O795" s="115"/>
      <c r="P795" s="114"/>
      <c r="Q795" s="114"/>
      <c r="R795" s="114"/>
      <c r="S795" s="114"/>
      <c r="T795" s="114"/>
      <c r="U795" s="114"/>
      <c r="V795" s="114"/>
      <c r="W795" s="114"/>
      <c r="X795" s="114"/>
      <c r="Y795" s="114"/>
      <c r="Z795" s="114"/>
      <c r="AA795" s="114"/>
      <c r="AB795" s="114"/>
    </row>
    <row r="796" spans="1:28" ht="12.75">
      <c r="A796" s="114"/>
      <c r="B796" s="114"/>
      <c r="C796" s="7"/>
      <c r="D796" s="114"/>
      <c r="E796" s="117"/>
      <c r="F796" s="117"/>
      <c r="G796" s="117"/>
      <c r="H796" s="114"/>
      <c r="I796" s="114"/>
      <c r="J796" s="114"/>
      <c r="K796" s="114"/>
      <c r="L796" s="114"/>
      <c r="M796" s="114"/>
      <c r="N796" s="88"/>
      <c r="O796" s="115"/>
      <c r="P796" s="114"/>
      <c r="Q796" s="114"/>
      <c r="R796" s="114"/>
      <c r="S796" s="114"/>
      <c r="T796" s="114"/>
      <c r="U796" s="114"/>
      <c r="V796" s="114"/>
      <c r="W796" s="114"/>
      <c r="X796" s="114"/>
      <c r="Y796" s="114"/>
      <c r="Z796" s="114"/>
      <c r="AA796" s="114"/>
      <c r="AB796" s="114"/>
    </row>
    <row r="797" spans="1:28" ht="12.75">
      <c r="A797" s="114"/>
      <c r="B797" s="114"/>
      <c r="C797" s="7"/>
      <c r="D797" s="114"/>
      <c r="E797" s="117"/>
      <c r="F797" s="117"/>
      <c r="G797" s="117"/>
      <c r="H797" s="114"/>
      <c r="I797" s="114"/>
      <c r="J797" s="114"/>
      <c r="K797" s="114"/>
      <c r="L797" s="114"/>
      <c r="M797" s="114"/>
      <c r="N797" s="88"/>
      <c r="O797" s="115"/>
      <c r="P797" s="114"/>
      <c r="Q797" s="114"/>
      <c r="R797" s="114"/>
      <c r="S797" s="114"/>
      <c r="T797" s="114"/>
      <c r="U797" s="114"/>
      <c r="V797" s="114"/>
      <c r="W797" s="114"/>
      <c r="X797" s="114"/>
      <c r="Y797" s="114"/>
      <c r="Z797" s="114"/>
      <c r="AA797" s="114"/>
      <c r="AB797" s="114"/>
    </row>
    <row r="798" spans="1:28" ht="12.75">
      <c r="A798" s="114"/>
      <c r="B798" s="114"/>
      <c r="C798" s="7"/>
      <c r="D798" s="114"/>
      <c r="E798" s="117"/>
      <c r="F798" s="117"/>
      <c r="G798" s="117"/>
      <c r="H798" s="114"/>
      <c r="I798" s="114"/>
      <c r="J798" s="114"/>
      <c r="K798" s="114"/>
      <c r="L798" s="114"/>
      <c r="M798" s="114"/>
      <c r="N798" s="88"/>
      <c r="O798" s="115"/>
      <c r="P798" s="114"/>
      <c r="Q798" s="114"/>
      <c r="R798" s="114"/>
      <c r="S798" s="114"/>
      <c r="T798" s="114"/>
      <c r="U798" s="114"/>
      <c r="V798" s="114"/>
      <c r="W798" s="114"/>
      <c r="X798" s="114"/>
      <c r="Y798" s="114"/>
      <c r="Z798" s="114"/>
      <c r="AA798" s="114"/>
      <c r="AB798" s="114"/>
    </row>
    <row r="799" spans="1:28" ht="12.75">
      <c r="A799" s="114"/>
      <c r="B799" s="114"/>
      <c r="C799" s="7"/>
      <c r="D799" s="114"/>
      <c r="E799" s="117"/>
      <c r="F799" s="117"/>
      <c r="G799" s="117"/>
      <c r="H799" s="114"/>
      <c r="I799" s="114"/>
      <c r="J799" s="114"/>
      <c r="K799" s="114"/>
      <c r="L799" s="114"/>
      <c r="M799" s="114"/>
      <c r="N799" s="88"/>
      <c r="O799" s="115"/>
      <c r="P799" s="114"/>
      <c r="Q799" s="114"/>
      <c r="R799" s="114"/>
      <c r="S799" s="114"/>
      <c r="T799" s="114"/>
      <c r="U799" s="114"/>
      <c r="V799" s="114"/>
      <c r="W799" s="114"/>
      <c r="X799" s="114"/>
      <c r="Y799" s="114"/>
      <c r="Z799" s="114"/>
      <c r="AA799" s="114"/>
      <c r="AB799" s="114"/>
    </row>
    <row r="800" spans="1:28" ht="12.75">
      <c r="A800" s="114"/>
      <c r="B800" s="114"/>
      <c r="C800" s="7"/>
      <c r="D800" s="114"/>
      <c r="E800" s="117"/>
      <c r="F800" s="117"/>
      <c r="G800" s="117"/>
      <c r="H800" s="114"/>
      <c r="I800" s="114"/>
      <c r="J800" s="114"/>
      <c r="K800" s="114"/>
      <c r="L800" s="114"/>
      <c r="M800" s="114"/>
      <c r="N800" s="88"/>
      <c r="O800" s="115"/>
      <c r="P800" s="114"/>
      <c r="Q800" s="114"/>
      <c r="R800" s="114"/>
      <c r="S800" s="114"/>
      <c r="T800" s="114"/>
      <c r="U800" s="114"/>
      <c r="V800" s="114"/>
      <c r="W800" s="114"/>
      <c r="X800" s="114"/>
      <c r="Y800" s="114"/>
      <c r="Z800" s="114"/>
      <c r="AA800" s="114"/>
      <c r="AB800" s="114"/>
    </row>
    <row r="801" spans="1:28" ht="12.75">
      <c r="A801" s="114"/>
      <c r="B801" s="114"/>
      <c r="C801" s="7"/>
      <c r="D801" s="114"/>
      <c r="E801" s="117"/>
      <c r="F801" s="117"/>
      <c r="G801" s="117"/>
      <c r="H801" s="114"/>
      <c r="I801" s="114"/>
      <c r="J801" s="114"/>
      <c r="K801" s="114"/>
      <c r="L801" s="114"/>
      <c r="M801" s="114"/>
      <c r="N801" s="88"/>
      <c r="O801" s="115"/>
      <c r="P801" s="114"/>
      <c r="Q801" s="114"/>
      <c r="R801" s="114"/>
      <c r="S801" s="114"/>
      <c r="T801" s="114"/>
      <c r="U801" s="114"/>
      <c r="V801" s="114"/>
      <c r="W801" s="114"/>
      <c r="X801" s="114"/>
      <c r="Y801" s="114"/>
      <c r="Z801" s="114"/>
      <c r="AA801" s="114"/>
      <c r="AB801" s="114"/>
    </row>
    <row r="802" spans="1:28" ht="12.75">
      <c r="A802" s="114"/>
      <c r="B802" s="114"/>
      <c r="C802" s="7"/>
      <c r="D802" s="114"/>
      <c r="E802" s="117"/>
      <c r="F802" s="117"/>
      <c r="G802" s="117"/>
      <c r="H802" s="114"/>
      <c r="I802" s="114"/>
      <c r="J802" s="114"/>
      <c r="K802" s="114"/>
      <c r="L802" s="114"/>
      <c r="M802" s="114"/>
      <c r="N802" s="88"/>
      <c r="O802" s="115"/>
      <c r="P802" s="114"/>
      <c r="Q802" s="114"/>
      <c r="R802" s="114"/>
      <c r="S802" s="114"/>
      <c r="T802" s="114"/>
      <c r="U802" s="114"/>
      <c r="V802" s="114"/>
      <c r="W802" s="114"/>
      <c r="X802" s="114"/>
      <c r="Y802" s="114"/>
      <c r="Z802" s="114"/>
      <c r="AA802" s="114"/>
      <c r="AB802" s="114"/>
    </row>
    <row r="803" spans="1:28" ht="12.75">
      <c r="A803" s="114"/>
      <c r="B803" s="114"/>
      <c r="C803" s="7"/>
      <c r="D803" s="114"/>
      <c r="E803" s="117"/>
      <c r="F803" s="117"/>
      <c r="G803" s="117"/>
      <c r="H803" s="114"/>
      <c r="I803" s="114"/>
      <c r="J803" s="114"/>
      <c r="K803" s="114"/>
      <c r="L803" s="114"/>
      <c r="M803" s="114"/>
      <c r="N803" s="88"/>
      <c r="O803" s="115"/>
      <c r="P803" s="114"/>
      <c r="Q803" s="114"/>
      <c r="R803" s="114"/>
      <c r="S803" s="114"/>
      <c r="T803" s="114"/>
      <c r="U803" s="114"/>
      <c r="V803" s="114"/>
      <c r="W803" s="114"/>
      <c r="X803" s="114"/>
      <c r="Y803" s="114"/>
      <c r="Z803" s="114"/>
      <c r="AA803" s="114"/>
      <c r="AB803" s="114"/>
    </row>
    <row r="804" spans="1:28" ht="12.75">
      <c r="A804" s="114"/>
      <c r="B804" s="114"/>
      <c r="C804" s="7"/>
      <c r="D804" s="114"/>
      <c r="E804" s="117"/>
      <c r="F804" s="117"/>
      <c r="G804" s="117"/>
      <c r="H804" s="114"/>
      <c r="I804" s="114"/>
      <c r="J804" s="114"/>
      <c r="K804" s="114"/>
      <c r="L804" s="114"/>
      <c r="M804" s="114"/>
      <c r="N804" s="88"/>
      <c r="O804" s="115"/>
      <c r="P804" s="114"/>
      <c r="Q804" s="114"/>
      <c r="R804" s="114"/>
      <c r="S804" s="114"/>
      <c r="T804" s="114"/>
      <c r="U804" s="114"/>
      <c r="V804" s="114"/>
      <c r="W804" s="114"/>
      <c r="X804" s="114"/>
      <c r="Y804" s="114"/>
      <c r="Z804" s="114"/>
      <c r="AA804" s="114"/>
      <c r="AB804" s="114"/>
    </row>
    <row r="805" spans="1:28" ht="12.75">
      <c r="A805" s="114"/>
      <c r="B805" s="114"/>
      <c r="C805" s="7"/>
      <c r="D805" s="114"/>
      <c r="E805" s="117"/>
      <c r="F805" s="117"/>
      <c r="G805" s="117"/>
      <c r="H805" s="114"/>
      <c r="I805" s="114"/>
      <c r="J805" s="114"/>
      <c r="K805" s="114"/>
      <c r="L805" s="114"/>
      <c r="M805" s="114"/>
      <c r="N805" s="88"/>
      <c r="O805" s="115"/>
      <c r="P805" s="114"/>
      <c r="Q805" s="114"/>
      <c r="R805" s="114"/>
      <c r="S805" s="114"/>
      <c r="T805" s="114"/>
      <c r="U805" s="114"/>
      <c r="V805" s="114"/>
      <c r="W805" s="114"/>
      <c r="X805" s="114"/>
      <c r="Y805" s="114"/>
      <c r="Z805" s="114"/>
      <c r="AA805" s="114"/>
      <c r="AB805" s="114"/>
    </row>
    <row r="806" spans="1:28" ht="12.75">
      <c r="A806" s="114"/>
      <c r="B806" s="114"/>
      <c r="C806" s="7"/>
      <c r="D806" s="114"/>
      <c r="E806" s="117"/>
      <c r="F806" s="117"/>
      <c r="G806" s="117"/>
      <c r="H806" s="114"/>
      <c r="I806" s="114"/>
      <c r="J806" s="114"/>
      <c r="K806" s="114"/>
      <c r="L806" s="114"/>
      <c r="M806" s="114"/>
      <c r="N806" s="88"/>
      <c r="O806" s="115"/>
      <c r="P806" s="114"/>
      <c r="Q806" s="114"/>
      <c r="R806" s="114"/>
      <c r="S806" s="114"/>
      <c r="T806" s="114"/>
      <c r="U806" s="114"/>
      <c r="V806" s="114"/>
      <c r="W806" s="114"/>
      <c r="X806" s="114"/>
      <c r="Y806" s="114"/>
      <c r="Z806" s="114"/>
      <c r="AA806" s="114"/>
      <c r="AB806" s="114"/>
    </row>
    <row r="807" spans="1:28" ht="12.75">
      <c r="A807" s="114"/>
      <c r="B807" s="114"/>
      <c r="C807" s="7"/>
      <c r="D807" s="114"/>
      <c r="E807" s="117"/>
      <c r="F807" s="117"/>
      <c r="G807" s="117"/>
      <c r="H807" s="114"/>
      <c r="I807" s="114"/>
      <c r="J807" s="114"/>
      <c r="K807" s="114"/>
      <c r="L807" s="114"/>
      <c r="M807" s="114"/>
      <c r="N807" s="88"/>
      <c r="O807" s="115"/>
      <c r="P807" s="114"/>
      <c r="Q807" s="114"/>
      <c r="R807" s="114"/>
      <c r="S807" s="114"/>
      <c r="T807" s="114"/>
      <c r="U807" s="114"/>
      <c r="V807" s="114"/>
      <c r="W807" s="114"/>
      <c r="X807" s="114"/>
      <c r="Y807" s="114"/>
      <c r="Z807" s="114"/>
      <c r="AA807" s="114"/>
      <c r="AB807" s="114"/>
    </row>
    <row r="808" spans="1:28" ht="12.75">
      <c r="A808" s="114"/>
      <c r="B808" s="114"/>
      <c r="C808" s="7"/>
      <c r="D808" s="114"/>
      <c r="E808" s="117"/>
      <c r="F808" s="117"/>
      <c r="G808" s="117"/>
      <c r="H808" s="114"/>
      <c r="I808" s="114"/>
      <c r="J808" s="114"/>
      <c r="K808" s="114"/>
      <c r="L808" s="114"/>
      <c r="M808" s="114"/>
      <c r="N808" s="88"/>
      <c r="O808" s="115"/>
      <c r="P808" s="114"/>
      <c r="Q808" s="114"/>
      <c r="R808" s="114"/>
      <c r="S808" s="114"/>
      <c r="T808" s="114"/>
      <c r="U808" s="114"/>
      <c r="V808" s="114"/>
      <c r="W808" s="114"/>
      <c r="X808" s="114"/>
      <c r="Y808" s="114"/>
      <c r="Z808" s="114"/>
      <c r="AA808" s="114"/>
      <c r="AB808" s="114"/>
    </row>
    <row r="809" spans="1:28" ht="12.75">
      <c r="A809" s="114"/>
      <c r="B809" s="114"/>
      <c r="C809" s="7"/>
      <c r="D809" s="114"/>
      <c r="E809" s="117"/>
      <c r="F809" s="117"/>
      <c r="G809" s="117"/>
      <c r="H809" s="114"/>
      <c r="I809" s="114"/>
      <c r="J809" s="114"/>
      <c r="K809" s="114"/>
      <c r="L809" s="114"/>
      <c r="M809" s="114"/>
      <c r="N809" s="88"/>
      <c r="O809" s="115"/>
      <c r="P809" s="114"/>
      <c r="Q809" s="114"/>
      <c r="R809" s="114"/>
      <c r="S809" s="114"/>
      <c r="T809" s="114"/>
      <c r="U809" s="114"/>
      <c r="V809" s="114"/>
      <c r="W809" s="114"/>
      <c r="X809" s="114"/>
      <c r="Y809" s="114"/>
      <c r="Z809" s="114"/>
      <c r="AA809" s="114"/>
      <c r="AB809" s="114"/>
    </row>
    <row r="810" spans="1:28" ht="12.75">
      <c r="A810" s="114"/>
      <c r="B810" s="114"/>
      <c r="C810" s="7"/>
      <c r="D810" s="114"/>
      <c r="E810" s="117"/>
      <c r="F810" s="117"/>
      <c r="G810" s="117"/>
      <c r="H810" s="114"/>
      <c r="I810" s="114"/>
      <c r="J810" s="114"/>
      <c r="K810" s="114"/>
      <c r="L810" s="114"/>
      <c r="M810" s="114"/>
      <c r="N810" s="88"/>
      <c r="O810" s="115"/>
      <c r="P810" s="114"/>
      <c r="Q810" s="114"/>
      <c r="R810" s="114"/>
      <c r="S810" s="114"/>
      <c r="T810" s="114"/>
      <c r="U810" s="114"/>
      <c r="V810" s="114"/>
      <c r="W810" s="114"/>
      <c r="X810" s="114"/>
      <c r="Y810" s="114"/>
      <c r="Z810" s="114"/>
      <c r="AA810" s="114"/>
      <c r="AB810" s="114"/>
    </row>
    <row r="811" spans="1:28" ht="12.75">
      <c r="A811" s="114"/>
      <c r="B811" s="114"/>
      <c r="C811" s="7"/>
      <c r="D811" s="114"/>
      <c r="E811" s="117"/>
      <c r="F811" s="117"/>
      <c r="G811" s="117"/>
      <c r="H811" s="114"/>
      <c r="I811" s="114"/>
      <c r="J811" s="114"/>
      <c r="K811" s="114"/>
      <c r="L811" s="114"/>
      <c r="M811" s="114"/>
      <c r="N811" s="88"/>
      <c r="O811" s="115"/>
      <c r="P811" s="114"/>
      <c r="Q811" s="114"/>
      <c r="R811" s="114"/>
      <c r="S811" s="114"/>
      <c r="T811" s="114"/>
      <c r="U811" s="114"/>
      <c r="V811" s="114"/>
      <c r="W811" s="114"/>
      <c r="X811" s="114"/>
      <c r="Y811" s="114"/>
      <c r="Z811" s="114"/>
      <c r="AA811" s="114"/>
      <c r="AB811" s="114"/>
    </row>
    <row r="812" spans="1:28" ht="12.75">
      <c r="A812" s="114"/>
      <c r="B812" s="114"/>
      <c r="C812" s="7"/>
      <c r="D812" s="114"/>
      <c r="E812" s="117"/>
      <c r="F812" s="117"/>
      <c r="G812" s="117"/>
      <c r="H812" s="114"/>
      <c r="I812" s="114"/>
      <c r="J812" s="114"/>
      <c r="K812" s="114"/>
      <c r="L812" s="114"/>
      <c r="M812" s="114"/>
      <c r="N812" s="88"/>
      <c r="O812" s="115"/>
      <c r="P812" s="114"/>
      <c r="Q812" s="114"/>
      <c r="R812" s="114"/>
      <c r="S812" s="114"/>
      <c r="T812" s="114"/>
      <c r="U812" s="114"/>
      <c r="V812" s="114"/>
      <c r="W812" s="114"/>
      <c r="X812" s="114"/>
      <c r="Y812" s="114"/>
      <c r="Z812" s="114"/>
      <c r="AA812" s="114"/>
      <c r="AB812" s="114"/>
    </row>
    <row r="813" spans="1:28" ht="12.75">
      <c r="A813" s="114"/>
      <c r="B813" s="114"/>
      <c r="C813" s="7"/>
      <c r="D813" s="114"/>
      <c r="E813" s="117"/>
      <c r="F813" s="117"/>
      <c r="G813" s="117"/>
      <c r="H813" s="114"/>
      <c r="I813" s="114"/>
      <c r="J813" s="114"/>
      <c r="K813" s="114"/>
      <c r="L813" s="114"/>
      <c r="M813" s="114"/>
      <c r="N813" s="88"/>
      <c r="O813" s="115"/>
      <c r="P813" s="114"/>
      <c r="Q813" s="114"/>
      <c r="R813" s="114"/>
      <c r="S813" s="114"/>
      <c r="T813" s="114"/>
      <c r="U813" s="114"/>
      <c r="V813" s="114"/>
      <c r="W813" s="114"/>
      <c r="X813" s="114"/>
      <c r="Y813" s="114"/>
      <c r="Z813" s="114"/>
      <c r="AA813" s="114"/>
      <c r="AB813" s="114"/>
    </row>
    <row r="814" spans="1:28" ht="12.75">
      <c r="A814" s="114"/>
      <c r="B814" s="114"/>
      <c r="C814" s="7"/>
      <c r="D814" s="114"/>
      <c r="E814" s="117"/>
      <c r="F814" s="117"/>
      <c r="G814" s="117"/>
      <c r="H814" s="114"/>
      <c r="I814" s="114"/>
      <c r="J814" s="114"/>
      <c r="K814" s="114"/>
      <c r="L814" s="114"/>
      <c r="M814" s="114"/>
      <c r="N814" s="88"/>
      <c r="O814" s="115"/>
      <c r="P814" s="114"/>
      <c r="Q814" s="114"/>
      <c r="R814" s="114"/>
      <c r="S814" s="114"/>
      <c r="T814" s="114"/>
      <c r="U814" s="114"/>
      <c r="V814" s="114"/>
      <c r="W814" s="114"/>
      <c r="X814" s="114"/>
      <c r="Y814" s="114"/>
      <c r="Z814" s="114"/>
      <c r="AA814" s="114"/>
      <c r="AB814" s="114"/>
    </row>
    <row r="815" spans="1:28" ht="12.75">
      <c r="A815" s="114"/>
      <c r="B815" s="114"/>
      <c r="C815" s="7"/>
      <c r="D815" s="114"/>
      <c r="E815" s="117"/>
      <c r="F815" s="117"/>
      <c r="G815" s="117"/>
      <c r="H815" s="114"/>
      <c r="I815" s="114"/>
      <c r="J815" s="114"/>
      <c r="K815" s="114"/>
      <c r="L815" s="114"/>
      <c r="M815" s="114"/>
      <c r="N815" s="88"/>
      <c r="O815" s="115"/>
      <c r="P815" s="114"/>
      <c r="Q815" s="114"/>
      <c r="R815" s="114"/>
      <c r="S815" s="114"/>
      <c r="T815" s="114"/>
      <c r="U815" s="114"/>
      <c r="V815" s="114"/>
      <c r="W815" s="114"/>
      <c r="X815" s="114"/>
      <c r="Y815" s="114"/>
      <c r="Z815" s="114"/>
      <c r="AA815" s="114"/>
      <c r="AB815" s="114"/>
    </row>
    <row r="816" spans="1:28" ht="12.75">
      <c r="A816" s="114"/>
      <c r="B816" s="114"/>
      <c r="C816" s="7"/>
      <c r="D816" s="114"/>
      <c r="E816" s="117"/>
      <c r="F816" s="117"/>
      <c r="G816" s="117"/>
      <c r="H816" s="114"/>
      <c r="I816" s="114"/>
      <c r="J816" s="114"/>
      <c r="K816" s="114"/>
      <c r="L816" s="114"/>
      <c r="M816" s="114"/>
      <c r="N816" s="88"/>
      <c r="O816" s="115"/>
      <c r="P816" s="114"/>
      <c r="Q816" s="114"/>
      <c r="R816" s="114"/>
      <c r="S816" s="114"/>
      <c r="T816" s="114"/>
      <c r="U816" s="114"/>
      <c r="V816" s="114"/>
      <c r="W816" s="114"/>
      <c r="X816" s="114"/>
      <c r="Y816" s="114"/>
      <c r="Z816" s="114"/>
      <c r="AA816" s="114"/>
      <c r="AB816" s="114"/>
    </row>
    <row r="817" spans="1:28" ht="12.75">
      <c r="A817" s="114"/>
      <c r="B817" s="114"/>
      <c r="C817" s="7"/>
      <c r="D817" s="114"/>
      <c r="E817" s="117"/>
      <c r="F817" s="117"/>
      <c r="G817" s="117"/>
      <c r="H817" s="114"/>
      <c r="I817" s="114"/>
      <c r="J817" s="114"/>
      <c r="K817" s="114"/>
      <c r="L817" s="114"/>
      <c r="M817" s="114"/>
      <c r="N817" s="88"/>
      <c r="O817" s="115"/>
      <c r="P817" s="114"/>
      <c r="Q817" s="114"/>
      <c r="R817" s="114"/>
      <c r="S817" s="114"/>
      <c r="T817" s="114"/>
      <c r="U817" s="114"/>
      <c r="V817" s="114"/>
      <c r="W817" s="114"/>
      <c r="X817" s="114"/>
      <c r="Y817" s="114"/>
      <c r="Z817" s="114"/>
      <c r="AA817" s="114"/>
      <c r="AB817" s="114"/>
    </row>
    <row r="818" spans="1:28" ht="12.75">
      <c r="A818" s="114"/>
      <c r="B818" s="114"/>
      <c r="C818" s="7"/>
      <c r="D818" s="114"/>
      <c r="E818" s="117"/>
      <c r="F818" s="117"/>
      <c r="G818" s="117"/>
      <c r="H818" s="114"/>
      <c r="I818" s="114"/>
      <c r="J818" s="114"/>
      <c r="K818" s="114"/>
      <c r="L818" s="114"/>
      <c r="M818" s="114"/>
      <c r="N818" s="88"/>
      <c r="O818" s="115"/>
      <c r="P818" s="114"/>
      <c r="Q818" s="114"/>
      <c r="R818" s="114"/>
      <c r="S818" s="114"/>
      <c r="T818" s="114"/>
      <c r="U818" s="114"/>
      <c r="V818" s="114"/>
      <c r="W818" s="114"/>
      <c r="X818" s="114"/>
      <c r="Y818" s="114"/>
      <c r="Z818" s="114"/>
      <c r="AA818" s="114"/>
      <c r="AB818" s="114"/>
    </row>
    <row r="819" spans="1:28" ht="12.75">
      <c r="A819" s="114"/>
      <c r="B819" s="114"/>
      <c r="C819" s="7"/>
      <c r="D819" s="114"/>
      <c r="E819" s="117"/>
      <c r="F819" s="117"/>
      <c r="G819" s="117"/>
      <c r="H819" s="114"/>
      <c r="I819" s="114"/>
      <c r="J819" s="114"/>
      <c r="K819" s="114"/>
      <c r="L819" s="114"/>
      <c r="M819" s="114"/>
      <c r="N819" s="88"/>
      <c r="O819" s="115"/>
      <c r="P819" s="114"/>
      <c r="Q819" s="114"/>
      <c r="R819" s="114"/>
      <c r="S819" s="114"/>
      <c r="T819" s="114"/>
      <c r="U819" s="114"/>
      <c r="V819" s="114"/>
      <c r="W819" s="114"/>
      <c r="X819" s="114"/>
      <c r="Y819" s="114"/>
      <c r="Z819" s="114"/>
      <c r="AA819" s="114"/>
      <c r="AB819" s="114"/>
    </row>
    <row r="820" spans="1:28" ht="12.75">
      <c r="A820" s="114"/>
      <c r="B820" s="114"/>
      <c r="C820" s="7"/>
      <c r="D820" s="114"/>
      <c r="E820" s="117"/>
      <c r="F820" s="117"/>
      <c r="G820" s="117"/>
      <c r="H820" s="114"/>
      <c r="I820" s="114"/>
      <c r="J820" s="114"/>
      <c r="K820" s="114"/>
      <c r="L820" s="114"/>
      <c r="M820" s="114"/>
      <c r="N820" s="88"/>
      <c r="O820" s="115"/>
      <c r="P820" s="114"/>
      <c r="Q820" s="114"/>
      <c r="R820" s="114"/>
      <c r="S820" s="114"/>
      <c r="T820" s="114"/>
      <c r="U820" s="114"/>
      <c r="V820" s="114"/>
      <c r="W820" s="114"/>
      <c r="X820" s="114"/>
      <c r="Y820" s="114"/>
      <c r="Z820" s="114"/>
      <c r="AA820" s="114"/>
      <c r="AB820" s="114"/>
    </row>
    <row r="821" spans="1:28" ht="12.75">
      <c r="A821" s="114"/>
      <c r="B821" s="114"/>
      <c r="C821" s="7"/>
      <c r="D821" s="114"/>
      <c r="E821" s="117"/>
      <c r="F821" s="117"/>
      <c r="G821" s="117"/>
      <c r="H821" s="114"/>
      <c r="I821" s="114"/>
      <c r="J821" s="114"/>
      <c r="K821" s="114"/>
      <c r="L821" s="114"/>
      <c r="M821" s="114"/>
      <c r="N821" s="88"/>
      <c r="O821" s="115"/>
      <c r="P821" s="114"/>
      <c r="Q821" s="114"/>
      <c r="R821" s="114"/>
      <c r="S821" s="114"/>
      <c r="T821" s="114"/>
      <c r="U821" s="114"/>
      <c r="V821" s="114"/>
      <c r="W821" s="114"/>
      <c r="X821" s="114"/>
      <c r="Y821" s="114"/>
      <c r="Z821" s="114"/>
      <c r="AA821" s="114"/>
      <c r="AB821" s="114"/>
    </row>
    <row r="822" spans="1:28" ht="12.75">
      <c r="A822" s="114"/>
      <c r="B822" s="114"/>
      <c r="C822" s="7"/>
      <c r="D822" s="114"/>
      <c r="E822" s="117"/>
      <c r="F822" s="117"/>
      <c r="G822" s="117"/>
      <c r="H822" s="114"/>
      <c r="I822" s="114"/>
      <c r="J822" s="114"/>
      <c r="K822" s="114"/>
      <c r="L822" s="114"/>
      <c r="M822" s="114"/>
      <c r="N822" s="88"/>
      <c r="O822" s="115"/>
      <c r="P822" s="114"/>
      <c r="Q822" s="114"/>
      <c r="R822" s="114"/>
      <c r="S822" s="114"/>
      <c r="T822" s="114"/>
      <c r="U822" s="114"/>
      <c r="V822" s="114"/>
      <c r="W822" s="114"/>
      <c r="X822" s="114"/>
      <c r="Y822" s="114"/>
      <c r="Z822" s="114"/>
      <c r="AA822" s="114"/>
      <c r="AB822" s="114"/>
    </row>
    <row r="823" spans="1:28" ht="12.75">
      <c r="A823" s="114"/>
      <c r="B823" s="114"/>
      <c r="C823" s="7"/>
      <c r="D823" s="114"/>
      <c r="E823" s="117"/>
      <c r="F823" s="117"/>
      <c r="G823" s="117"/>
      <c r="H823" s="114"/>
      <c r="I823" s="114"/>
      <c r="J823" s="114"/>
      <c r="K823" s="114"/>
      <c r="L823" s="114"/>
      <c r="M823" s="114"/>
      <c r="N823" s="88"/>
      <c r="O823" s="115"/>
      <c r="P823" s="114"/>
      <c r="Q823" s="114"/>
      <c r="R823" s="114"/>
      <c r="S823" s="114"/>
      <c r="T823" s="114"/>
      <c r="U823" s="114"/>
      <c r="V823" s="114"/>
      <c r="W823" s="114"/>
      <c r="X823" s="114"/>
      <c r="Y823" s="114"/>
      <c r="Z823" s="114"/>
      <c r="AA823" s="114"/>
      <c r="AB823" s="114"/>
    </row>
    <row r="824" spans="1:28" ht="12.75">
      <c r="A824" s="114"/>
      <c r="B824" s="114"/>
      <c r="C824" s="7"/>
      <c r="D824" s="114"/>
      <c r="E824" s="117"/>
      <c r="F824" s="117"/>
      <c r="G824" s="117"/>
      <c r="H824" s="114"/>
      <c r="I824" s="114"/>
      <c r="J824" s="114"/>
      <c r="K824" s="114"/>
      <c r="L824" s="114"/>
      <c r="M824" s="114"/>
      <c r="N824" s="88"/>
      <c r="O824" s="115"/>
      <c r="P824" s="114"/>
      <c r="Q824" s="114"/>
      <c r="R824" s="114"/>
      <c r="S824" s="114"/>
      <c r="T824" s="114"/>
      <c r="U824" s="114"/>
      <c r="V824" s="114"/>
      <c r="W824" s="114"/>
      <c r="X824" s="114"/>
      <c r="Y824" s="114"/>
      <c r="Z824" s="114"/>
      <c r="AA824" s="114"/>
      <c r="AB824" s="114"/>
    </row>
    <row r="825" spans="1:28" ht="12.75">
      <c r="A825" s="114"/>
      <c r="B825" s="114"/>
      <c r="C825" s="7"/>
      <c r="D825" s="114"/>
      <c r="E825" s="117"/>
      <c r="F825" s="117"/>
      <c r="G825" s="117"/>
      <c r="H825" s="114"/>
      <c r="I825" s="114"/>
      <c r="J825" s="114"/>
      <c r="K825" s="114"/>
      <c r="L825" s="114"/>
      <c r="M825" s="114"/>
      <c r="N825" s="88"/>
      <c r="O825" s="115"/>
      <c r="P825" s="114"/>
      <c r="Q825" s="114"/>
      <c r="R825" s="114"/>
      <c r="S825" s="114"/>
      <c r="T825" s="114"/>
      <c r="U825" s="114"/>
      <c r="V825" s="114"/>
      <c r="W825" s="114"/>
      <c r="X825" s="114"/>
      <c r="Y825" s="114"/>
      <c r="Z825" s="114"/>
      <c r="AA825" s="114"/>
      <c r="AB825" s="114"/>
    </row>
    <row r="826" spans="1:28" ht="12.75">
      <c r="A826" s="114"/>
      <c r="B826" s="114"/>
      <c r="C826" s="7"/>
      <c r="D826" s="114"/>
      <c r="E826" s="117"/>
      <c r="F826" s="117"/>
      <c r="G826" s="117"/>
      <c r="H826" s="114"/>
      <c r="I826" s="114"/>
      <c r="J826" s="114"/>
      <c r="K826" s="114"/>
      <c r="L826" s="114"/>
      <c r="M826" s="114"/>
      <c r="N826" s="88"/>
      <c r="O826" s="115"/>
      <c r="P826" s="114"/>
      <c r="Q826" s="114"/>
      <c r="R826" s="114"/>
      <c r="S826" s="114"/>
      <c r="T826" s="114"/>
      <c r="U826" s="114"/>
      <c r="V826" s="114"/>
      <c r="W826" s="114"/>
      <c r="X826" s="114"/>
      <c r="Y826" s="114"/>
      <c r="Z826" s="114"/>
      <c r="AA826" s="114"/>
      <c r="AB826" s="114"/>
    </row>
    <row r="827" spans="1:28" ht="12.75">
      <c r="A827" s="114"/>
      <c r="B827" s="114"/>
      <c r="C827" s="7"/>
      <c r="D827" s="114"/>
      <c r="E827" s="117"/>
      <c r="F827" s="117"/>
      <c r="G827" s="117"/>
      <c r="H827" s="114"/>
      <c r="I827" s="114"/>
      <c r="J827" s="114"/>
      <c r="K827" s="114"/>
      <c r="L827" s="114"/>
      <c r="M827" s="114"/>
      <c r="N827" s="88"/>
      <c r="O827" s="115"/>
      <c r="P827" s="114"/>
      <c r="Q827" s="114"/>
      <c r="R827" s="114"/>
      <c r="S827" s="114"/>
      <c r="T827" s="114"/>
      <c r="U827" s="114"/>
      <c r="V827" s="114"/>
      <c r="W827" s="114"/>
      <c r="X827" s="114"/>
      <c r="Y827" s="114"/>
      <c r="Z827" s="114"/>
      <c r="AA827" s="114"/>
      <c r="AB827" s="114"/>
    </row>
    <row r="828" spans="1:28" ht="12.75">
      <c r="A828" s="114"/>
      <c r="B828" s="114"/>
      <c r="C828" s="7"/>
      <c r="D828" s="114"/>
      <c r="E828" s="117"/>
      <c r="F828" s="117"/>
      <c r="G828" s="117"/>
      <c r="H828" s="114"/>
      <c r="I828" s="114"/>
      <c r="J828" s="114"/>
      <c r="K828" s="114"/>
      <c r="L828" s="114"/>
      <c r="M828" s="114"/>
      <c r="N828" s="88"/>
      <c r="O828" s="115"/>
      <c r="P828" s="114"/>
      <c r="Q828" s="114"/>
      <c r="R828" s="114"/>
      <c r="S828" s="114"/>
      <c r="T828" s="114"/>
      <c r="U828" s="114"/>
      <c r="V828" s="114"/>
      <c r="W828" s="114"/>
      <c r="X828" s="114"/>
      <c r="Y828" s="114"/>
      <c r="Z828" s="114"/>
      <c r="AA828" s="114"/>
      <c r="AB828" s="114"/>
    </row>
    <row r="829" spans="1:28" ht="12.75">
      <c r="A829" s="114"/>
      <c r="B829" s="114"/>
      <c r="C829" s="7"/>
      <c r="D829" s="114"/>
      <c r="E829" s="117"/>
      <c r="F829" s="117"/>
      <c r="G829" s="117"/>
      <c r="H829" s="114"/>
      <c r="I829" s="114"/>
      <c r="J829" s="114"/>
      <c r="K829" s="114"/>
      <c r="L829" s="114"/>
      <c r="M829" s="114"/>
      <c r="N829" s="88"/>
      <c r="O829" s="115"/>
      <c r="P829" s="114"/>
      <c r="Q829" s="114"/>
      <c r="R829" s="114"/>
      <c r="S829" s="114"/>
      <c r="T829" s="114"/>
      <c r="U829" s="114"/>
      <c r="V829" s="114"/>
      <c r="W829" s="114"/>
      <c r="X829" s="114"/>
      <c r="Y829" s="114"/>
      <c r="Z829" s="114"/>
      <c r="AA829" s="114"/>
      <c r="AB829" s="114"/>
    </row>
    <row r="830" spans="1:28" ht="12.75">
      <c r="A830" s="114"/>
      <c r="B830" s="114"/>
      <c r="C830" s="7"/>
      <c r="D830" s="114"/>
      <c r="E830" s="117"/>
      <c r="F830" s="117"/>
      <c r="G830" s="117"/>
      <c r="H830" s="114"/>
      <c r="I830" s="114"/>
      <c r="J830" s="114"/>
      <c r="K830" s="114"/>
      <c r="L830" s="114"/>
      <c r="M830" s="114"/>
      <c r="N830" s="88"/>
      <c r="O830" s="115"/>
      <c r="P830" s="114"/>
      <c r="Q830" s="114"/>
      <c r="R830" s="114"/>
      <c r="S830" s="114"/>
      <c r="T830" s="114"/>
      <c r="U830" s="114"/>
      <c r="V830" s="114"/>
      <c r="W830" s="114"/>
      <c r="X830" s="114"/>
      <c r="Y830" s="114"/>
      <c r="Z830" s="114"/>
      <c r="AA830" s="114"/>
      <c r="AB830" s="114"/>
    </row>
    <row r="831" spans="1:28" ht="12.75">
      <c r="A831" s="114"/>
      <c r="B831" s="114"/>
      <c r="C831" s="7"/>
      <c r="D831" s="114"/>
      <c r="E831" s="117"/>
      <c r="F831" s="117"/>
      <c r="G831" s="117"/>
      <c r="H831" s="114"/>
      <c r="I831" s="114"/>
      <c r="J831" s="114"/>
      <c r="K831" s="114"/>
      <c r="L831" s="114"/>
      <c r="M831" s="114"/>
      <c r="N831" s="88"/>
      <c r="O831" s="115"/>
      <c r="P831" s="114"/>
      <c r="Q831" s="114"/>
      <c r="R831" s="114"/>
      <c r="S831" s="114"/>
      <c r="T831" s="114"/>
      <c r="U831" s="114"/>
      <c r="V831" s="114"/>
      <c r="W831" s="114"/>
      <c r="X831" s="114"/>
      <c r="Y831" s="114"/>
      <c r="Z831" s="114"/>
      <c r="AA831" s="114"/>
      <c r="AB831" s="114"/>
    </row>
    <row r="832" spans="1:28" ht="12.75">
      <c r="A832" s="114"/>
      <c r="B832" s="114"/>
      <c r="C832" s="7"/>
      <c r="D832" s="114"/>
      <c r="E832" s="117"/>
      <c r="F832" s="117"/>
      <c r="G832" s="117"/>
      <c r="H832" s="114"/>
      <c r="I832" s="114"/>
      <c r="J832" s="114"/>
      <c r="K832" s="114"/>
      <c r="L832" s="114"/>
      <c r="M832" s="114"/>
      <c r="N832" s="88"/>
      <c r="O832" s="115"/>
      <c r="P832" s="114"/>
      <c r="Q832" s="114"/>
      <c r="R832" s="114"/>
      <c r="S832" s="114"/>
      <c r="T832" s="114"/>
      <c r="U832" s="114"/>
      <c r="V832" s="114"/>
      <c r="W832" s="114"/>
      <c r="X832" s="114"/>
      <c r="Y832" s="114"/>
      <c r="Z832" s="114"/>
      <c r="AA832" s="114"/>
      <c r="AB832" s="114"/>
    </row>
    <row r="833" spans="1:28" ht="12.75">
      <c r="A833" s="114"/>
      <c r="B833" s="114"/>
      <c r="C833" s="7"/>
      <c r="D833" s="114"/>
      <c r="E833" s="117"/>
      <c r="F833" s="117"/>
      <c r="G833" s="117"/>
      <c r="H833" s="114"/>
      <c r="I833" s="114"/>
      <c r="J833" s="114"/>
      <c r="K833" s="114"/>
      <c r="L833" s="114"/>
      <c r="M833" s="114"/>
      <c r="N833" s="88"/>
      <c r="O833" s="115"/>
      <c r="P833" s="114"/>
      <c r="Q833" s="114"/>
      <c r="R833" s="114"/>
      <c r="S833" s="114"/>
      <c r="T833" s="114"/>
      <c r="U833" s="114"/>
      <c r="V833" s="114"/>
      <c r="W833" s="114"/>
      <c r="X833" s="114"/>
      <c r="Y833" s="114"/>
      <c r="Z833" s="114"/>
      <c r="AA833" s="114"/>
      <c r="AB833" s="114"/>
    </row>
    <row r="834" spans="1:28" ht="12.75">
      <c r="A834" s="114"/>
      <c r="B834" s="114"/>
      <c r="C834" s="7"/>
      <c r="D834" s="114"/>
      <c r="E834" s="117"/>
      <c r="F834" s="117"/>
      <c r="G834" s="117"/>
      <c r="H834" s="114"/>
      <c r="I834" s="114"/>
      <c r="J834" s="114"/>
      <c r="K834" s="114"/>
      <c r="L834" s="114"/>
      <c r="M834" s="114"/>
      <c r="N834" s="88"/>
      <c r="O834" s="115"/>
      <c r="P834" s="114"/>
      <c r="Q834" s="114"/>
      <c r="R834" s="114"/>
      <c r="S834" s="114"/>
      <c r="T834" s="114"/>
      <c r="U834" s="114"/>
      <c r="V834" s="114"/>
      <c r="W834" s="114"/>
      <c r="X834" s="114"/>
      <c r="Y834" s="114"/>
      <c r="Z834" s="114"/>
      <c r="AA834" s="114"/>
      <c r="AB834" s="114"/>
    </row>
    <row r="835" spans="1:28" ht="12.75">
      <c r="A835" s="114"/>
      <c r="B835" s="114"/>
      <c r="C835" s="7"/>
      <c r="D835" s="114"/>
      <c r="E835" s="117"/>
      <c r="F835" s="117"/>
      <c r="G835" s="117"/>
      <c r="H835" s="114"/>
      <c r="I835" s="114"/>
      <c r="J835" s="114"/>
      <c r="K835" s="114"/>
      <c r="L835" s="114"/>
      <c r="M835" s="114"/>
      <c r="N835" s="88"/>
      <c r="O835" s="115"/>
      <c r="P835" s="114"/>
      <c r="Q835" s="114"/>
      <c r="R835" s="114"/>
      <c r="S835" s="114"/>
      <c r="T835" s="114"/>
      <c r="U835" s="114"/>
      <c r="V835" s="114"/>
      <c r="W835" s="114"/>
      <c r="X835" s="114"/>
      <c r="Y835" s="114"/>
      <c r="Z835" s="114"/>
      <c r="AA835" s="114"/>
      <c r="AB835" s="114"/>
    </row>
    <row r="836" spans="1:28" ht="12.75">
      <c r="A836" s="114"/>
      <c r="B836" s="114"/>
      <c r="C836" s="7"/>
      <c r="D836" s="114"/>
      <c r="E836" s="117"/>
      <c r="F836" s="117"/>
      <c r="G836" s="117"/>
      <c r="H836" s="114"/>
      <c r="I836" s="114"/>
      <c r="J836" s="114"/>
      <c r="K836" s="114"/>
      <c r="L836" s="114"/>
      <c r="M836" s="114"/>
      <c r="N836" s="88"/>
      <c r="O836" s="115"/>
      <c r="P836" s="114"/>
      <c r="Q836" s="114"/>
      <c r="R836" s="114"/>
      <c r="S836" s="114"/>
      <c r="T836" s="114"/>
      <c r="U836" s="114"/>
      <c r="V836" s="114"/>
      <c r="W836" s="114"/>
      <c r="X836" s="114"/>
      <c r="Y836" s="114"/>
      <c r="Z836" s="114"/>
      <c r="AA836" s="114"/>
      <c r="AB836" s="114"/>
    </row>
    <row r="837" spans="1:28" ht="12.75">
      <c r="A837" s="114"/>
      <c r="B837" s="114"/>
      <c r="C837" s="7"/>
      <c r="D837" s="114"/>
      <c r="E837" s="117"/>
      <c r="F837" s="117"/>
      <c r="G837" s="117"/>
      <c r="H837" s="114"/>
      <c r="I837" s="114"/>
      <c r="J837" s="114"/>
      <c r="K837" s="114"/>
      <c r="L837" s="114"/>
      <c r="M837" s="114"/>
      <c r="N837" s="88"/>
      <c r="O837" s="115"/>
      <c r="P837" s="114"/>
      <c r="Q837" s="114"/>
      <c r="R837" s="114"/>
      <c r="S837" s="114"/>
      <c r="T837" s="114"/>
      <c r="U837" s="114"/>
      <c r="V837" s="114"/>
      <c r="W837" s="114"/>
      <c r="X837" s="114"/>
      <c r="Y837" s="114"/>
      <c r="Z837" s="114"/>
      <c r="AA837" s="114"/>
      <c r="AB837" s="114"/>
    </row>
    <row r="838" spans="1:28" ht="12.75">
      <c r="A838" s="114"/>
      <c r="B838" s="114"/>
      <c r="C838" s="7"/>
      <c r="D838" s="114"/>
      <c r="E838" s="117"/>
      <c r="F838" s="117"/>
      <c r="G838" s="117"/>
      <c r="H838" s="114"/>
      <c r="I838" s="114"/>
      <c r="J838" s="114"/>
      <c r="K838" s="114"/>
      <c r="L838" s="114"/>
      <c r="M838" s="114"/>
      <c r="N838" s="88"/>
      <c r="O838" s="115"/>
      <c r="P838" s="114"/>
      <c r="Q838" s="114"/>
      <c r="R838" s="114"/>
      <c r="S838" s="114"/>
      <c r="T838" s="114"/>
      <c r="U838" s="114"/>
      <c r="V838" s="114"/>
      <c r="W838" s="114"/>
      <c r="X838" s="114"/>
      <c r="Y838" s="114"/>
      <c r="Z838" s="114"/>
      <c r="AA838" s="114"/>
      <c r="AB838" s="114"/>
    </row>
    <row r="839" spans="1:28" ht="12.75">
      <c r="A839" s="114"/>
      <c r="B839" s="114"/>
      <c r="C839" s="7"/>
      <c r="D839" s="114"/>
      <c r="E839" s="117"/>
      <c r="F839" s="117"/>
      <c r="G839" s="117"/>
      <c r="H839" s="114"/>
      <c r="I839" s="114"/>
      <c r="J839" s="114"/>
      <c r="K839" s="114"/>
      <c r="L839" s="114"/>
      <c r="M839" s="114"/>
      <c r="N839" s="88"/>
      <c r="O839" s="115"/>
      <c r="P839" s="114"/>
      <c r="Q839" s="114"/>
      <c r="R839" s="114"/>
      <c r="S839" s="114"/>
      <c r="T839" s="114"/>
      <c r="U839" s="114"/>
      <c r="V839" s="114"/>
      <c r="W839" s="114"/>
      <c r="X839" s="114"/>
      <c r="Y839" s="114"/>
      <c r="Z839" s="114"/>
      <c r="AA839" s="114"/>
      <c r="AB839" s="114"/>
    </row>
    <row r="840" spans="1:28" ht="12.75">
      <c r="A840" s="114"/>
      <c r="B840" s="114"/>
      <c r="C840" s="7"/>
      <c r="D840" s="114"/>
      <c r="E840" s="117"/>
      <c r="F840" s="117"/>
      <c r="G840" s="117"/>
      <c r="H840" s="114"/>
      <c r="I840" s="114"/>
      <c r="J840" s="114"/>
      <c r="K840" s="114"/>
      <c r="L840" s="114"/>
      <c r="M840" s="114"/>
      <c r="N840" s="88"/>
      <c r="O840" s="115"/>
      <c r="P840" s="114"/>
      <c r="Q840" s="114"/>
      <c r="R840" s="114"/>
      <c r="S840" s="114"/>
      <c r="T840" s="114"/>
      <c r="U840" s="114"/>
      <c r="V840" s="114"/>
      <c r="W840" s="114"/>
      <c r="X840" s="114"/>
      <c r="Y840" s="114"/>
      <c r="Z840" s="114"/>
      <c r="AA840" s="114"/>
      <c r="AB840" s="114"/>
    </row>
    <row r="841" spans="1:28" ht="12.75">
      <c r="A841" s="114"/>
      <c r="B841" s="114"/>
      <c r="C841" s="7"/>
      <c r="D841" s="114"/>
      <c r="E841" s="117"/>
      <c r="F841" s="117"/>
      <c r="G841" s="117"/>
      <c r="H841" s="114"/>
      <c r="I841" s="114"/>
      <c r="J841" s="114"/>
      <c r="K841" s="114"/>
      <c r="L841" s="114"/>
      <c r="M841" s="114"/>
      <c r="N841" s="88"/>
      <c r="O841" s="115"/>
      <c r="P841" s="114"/>
      <c r="Q841" s="114"/>
      <c r="R841" s="114"/>
      <c r="S841" s="114"/>
      <c r="T841" s="114"/>
      <c r="U841" s="114"/>
      <c r="V841" s="114"/>
      <c r="W841" s="114"/>
      <c r="X841" s="114"/>
      <c r="Y841" s="114"/>
      <c r="Z841" s="114"/>
      <c r="AA841" s="114"/>
      <c r="AB841" s="114"/>
    </row>
    <row r="842" spans="1:28" ht="12.75">
      <c r="A842" s="114"/>
      <c r="B842" s="114"/>
      <c r="C842" s="7"/>
      <c r="D842" s="114"/>
      <c r="E842" s="117"/>
      <c r="F842" s="117"/>
      <c r="G842" s="117"/>
      <c r="H842" s="114"/>
      <c r="I842" s="114"/>
      <c r="J842" s="114"/>
      <c r="K842" s="114"/>
      <c r="L842" s="114"/>
      <c r="M842" s="114"/>
      <c r="N842" s="88"/>
      <c r="O842" s="115"/>
      <c r="P842" s="114"/>
      <c r="Q842" s="114"/>
      <c r="R842" s="114"/>
      <c r="S842" s="114"/>
      <c r="T842" s="114"/>
      <c r="U842" s="114"/>
      <c r="V842" s="114"/>
      <c r="W842" s="114"/>
      <c r="X842" s="114"/>
      <c r="Y842" s="114"/>
      <c r="Z842" s="114"/>
      <c r="AA842" s="114"/>
      <c r="AB842" s="114"/>
    </row>
    <row r="843" spans="1:28" ht="12.75">
      <c r="A843" s="114"/>
      <c r="B843" s="114"/>
      <c r="C843" s="7"/>
      <c r="D843" s="114"/>
      <c r="E843" s="117"/>
      <c r="F843" s="117"/>
      <c r="G843" s="117"/>
      <c r="H843" s="114"/>
      <c r="I843" s="114"/>
      <c r="J843" s="114"/>
      <c r="K843" s="114"/>
      <c r="L843" s="114"/>
      <c r="M843" s="114"/>
      <c r="N843" s="88"/>
      <c r="O843" s="115"/>
      <c r="P843" s="114"/>
      <c r="Q843" s="114"/>
      <c r="R843" s="114"/>
      <c r="S843" s="114"/>
      <c r="T843" s="114"/>
      <c r="U843" s="114"/>
      <c r="V843" s="114"/>
      <c r="W843" s="114"/>
      <c r="X843" s="114"/>
      <c r="Y843" s="114"/>
      <c r="Z843" s="114"/>
      <c r="AA843" s="114"/>
      <c r="AB843" s="114"/>
    </row>
    <row r="844" spans="1:28" ht="12.75">
      <c r="A844" s="114"/>
      <c r="B844" s="114"/>
      <c r="C844" s="7"/>
      <c r="D844" s="114"/>
      <c r="E844" s="117"/>
      <c r="F844" s="117"/>
      <c r="G844" s="117"/>
      <c r="H844" s="114"/>
      <c r="I844" s="114"/>
      <c r="J844" s="114"/>
      <c r="K844" s="114"/>
      <c r="L844" s="114"/>
      <c r="M844" s="114"/>
      <c r="N844" s="88"/>
      <c r="O844" s="115"/>
      <c r="P844" s="114"/>
      <c r="Q844" s="114"/>
      <c r="R844" s="114"/>
      <c r="S844" s="114"/>
      <c r="T844" s="114"/>
      <c r="U844" s="114"/>
      <c r="V844" s="114"/>
      <c r="W844" s="114"/>
      <c r="X844" s="114"/>
      <c r="Y844" s="114"/>
      <c r="Z844" s="114"/>
      <c r="AA844" s="114"/>
      <c r="AB844" s="114"/>
    </row>
    <row r="845" spans="1:28" ht="12.75">
      <c r="A845" s="114"/>
      <c r="B845" s="114"/>
      <c r="C845" s="7"/>
      <c r="D845" s="114"/>
      <c r="E845" s="117"/>
      <c r="F845" s="117"/>
      <c r="G845" s="117"/>
      <c r="H845" s="114"/>
      <c r="I845" s="114"/>
      <c r="J845" s="114"/>
      <c r="K845" s="114"/>
      <c r="L845" s="114"/>
      <c r="M845" s="114"/>
      <c r="N845" s="88"/>
      <c r="O845" s="115"/>
      <c r="P845" s="114"/>
      <c r="Q845" s="114"/>
      <c r="R845" s="114"/>
      <c r="S845" s="114"/>
      <c r="T845" s="114"/>
      <c r="U845" s="114"/>
      <c r="V845" s="114"/>
      <c r="W845" s="114"/>
      <c r="X845" s="114"/>
      <c r="Y845" s="114"/>
      <c r="Z845" s="114"/>
      <c r="AA845" s="114"/>
      <c r="AB845" s="114"/>
    </row>
    <row r="846" spans="1:28" ht="12.75">
      <c r="A846" s="114"/>
      <c r="B846" s="114"/>
      <c r="C846" s="7"/>
      <c r="D846" s="114"/>
      <c r="E846" s="117"/>
      <c r="F846" s="117"/>
      <c r="G846" s="117"/>
      <c r="H846" s="114"/>
      <c r="I846" s="114"/>
      <c r="J846" s="114"/>
      <c r="K846" s="114"/>
      <c r="L846" s="114"/>
      <c r="M846" s="114"/>
      <c r="N846" s="88"/>
      <c r="O846" s="115"/>
      <c r="P846" s="114"/>
      <c r="Q846" s="114"/>
      <c r="R846" s="114"/>
      <c r="S846" s="114"/>
      <c r="T846" s="114"/>
      <c r="U846" s="114"/>
      <c r="V846" s="114"/>
      <c r="W846" s="114"/>
      <c r="X846" s="114"/>
      <c r="Y846" s="114"/>
      <c r="Z846" s="114"/>
      <c r="AA846" s="114"/>
      <c r="AB846" s="114"/>
    </row>
    <row r="847" spans="1:28" ht="12.75">
      <c r="A847" s="114"/>
      <c r="B847" s="114"/>
      <c r="C847" s="7"/>
      <c r="D847" s="114"/>
      <c r="E847" s="117"/>
      <c r="F847" s="117"/>
      <c r="G847" s="117"/>
      <c r="H847" s="114"/>
      <c r="I847" s="114"/>
      <c r="J847" s="114"/>
      <c r="K847" s="114"/>
      <c r="L847" s="114"/>
      <c r="M847" s="114"/>
      <c r="N847" s="88"/>
      <c r="O847" s="115"/>
      <c r="P847" s="114"/>
      <c r="Q847" s="114"/>
      <c r="R847" s="114"/>
      <c r="S847" s="114"/>
      <c r="T847" s="114"/>
      <c r="U847" s="114"/>
      <c r="V847" s="114"/>
      <c r="W847" s="114"/>
      <c r="X847" s="114"/>
      <c r="Y847" s="114"/>
      <c r="Z847" s="114"/>
      <c r="AA847" s="114"/>
      <c r="AB847" s="114"/>
    </row>
    <row r="848" spans="1:28" ht="12.75">
      <c r="A848" s="114"/>
      <c r="B848" s="114"/>
      <c r="C848" s="7"/>
      <c r="D848" s="114"/>
      <c r="E848" s="117"/>
      <c r="F848" s="117"/>
      <c r="G848" s="117"/>
      <c r="H848" s="114"/>
      <c r="I848" s="114"/>
      <c r="J848" s="114"/>
      <c r="K848" s="114"/>
      <c r="L848" s="114"/>
      <c r="M848" s="114"/>
      <c r="N848" s="88"/>
      <c r="O848" s="115"/>
      <c r="P848" s="114"/>
      <c r="Q848" s="114"/>
      <c r="R848" s="114"/>
      <c r="S848" s="114"/>
      <c r="T848" s="114"/>
      <c r="U848" s="114"/>
      <c r="V848" s="114"/>
      <c r="W848" s="114"/>
      <c r="X848" s="114"/>
      <c r="Y848" s="114"/>
      <c r="Z848" s="114"/>
      <c r="AA848" s="114"/>
      <c r="AB848" s="114"/>
    </row>
    <row r="849" spans="1:28" ht="12.75">
      <c r="A849" s="114"/>
      <c r="B849" s="114"/>
      <c r="C849" s="7"/>
      <c r="D849" s="114"/>
      <c r="E849" s="117"/>
      <c r="F849" s="117"/>
      <c r="G849" s="117"/>
      <c r="H849" s="114"/>
      <c r="I849" s="114"/>
      <c r="J849" s="114"/>
      <c r="K849" s="114"/>
      <c r="L849" s="114"/>
      <c r="M849" s="114"/>
      <c r="N849" s="88"/>
      <c r="O849" s="115"/>
      <c r="P849" s="114"/>
      <c r="Q849" s="114"/>
      <c r="R849" s="114"/>
      <c r="S849" s="114"/>
      <c r="T849" s="114"/>
      <c r="U849" s="114"/>
      <c r="V849" s="114"/>
      <c r="W849" s="114"/>
      <c r="X849" s="114"/>
      <c r="Y849" s="114"/>
      <c r="Z849" s="114"/>
      <c r="AA849" s="114"/>
      <c r="AB849" s="114"/>
    </row>
    <row r="850" spans="1:28" ht="12.75">
      <c r="A850" s="114"/>
      <c r="B850" s="114"/>
      <c r="C850" s="7"/>
      <c r="D850" s="114"/>
      <c r="E850" s="117"/>
      <c r="F850" s="117"/>
      <c r="G850" s="117"/>
      <c r="H850" s="114"/>
      <c r="I850" s="114"/>
      <c r="J850" s="114"/>
      <c r="K850" s="114"/>
      <c r="L850" s="114"/>
      <c r="M850" s="114"/>
      <c r="N850" s="88"/>
      <c r="O850" s="115"/>
      <c r="P850" s="114"/>
      <c r="Q850" s="114"/>
      <c r="R850" s="114"/>
      <c r="S850" s="114"/>
      <c r="T850" s="114"/>
      <c r="U850" s="114"/>
      <c r="V850" s="114"/>
      <c r="W850" s="114"/>
      <c r="X850" s="114"/>
      <c r="Y850" s="114"/>
      <c r="Z850" s="114"/>
      <c r="AA850" s="114"/>
      <c r="AB850" s="114"/>
    </row>
    <row r="851" spans="1:28" ht="12.75">
      <c r="A851" s="114"/>
      <c r="B851" s="114"/>
      <c r="C851" s="7"/>
      <c r="D851" s="114"/>
      <c r="E851" s="117"/>
      <c r="F851" s="117"/>
      <c r="G851" s="117"/>
      <c r="H851" s="114"/>
      <c r="I851" s="114"/>
      <c r="J851" s="114"/>
      <c r="K851" s="114"/>
      <c r="L851" s="114"/>
      <c r="M851" s="114"/>
      <c r="N851" s="88"/>
      <c r="O851" s="115"/>
      <c r="P851" s="114"/>
      <c r="Q851" s="114"/>
      <c r="R851" s="114"/>
      <c r="S851" s="114"/>
      <c r="T851" s="114"/>
      <c r="U851" s="114"/>
      <c r="V851" s="114"/>
      <c r="W851" s="114"/>
      <c r="X851" s="114"/>
      <c r="Y851" s="114"/>
      <c r="Z851" s="114"/>
      <c r="AA851" s="114"/>
      <c r="AB851" s="114"/>
    </row>
    <row r="852" spans="1:28" ht="12.75">
      <c r="A852" s="114"/>
      <c r="B852" s="114"/>
      <c r="C852" s="7"/>
      <c r="D852" s="114"/>
      <c r="E852" s="117"/>
      <c r="F852" s="117"/>
      <c r="G852" s="117"/>
      <c r="H852" s="114"/>
      <c r="I852" s="114"/>
      <c r="J852" s="114"/>
      <c r="K852" s="114"/>
      <c r="L852" s="114"/>
      <c r="M852" s="114"/>
      <c r="N852" s="88"/>
      <c r="O852" s="115"/>
      <c r="P852" s="114"/>
      <c r="Q852" s="114"/>
      <c r="R852" s="114"/>
      <c r="S852" s="114"/>
      <c r="T852" s="114"/>
      <c r="U852" s="114"/>
      <c r="V852" s="114"/>
      <c r="W852" s="114"/>
      <c r="X852" s="114"/>
      <c r="Y852" s="114"/>
      <c r="Z852" s="114"/>
      <c r="AA852" s="114"/>
      <c r="AB852" s="114"/>
    </row>
    <row r="853" spans="1:28" ht="12.75">
      <c r="A853" s="114"/>
      <c r="B853" s="114"/>
      <c r="C853" s="7"/>
      <c r="D853" s="114"/>
      <c r="E853" s="117"/>
      <c r="F853" s="117"/>
      <c r="G853" s="117"/>
      <c r="H853" s="114"/>
      <c r="I853" s="114"/>
      <c r="J853" s="114"/>
      <c r="K853" s="114"/>
      <c r="L853" s="114"/>
      <c r="M853" s="114"/>
      <c r="N853" s="88"/>
      <c r="O853" s="115"/>
      <c r="P853" s="114"/>
      <c r="Q853" s="114"/>
      <c r="R853" s="114"/>
      <c r="S853" s="114"/>
      <c r="T853" s="114"/>
      <c r="U853" s="114"/>
      <c r="V853" s="114"/>
      <c r="W853" s="114"/>
      <c r="X853" s="114"/>
      <c r="Y853" s="114"/>
      <c r="Z853" s="114"/>
      <c r="AA853" s="114"/>
      <c r="AB853" s="114"/>
    </row>
    <row r="854" spans="1:28" ht="12.75">
      <c r="A854" s="114"/>
      <c r="B854" s="114"/>
      <c r="C854" s="7"/>
      <c r="D854" s="114"/>
      <c r="E854" s="117"/>
      <c r="F854" s="117"/>
      <c r="G854" s="117"/>
      <c r="H854" s="114"/>
      <c r="I854" s="114"/>
      <c r="J854" s="114"/>
      <c r="K854" s="114"/>
      <c r="L854" s="114"/>
      <c r="M854" s="114"/>
      <c r="N854" s="88"/>
      <c r="O854" s="115"/>
      <c r="P854" s="114"/>
      <c r="Q854" s="114"/>
      <c r="R854" s="114"/>
      <c r="S854" s="114"/>
      <c r="T854" s="114"/>
      <c r="U854" s="114"/>
      <c r="V854" s="114"/>
      <c r="W854" s="114"/>
      <c r="X854" s="114"/>
      <c r="Y854" s="114"/>
      <c r="Z854" s="114"/>
      <c r="AA854" s="114"/>
      <c r="AB854" s="114"/>
    </row>
    <row r="855" spans="1:28" ht="12.75">
      <c r="A855" s="114"/>
      <c r="B855" s="114"/>
      <c r="C855" s="7"/>
      <c r="D855" s="114"/>
      <c r="E855" s="117"/>
      <c r="F855" s="117"/>
      <c r="G855" s="117"/>
      <c r="H855" s="114"/>
      <c r="I855" s="114"/>
      <c r="J855" s="114"/>
      <c r="K855" s="114"/>
      <c r="L855" s="114"/>
      <c r="M855" s="114"/>
      <c r="N855" s="88"/>
      <c r="O855" s="115"/>
      <c r="P855" s="114"/>
      <c r="Q855" s="114"/>
      <c r="R855" s="114"/>
      <c r="S855" s="114"/>
      <c r="T855" s="114"/>
      <c r="U855" s="114"/>
      <c r="V855" s="114"/>
      <c r="W855" s="114"/>
      <c r="X855" s="114"/>
      <c r="Y855" s="114"/>
      <c r="Z855" s="114"/>
      <c r="AA855" s="114"/>
      <c r="AB855" s="114"/>
    </row>
    <row r="856" spans="1:28" ht="12.75">
      <c r="A856" s="114"/>
      <c r="B856" s="114"/>
      <c r="C856" s="7"/>
      <c r="D856" s="114"/>
      <c r="E856" s="117"/>
      <c r="F856" s="117"/>
      <c r="G856" s="117"/>
      <c r="H856" s="114"/>
      <c r="I856" s="114"/>
      <c r="J856" s="114"/>
      <c r="K856" s="114"/>
      <c r="L856" s="114"/>
      <c r="M856" s="114"/>
      <c r="N856" s="88"/>
      <c r="O856" s="115"/>
      <c r="P856" s="114"/>
      <c r="Q856" s="114"/>
      <c r="R856" s="114"/>
      <c r="S856" s="114"/>
      <c r="T856" s="114"/>
      <c r="U856" s="114"/>
      <c r="V856" s="114"/>
      <c r="W856" s="114"/>
      <c r="X856" s="114"/>
      <c r="Y856" s="114"/>
      <c r="Z856" s="114"/>
      <c r="AA856" s="114"/>
      <c r="AB856" s="114"/>
    </row>
    <row r="857" spans="1:28" ht="12.75">
      <c r="A857" s="114"/>
      <c r="B857" s="114"/>
      <c r="C857" s="7"/>
      <c r="D857" s="114"/>
      <c r="E857" s="117"/>
      <c r="F857" s="117"/>
      <c r="G857" s="117"/>
      <c r="H857" s="114"/>
      <c r="I857" s="114"/>
      <c r="J857" s="114"/>
      <c r="K857" s="114"/>
      <c r="L857" s="114"/>
      <c r="M857" s="114"/>
      <c r="N857" s="88"/>
      <c r="O857" s="115"/>
      <c r="P857" s="114"/>
      <c r="Q857" s="114"/>
      <c r="R857" s="114"/>
      <c r="S857" s="114"/>
      <c r="T857" s="114"/>
      <c r="U857" s="114"/>
      <c r="V857" s="114"/>
      <c r="W857" s="114"/>
      <c r="X857" s="114"/>
      <c r="Y857" s="114"/>
      <c r="Z857" s="114"/>
      <c r="AA857" s="114"/>
      <c r="AB857" s="114"/>
    </row>
    <row r="858" spans="1:28" ht="12.75">
      <c r="A858" s="114"/>
      <c r="B858" s="114"/>
      <c r="C858" s="7"/>
      <c r="D858" s="114"/>
      <c r="E858" s="117"/>
      <c r="F858" s="117"/>
      <c r="G858" s="117"/>
      <c r="H858" s="114"/>
      <c r="I858" s="114"/>
      <c r="J858" s="114"/>
      <c r="K858" s="114"/>
      <c r="L858" s="114"/>
      <c r="M858" s="114"/>
      <c r="N858" s="88"/>
      <c r="O858" s="115"/>
      <c r="P858" s="114"/>
      <c r="Q858" s="114"/>
      <c r="R858" s="114"/>
      <c r="S858" s="114"/>
      <c r="T858" s="114"/>
      <c r="U858" s="114"/>
      <c r="V858" s="114"/>
      <c r="W858" s="114"/>
      <c r="X858" s="114"/>
      <c r="Y858" s="114"/>
      <c r="Z858" s="114"/>
      <c r="AA858" s="114"/>
      <c r="AB858" s="114"/>
    </row>
    <row r="859" spans="1:28" ht="12.75">
      <c r="A859" s="114"/>
      <c r="B859" s="114"/>
      <c r="C859" s="7"/>
      <c r="D859" s="114"/>
      <c r="E859" s="117"/>
      <c r="F859" s="117"/>
      <c r="G859" s="117"/>
      <c r="H859" s="114"/>
      <c r="I859" s="114"/>
      <c r="J859" s="114"/>
      <c r="K859" s="114"/>
      <c r="L859" s="114"/>
      <c r="M859" s="114"/>
      <c r="N859" s="88"/>
      <c r="O859" s="115"/>
      <c r="P859" s="114"/>
      <c r="Q859" s="114"/>
      <c r="R859" s="114"/>
      <c r="S859" s="114"/>
      <c r="T859" s="114"/>
      <c r="U859" s="114"/>
      <c r="V859" s="114"/>
      <c r="W859" s="114"/>
      <c r="X859" s="114"/>
      <c r="Y859" s="114"/>
      <c r="Z859" s="114"/>
      <c r="AA859" s="114"/>
      <c r="AB859" s="114"/>
    </row>
    <row r="860" spans="1:28" ht="12.75">
      <c r="A860" s="114"/>
      <c r="B860" s="114"/>
      <c r="C860" s="7"/>
      <c r="D860" s="114"/>
      <c r="E860" s="117"/>
      <c r="F860" s="117"/>
      <c r="G860" s="117"/>
      <c r="H860" s="114"/>
      <c r="I860" s="114"/>
      <c r="J860" s="114"/>
      <c r="K860" s="114"/>
      <c r="L860" s="114"/>
      <c r="M860" s="114"/>
      <c r="N860" s="88"/>
      <c r="O860" s="115"/>
      <c r="P860" s="114"/>
      <c r="Q860" s="114"/>
      <c r="R860" s="114"/>
      <c r="S860" s="114"/>
      <c r="T860" s="114"/>
      <c r="U860" s="114"/>
      <c r="V860" s="114"/>
      <c r="W860" s="114"/>
      <c r="X860" s="114"/>
      <c r="Y860" s="114"/>
      <c r="Z860" s="114"/>
      <c r="AA860" s="114"/>
      <c r="AB860" s="114"/>
    </row>
    <row r="861" spans="1:28" ht="12.75">
      <c r="A861" s="114"/>
      <c r="B861" s="114"/>
      <c r="C861" s="7"/>
      <c r="D861" s="114"/>
      <c r="E861" s="117"/>
      <c r="F861" s="117"/>
      <c r="G861" s="117"/>
      <c r="H861" s="114"/>
      <c r="I861" s="114"/>
      <c r="J861" s="114"/>
      <c r="K861" s="114"/>
      <c r="L861" s="114"/>
      <c r="M861" s="114"/>
      <c r="N861" s="88"/>
      <c r="O861" s="115"/>
      <c r="P861" s="114"/>
      <c r="Q861" s="114"/>
      <c r="R861" s="114"/>
      <c r="S861" s="114"/>
      <c r="T861" s="114"/>
      <c r="U861" s="114"/>
      <c r="V861" s="114"/>
      <c r="W861" s="114"/>
      <c r="X861" s="114"/>
      <c r="Y861" s="114"/>
      <c r="Z861" s="114"/>
      <c r="AA861" s="114"/>
      <c r="AB861" s="114"/>
    </row>
    <row r="862" spans="1:28" ht="12.75">
      <c r="A862" s="114"/>
      <c r="B862" s="114"/>
      <c r="C862" s="7"/>
      <c r="D862" s="114"/>
      <c r="E862" s="117"/>
      <c r="F862" s="117"/>
      <c r="G862" s="117"/>
      <c r="H862" s="114"/>
      <c r="I862" s="114"/>
      <c r="J862" s="114"/>
      <c r="K862" s="114"/>
      <c r="L862" s="114"/>
      <c r="M862" s="114"/>
      <c r="N862" s="88"/>
      <c r="O862" s="115"/>
      <c r="P862" s="114"/>
      <c r="Q862" s="114"/>
      <c r="R862" s="114"/>
      <c r="S862" s="114"/>
      <c r="T862" s="114"/>
      <c r="U862" s="114"/>
      <c r="V862" s="114"/>
      <c r="W862" s="114"/>
      <c r="X862" s="114"/>
      <c r="Y862" s="114"/>
      <c r="Z862" s="114"/>
      <c r="AA862" s="114"/>
      <c r="AB862" s="114"/>
    </row>
    <row r="863" spans="1:28" ht="12.75">
      <c r="A863" s="114"/>
      <c r="B863" s="114"/>
      <c r="C863" s="7"/>
      <c r="D863" s="114"/>
      <c r="E863" s="117"/>
      <c r="F863" s="117"/>
      <c r="G863" s="117"/>
      <c r="H863" s="114"/>
      <c r="I863" s="114"/>
      <c r="J863" s="114"/>
      <c r="K863" s="114"/>
      <c r="L863" s="114"/>
      <c r="M863" s="114"/>
      <c r="N863" s="88"/>
      <c r="O863" s="115"/>
      <c r="P863" s="114"/>
      <c r="Q863" s="114"/>
      <c r="R863" s="114"/>
      <c r="S863" s="114"/>
      <c r="T863" s="114"/>
      <c r="U863" s="114"/>
      <c r="V863" s="114"/>
      <c r="W863" s="114"/>
      <c r="X863" s="114"/>
      <c r="Y863" s="114"/>
      <c r="Z863" s="114"/>
      <c r="AA863" s="114"/>
      <c r="AB863" s="114"/>
    </row>
    <row r="864" spans="1:28" ht="12.75">
      <c r="A864" s="114"/>
      <c r="B864" s="114"/>
      <c r="C864" s="7"/>
      <c r="D864" s="114"/>
      <c r="E864" s="117"/>
      <c r="F864" s="117"/>
      <c r="G864" s="117"/>
      <c r="H864" s="114"/>
      <c r="I864" s="114"/>
      <c r="J864" s="114"/>
      <c r="K864" s="114"/>
      <c r="L864" s="114"/>
      <c r="M864" s="114"/>
      <c r="N864" s="88"/>
      <c r="O864" s="115"/>
      <c r="P864" s="114"/>
      <c r="Q864" s="114"/>
      <c r="R864" s="114"/>
      <c r="S864" s="114"/>
      <c r="T864" s="114"/>
      <c r="U864" s="114"/>
      <c r="V864" s="114"/>
      <c r="W864" s="114"/>
      <c r="X864" s="114"/>
      <c r="Y864" s="114"/>
      <c r="Z864" s="114"/>
      <c r="AA864" s="114"/>
      <c r="AB864" s="114"/>
    </row>
    <row r="865" spans="1:28" ht="12.75">
      <c r="A865" s="114"/>
      <c r="B865" s="114"/>
      <c r="C865" s="7"/>
      <c r="D865" s="114"/>
      <c r="E865" s="117"/>
      <c r="F865" s="117"/>
      <c r="G865" s="117"/>
      <c r="H865" s="114"/>
      <c r="I865" s="114"/>
      <c r="J865" s="114"/>
      <c r="K865" s="114"/>
      <c r="L865" s="114"/>
      <c r="M865" s="114"/>
      <c r="N865" s="88"/>
      <c r="O865" s="115"/>
      <c r="P865" s="114"/>
      <c r="Q865" s="114"/>
      <c r="R865" s="114"/>
      <c r="S865" s="114"/>
      <c r="T865" s="114"/>
      <c r="U865" s="114"/>
      <c r="V865" s="114"/>
      <c r="W865" s="114"/>
      <c r="X865" s="114"/>
      <c r="Y865" s="114"/>
      <c r="Z865" s="114"/>
      <c r="AA865" s="114"/>
      <c r="AB865" s="114"/>
    </row>
    <row r="866" spans="1:28" ht="12.75">
      <c r="A866" s="114"/>
      <c r="B866" s="114"/>
      <c r="C866" s="7"/>
      <c r="D866" s="114"/>
      <c r="E866" s="117"/>
      <c r="F866" s="117"/>
      <c r="G866" s="117"/>
      <c r="H866" s="114"/>
      <c r="I866" s="114"/>
      <c r="J866" s="114"/>
      <c r="K866" s="114"/>
      <c r="L866" s="114"/>
      <c r="M866" s="114"/>
      <c r="N866" s="88"/>
      <c r="O866" s="115"/>
      <c r="P866" s="114"/>
      <c r="Q866" s="114"/>
      <c r="R866" s="114"/>
      <c r="S866" s="114"/>
      <c r="T866" s="114"/>
      <c r="U866" s="114"/>
      <c r="V866" s="114"/>
      <c r="W866" s="114"/>
      <c r="X866" s="114"/>
      <c r="Y866" s="114"/>
      <c r="Z866" s="114"/>
      <c r="AA866" s="114"/>
      <c r="AB866" s="114"/>
    </row>
    <row r="867" spans="1:28" ht="12.75">
      <c r="A867" s="114"/>
      <c r="B867" s="114"/>
      <c r="C867" s="7"/>
      <c r="D867" s="114"/>
      <c r="E867" s="117"/>
      <c r="F867" s="117"/>
      <c r="G867" s="117"/>
      <c r="H867" s="114"/>
      <c r="I867" s="114"/>
      <c r="J867" s="114"/>
      <c r="K867" s="114"/>
      <c r="L867" s="114"/>
      <c r="M867" s="114"/>
      <c r="N867" s="88"/>
      <c r="O867" s="115"/>
      <c r="P867" s="114"/>
      <c r="Q867" s="114"/>
      <c r="R867" s="114"/>
      <c r="S867" s="114"/>
      <c r="T867" s="114"/>
      <c r="U867" s="114"/>
      <c r="V867" s="114"/>
      <c r="W867" s="114"/>
      <c r="X867" s="114"/>
      <c r="Y867" s="114"/>
      <c r="Z867" s="114"/>
      <c r="AA867" s="114"/>
      <c r="AB867" s="114"/>
    </row>
    <row r="868" spans="1:28" ht="12.75">
      <c r="A868" s="114"/>
      <c r="B868" s="114"/>
      <c r="C868" s="7"/>
      <c r="D868" s="114"/>
      <c r="E868" s="117"/>
      <c r="F868" s="117"/>
      <c r="G868" s="117"/>
      <c r="H868" s="114"/>
      <c r="I868" s="114"/>
      <c r="J868" s="114"/>
      <c r="K868" s="114"/>
      <c r="L868" s="114"/>
      <c r="M868" s="114"/>
      <c r="N868" s="88"/>
      <c r="O868" s="115"/>
      <c r="P868" s="114"/>
      <c r="Q868" s="114"/>
      <c r="R868" s="114"/>
      <c r="S868" s="114"/>
      <c r="T868" s="114"/>
      <c r="U868" s="114"/>
      <c r="V868" s="114"/>
      <c r="W868" s="114"/>
      <c r="X868" s="114"/>
      <c r="Y868" s="114"/>
      <c r="Z868" s="114"/>
      <c r="AA868" s="114"/>
      <c r="AB868" s="114"/>
    </row>
    <row r="869" spans="1:28" ht="12.75">
      <c r="A869" s="114"/>
      <c r="B869" s="114"/>
      <c r="C869" s="7"/>
      <c r="D869" s="114"/>
      <c r="E869" s="117"/>
      <c r="F869" s="117"/>
      <c r="G869" s="117"/>
      <c r="H869" s="114"/>
      <c r="I869" s="114"/>
      <c r="J869" s="114"/>
      <c r="K869" s="114"/>
      <c r="L869" s="114"/>
      <c r="M869" s="114"/>
      <c r="N869" s="88"/>
      <c r="O869" s="115"/>
      <c r="P869" s="114"/>
      <c r="Q869" s="114"/>
      <c r="R869" s="114"/>
      <c r="S869" s="114"/>
      <c r="T869" s="114"/>
      <c r="U869" s="114"/>
      <c r="V869" s="114"/>
      <c r="W869" s="114"/>
      <c r="X869" s="114"/>
      <c r="Y869" s="114"/>
      <c r="Z869" s="114"/>
      <c r="AA869" s="114"/>
      <c r="AB869" s="114"/>
    </row>
    <row r="870" spans="1:28" ht="12.75">
      <c r="A870" s="114"/>
      <c r="B870" s="114"/>
      <c r="C870" s="7"/>
      <c r="D870" s="114"/>
      <c r="E870" s="117"/>
      <c r="F870" s="117"/>
      <c r="G870" s="117"/>
      <c r="H870" s="114"/>
      <c r="I870" s="114"/>
      <c r="J870" s="114"/>
      <c r="K870" s="114"/>
      <c r="L870" s="114"/>
      <c r="M870" s="114"/>
      <c r="N870" s="88"/>
      <c r="O870" s="115"/>
      <c r="P870" s="114"/>
      <c r="Q870" s="114"/>
      <c r="R870" s="114"/>
      <c r="S870" s="114"/>
      <c r="T870" s="114"/>
      <c r="U870" s="114"/>
      <c r="V870" s="114"/>
      <c r="W870" s="114"/>
      <c r="X870" s="114"/>
      <c r="Y870" s="114"/>
      <c r="Z870" s="114"/>
      <c r="AA870" s="114"/>
      <c r="AB870" s="114"/>
    </row>
    <row r="871" spans="1:28" ht="12.75">
      <c r="A871" s="114"/>
      <c r="B871" s="114"/>
      <c r="C871" s="7"/>
      <c r="D871" s="114"/>
      <c r="E871" s="117"/>
      <c r="F871" s="117"/>
      <c r="G871" s="117"/>
      <c r="H871" s="114"/>
      <c r="I871" s="114"/>
      <c r="J871" s="114"/>
      <c r="K871" s="114"/>
      <c r="L871" s="114"/>
      <c r="M871" s="114"/>
      <c r="N871" s="88"/>
      <c r="O871" s="115"/>
      <c r="P871" s="114"/>
      <c r="Q871" s="114"/>
      <c r="R871" s="114"/>
      <c r="S871" s="114"/>
      <c r="T871" s="114"/>
      <c r="U871" s="114"/>
      <c r="V871" s="114"/>
      <c r="W871" s="114"/>
      <c r="X871" s="114"/>
      <c r="Y871" s="114"/>
      <c r="Z871" s="114"/>
      <c r="AA871" s="114"/>
      <c r="AB871" s="114"/>
    </row>
    <row r="872" spans="1:28" ht="12.75">
      <c r="A872" s="114"/>
      <c r="B872" s="114"/>
      <c r="C872" s="7"/>
      <c r="D872" s="114"/>
      <c r="E872" s="117"/>
      <c r="F872" s="117"/>
      <c r="G872" s="117"/>
      <c r="H872" s="114"/>
      <c r="I872" s="114"/>
      <c r="J872" s="114"/>
      <c r="K872" s="114"/>
      <c r="L872" s="114"/>
      <c r="M872" s="114"/>
      <c r="N872" s="88"/>
      <c r="O872" s="115"/>
      <c r="P872" s="114"/>
      <c r="Q872" s="114"/>
      <c r="R872" s="114"/>
      <c r="S872" s="114"/>
      <c r="T872" s="114"/>
      <c r="U872" s="114"/>
      <c r="V872" s="114"/>
      <c r="W872" s="114"/>
      <c r="X872" s="114"/>
      <c r="Y872" s="114"/>
      <c r="Z872" s="114"/>
      <c r="AA872" s="114"/>
      <c r="AB872" s="114"/>
    </row>
    <row r="873" spans="1:28" ht="12.75">
      <c r="A873" s="114"/>
      <c r="B873" s="114"/>
      <c r="C873" s="7"/>
      <c r="D873" s="114"/>
      <c r="E873" s="117"/>
      <c r="F873" s="117"/>
      <c r="G873" s="117"/>
      <c r="H873" s="114"/>
      <c r="I873" s="114"/>
      <c r="J873" s="114"/>
      <c r="K873" s="114"/>
      <c r="L873" s="114"/>
      <c r="M873" s="114"/>
      <c r="N873" s="88"/>
      <c r="O873" s="115"/>
      <c r="P873" s="114"/>
      <c r="Q873" s="114"/>
      <c r="R873" s="114"/>
      <c r="S873" s="114"/>
      <c r="T873" s="114"/>
      <c r="U873" s="114"/>
      <c r="V873" s="114"/>
      <c r="W873" s="114"/>
      <c r="X873" s="114"/>
      <c r="Y873" s="114"/>
      <c r="Z873" s="114"/>
      <c r="AA873" s="114"/>
      <c r="AB873" s="114"/>
    </row>
    <row r="874" spans="1:28" ht="12.75">
      <c r="A874" s="114"/>
      <c r="B874" s="114"/>
      <c r="C874" s="7"/>
      <c r="D874" s="114"/>
      <c r="E874" s="117"/>
      <c r="F874" s="117"/>
      <c r="G874" s="117"/>
      <c r="H874" s="114"/>
      <c r="I874" s="114"/>
      <c r="J874" s="114"/>
      <c r="K874" s="114"/>
      <c r="L874" s="114"/>
      <c r="M874" s="114"/>
      <c r="N874" s="88"/>
      <c r="O874" s="115"/>
      <c r="P874" s="114"/>
      <c r="Q874" s="114"/>
      <c r="R874" s="114"/>
      <c r="S874" s="114"/>
      <c r="T874" s="114"/>
      <c r="U874" s="114"/>
      <c r="V874" s="114"/>
      <c r="W874" s="114"/>
      <c r="X874" s="114"/>
      <c r="Y874" s="114"/>
      <c r="Z874" s="114"/>
      <c r="AA874" s="114"/>
      <c r="AB874" s="114"/>
    </row>
    <row r="875" spans="1:28" ht="12.75">
      <c r="A875" s="114"/>
      <c r="B875" s="114"/>
      <c r="C875" s="7"/>
      <c r="D875" s="114"/>
      <c r="E875" s="117"/>
      <c r="F875" s="117"/>
      <c r="G875" s="117"/>
      <c r="H875" s="114"/>
      <c r="I875" s="114"/>
      <c r="J875" s="114"/>
      <c r="K875" s="114"/>
      <c r="L875" s="114"/>
      <c r="M875" s="114"/>
      <c r="N875" s="88"/>
      <c r="O875" s="115"/>
      <c r="P875" s="114"/>
      <c r="Q875" s="114"/>
      <c r="R875" s="114"/>
      <c r="S875" s="114"/>
      <c r="T875" s="114"/>
      <c r="U875" s="114"/>
      <c r="V875" s="114"/>
      <c r="W875" s="114"/>
      <c r="X875" s="114"/>
      <c r="Y875" s="114"/>
      <c r="Z875" s="114"/>
      <c r="AA875" s="114"/>
      <c r="AB875" s="114"/>
    </row>
    <row r="876" spans="1:28" ht="12.75">
      <c r="A876" s="114"/>
      <c r="B876" s="114"/>
      <c r="C876" s="7"/>
      <c r="D876" s="114"/>
      <c r="E876" s="117"/>
      <c r="F876" s="117"/>
      <c r="G876" s="117"/>
      <c r="H876" s="114"/>
      <c r="I876" s="114"/>
      <c r="J876" s="114"/>
      <c r="K876" s="114"/>
      <c r="L876" s="114"/>
      <c r="M876" s="114"/>
      <c r="N876" s="88"/>
      <c r="O876" s="115"/>
      <c r="P876" s="114"/>
      <c r="Q876" s="114"/>
      <c r="R876" s="114"/>
      <c r="S876" s="114"/>
      <c r="T876" s="114"/>
      <c r="U876" s="114"/>
      <c r="V876" s="114"/>
      <c r="W876" s="114"/>
      <c r="X876" s="114"/>
      <c r="Y876" s="114"/>
      <c r="Z876" s="114"/>
      <c r="AA876" s="114"/>
      <c r="AB876" s="114"/>
    </row>
    <row r="877" spans="1:28" ht="12.75">
      <c r="A877" s="114"/>
      <c r="B877" s="114"/>
      <c r="C877" s="7"/>
      <c r="D877" s="114"/>
      <c r="E877" s="117"/>
      <c r="F877" s="117"/>
      <c r="G877" s="117"/>
      <c r="H877" s="114"/>
      <c r="I877" s="114"/>
      <c r="J877" s="114"/>
      <c r="K877" s="114"/>
      <c r="L877" s="114"/>
      <c r="M877" s="114"/>
      <c r="N877" s="88"/>
      <c r="O877" s="115"/>
      <c r="P877" s="114"/>
      <c r="Q877" s="114"/>
      <c r="R877" s="114"/>
      <c r="S877" s="114"/>
      <c r="T877" s="114"/>
      <c r="U877" s="114"/>
      <c r="V877" s="114"/>
      <c r="W877" s="114"/>
      <c r="X877" s="114"/>
      <c r="Y877" s="114"/>
      <c r="Z877" s="114"/>
      <c r="AA877" s="114"/>
      <c r="AB877" s="114"/>
    </row>
    <row r="878" spans="1:28" ht="12.75">
      <c r="A878" s="114"/>
      <c r="B878" s="114"/>
      <c r="C878" s="7"/>
      <c r="D878" s="114"/>
      <c r="E878" s="117"/>
      <c r="F878" s="117"/>
      <c r="G878" s="117"/>
      <c r="H878" s="114"/>
      <c r="I878" s="114"/>
      <c r="J878" s="114"/>
      <c r="K878" s="114"/>
      <c r="L878" s="114"/>
      <c r="M878" s="114"/>
      <c r="N878" s="88"/>
      <c r="O878" s="115"/>
      <c r="P878" s="114"/>
      <c r="Q878" s="114"/>
      <c r="R878" s="114"/>
      <c r="S878" s="114"/>
      <c r="T878" s="114"/>
      <c r="U878" s="114"/>
      <c r="V878" s="114"/>
      <c r="W878" s="114"/>
      <c r="X878" s="114"/>
      <c r="Y878" s="114"/>
      <c r="Z878" s="114"/>
      <c r="AA878" s="114"/>
      <c r="AB878" s="114"/>
    </row>
    <row r="879" spans="1:28" ht="12.75">
      <c r="A879" s="114"/>
      <c r="B879" s="114"/>
      <c r="C879" s="7"/>
      <c r="D879" s="114"/>
      <c r="E879" s="117"/>
      <c r="F879" s="117"/>
      <c r="G879" s="117"/>
      <c r="H879" s="114"/>
      <c r="I879" s="114"/>
      <c r="J879" s="114"/>
      <c r="K879" s="114"/>
      <c r="L879" s="114"/>
      <c r="M879" s="114"/>
      <c r="N879" s="88"/>
      <c r="O879" s="115"/>
      <c r="P879" s="114"/>
      <c r="Q879" s="114"/>
      <c r="R879" s="114"/>
      <c r="S879" s="114"/>
      <c r="T879" s="114"/>
      <c r="U879" s="114"/>
      <c r="V879" s="114"/>
      <c r="W879" s="114"/>
      <c r="X879" s="114"/>
      <c r="Y879" s="114"/>
      <c r="Z879" s="114"/>
      <c r="AA879" s="114"/>
      <c r="AB879" s="114"/>
    </row>
    <row r="880" spans="1:28" ht="12.75">
      <c r="A880" s="114"/>
      <c r="B880" s="114"/>
      <c r="C880" s="7"/>
      <c r="D880" s="114"/>
      <c r="E880" s="117"/>
      <c r="F880" s="117"/>
      <c r="G880" s="117"/>
      <c r="H880" s="114"/>
      <c r="I880" s="114"/>
      <c r="J880" s="114"/>
      <c r="K880" s="114"/>
      <c r="L880" s="114"/>
      <c r="M880" s="114"/>
      <c r="N880" s="88"/>
      <c r="O880" s="115"/>
      <c r="P880" s="114"/>
      <c r="Q880" s="114"/>
      <c r="R880" s="114"/>
      <c r="S880" s="114"/>
      <c r="T880" s="114"/>
      <c r="U880" s="114"/>
      <c r="V880" s="114"/>
      <c r="W880" s="114"/>
      <c r="X880" s="114"/>
      <c r="Y880" s="114"/>
      <c r="Z880" s="114"/>
      <c r="AA880" s="114"/>
      <c r="AB880" s="114"/>
    </row>
    <row r="881" spans="1:28" ht="12.75">
      <c r="A881" s="114"/>
      <c r="B881" s="114"/>
      <c r="C881" s="7"/>
      <c r="D881" s="114"/>
      <c r="E881" s="117"/>
      <c r="F881" s="117"/>
      <c r="G881" s="117"/>
      <c r="H881" s="114"/>
      <c r="I881" s="114"/>
      <c r="J881" s="114"/>
      <c r="K881" s="114"/>
      <c r="L881" s="114"/>
      <c r="M881" s="114"/>
      <c r="N881" s="88"/>
      <c r="O881" s="115"/>
      <c r="P881" s="114"/>
      <c r="Q881" s="114"/>
      <c r="R881" s="114"/>
      <c r="S881" s="114"/>
      <c r="T881" s="114"/>
      <c r="U881" s="114"/>
      <c r="V881" s="114"/>
      <c r="W881" s="114"/>
      <c r="X881" s="114"/>
      <c r="Y881" s="114"/>
      <c r="Z881" s="114"/>
      <c r="AA881" s="114"/>
      <c r="AB881" s="114"/>
    </row>
    <row r="882" spans="1:28" ht="12.75">
      <c r="A882" s="114"/>
      <c r="B882" s="114"/>
      <c r="C882" s="7"/>
      <c r="D882" s="114"/>
      <c r="E882" s="117"/>
      <c r="F882" s="117"/>
      <c r="G882" s="117"/>
      <c r="H882" s="114"/>
      <c r="I882" s="114"/>
      <c r="J882" s="114"/>
      <c r="K882" s="114"/>
      <c r="L882" s="114"/>
      <c r="M882" s="114"/>
      <c r="N882" s="88"/>
      <c r="O882" s="115"/>
      <c r="P882" s="114"/>
      <c r="Q882" s="114"/>
      <c r="R882" s="114"/>
      <c r="S882" s="114"/>
      <c r="T882" s="114"/>
      <c r="U882" s="114"/>
      <c r="V882" s="114"/>
      <c r="W882" s="114"/>
      <c r="X882" s="114"/>
      <c r="Y882" s="114"/>
      <c r="Z882" s="114"/>
      <c r="AA882" s="114"/>
      <c r="AB882" s="114"/>
    </row>
    <row r="883" spans="1:28" ht="12.75">
      <c r="A883" s="114"/>
      <c r="B883" s="114"/>
      <c r="C883" s="7"/>
      <c r="D883" s="114"/>
      <c r="E883" s="117"/>
      <c r="F883" s="117"/>
      <c r="G883" s="117"/>
      <c r="H883" s="114"/>
      <c r="I883" s="114"/>
      <c r="J883" s="114"/>
      <c r="K883" s="114"/>
      <c r="L883" s="114"/>
      <c r="M883" s="114"/>
      <c r="N883" s="88"/>
      <c r="O883" s="115"/>
      <c r="P883" s="114"/>
      <c r="Q883" s="114"/>
      <c r="R883" s="114"/>
      <c r="S883" s="114"/>
      <c r="T883" s="114"/>
      <c r="U883" s="114"/>
      <c r="V883" s="114"/>
      <c r="W883" s="114"/>
      <c r="X883" s="114"/>
      <c r="Y883" s="114"/>
      <c r="Z883" s="114"/>
      <c r="AA883" s="114"/>
      <c r="AB883" s="114"/>
    </row>
    <row r="884" spans="1:28" ht="12.75">
      <c r="A884" s="114"/>
      <c r="B884" s="114"/>
      <c r="C884" s="7"/>
      <c r="D884" s="114"/>
      <c r="E884" s="117"/>
      <c r="F884" s="117"/>
      <c r="G884" s="117"/>
      <c r="H884" s="114"/>
      <c r="I884" s="114"/>
      <c r="J884" s="114"/>
      <c r="K884" s="114"/>
      <c r="L884" s="114"/>
      <c r="M884" s="114"/>
      <c r="N884" s="88"/>
      <c r="O884" s="115"/>
      <c r="P884" s="114"/>
      <c r="Q884" s="114"/>
      <c r="R884" s="114"/>
      <c r="S884" s="114"/>
      <c r="T884" s="114"/>
      <c r="U884" s="114"/>
      <c r="V884" s="114"/>
      <c r="W884" s="114"/>
      <c r="X884" s="114"/>
      <c r="Y884" s="114"/>
      <c r="Z884" s="114"/>
      <c r="AA884" s="114"/>
      <c r="AB884" s="114"/>
    </row>
    <row r="885" spans="1:28" ht="12.75">
      <c r="A885" s="114"/>
      <c r="B885" s="114"/>
      <c r="C885" s="7"/>
      <c r="D885" s="114"/>
      <c r="E885" s="117"/>
      <c r="F885" s="117"/>
      <c r="G885" s="117"/>
      <c r="H885" s="114"/>
      <c r="I885" s="114"/>
      <c r="J885" s="114"/>
      <c r="K885" s="114"/>
      <c r="L885" s="114"/>
      <c r="M885" s="114"/>
      <c r="N885" s="88"/>
      <c r="O885" s="115"/>
      <c r="P885" s="114"/>
      <c r="Q885" s="114"/>
      <c r="R885" s="114"/>
      <c r="S885" s="114"/>
      <c r="T885" s="114"/>
      <c r="U885" s="114"/>
      <c r="V885" s="114"/>
      <c r="W885" s="114"/>
      <c r="X885" s="114"/>
      <c r="Y885" s="114"/>
      <c r="Z885" s="114"/>
      <c r="AA885" s="114"/>
      <c r="AB885" s="114"/>
    </row>
    <row r="886" spans="1:28" ht="12.75">
      <c r="A886" s="114"/>
      <c r="B886" s="114"/>
      <c r="C886" s="7"/>
      <c r="D886" s="114"/>
      <c r="E886" s="117"/>
      <c r="F886" s="117"/>
      <c r="G886" s="117"/>
      <c r="H886" s="114"/>
      <c r="I886" s="114"/>
      <c r="J886" s="114"/>
      <c r="K886" s="114"/>
      <c r="L886" s="114"/>
      <c r="M886" s="114"/>
      <c r="N886" s="88"/>
      <c r="O886" s="115"/>
      <c r="P886" s="114"/>
      <c r="Q886" s="114"/>
      <c r="R886" s="114"/>
      <c r="S886" s="114"/>
      <c r="T886" s="114"/>
      <c r="U886" s="114"/>
      <c r="V886" s="114"/>
      <c r="W886" s="114"/>
      <c r="X886" s="114"/>
      <c r="Y886" s="114"/>
      <c r="Z886" s="114"/>
      <c r="AA886" s="114"/>
      <c r="AB886" s="114"/>
    </row>
    <row r="887" spans="1:28" ht="12.75">
      <c r="A887" s="114"/>
      <c r="B887" s="114"/>
      <c r="C887" s="7"/>
      <c r="D887" s="114"/>
      <c r="E887" s="117"/>
      <c r="F887" s="117"/>
      <c r="G887" s="117"/>
      <c r="H887" s="114"/>
      <c r="I887" s="114"/>
      <c r="J887" s="114"/>
      <c r="K887" s="114"/>
      <c r="L887" s="114"/>
      <c r="M887" s="114"/>
      <c r="N887" s="88"/>
      <c r="O887" s="115"/>
      <c r="P887" s="114"/>
      <c r="Q887" s="114"/>
      <c r="R887" s="114"/>
      <c r="S887" s="114"/>
      <c r="T887" s="114"/>
      <c r="U887" s="114"/>
      <c r="V887" s="114"/>
      <c r="W887" s="114"/>
      <c r="X887" s="114"/>
      <c r="Y887" s="114"/>
      <c r="Z887" s="114"/>
      <c r="AA887" s="114"/>
      <c r="AB887" s="114"/>
    </row>
    <row r="888" spans="1:28" ht="12.75">
      <c r="A888" s="114"/>
      <c r="B888" s="114"/>
      <c r="C888" s="7"/>
      <c r="D888" s="114"/>
      <c r="E888" s="117"/>
      <c r="F888" s="117"/>
      <c r="G888" s="117"/>
      <c r="H888" s="114"/>
      <c r="I888" s="114"/>
      <c r="J888" s="114"/>
      <c r="K888" s="114"/>
      <c r="L888" s="114"/>
      <c r="M888" s="114"/>
      <c r="N888" s="88"/>
      <c r="O888" s="115"/>
      <c r="P888" s="114"/>
      <c r="Q888" s="114"/>
      <c r="R888" s="114"/>
      <c r="S888" s="114"/>
      <c r="T888" s="114"/>
      <c r="U888" s="114"/>
      <c r="V888" s="114"/>
      <c r="W888" s="114"/>
      <c r="X888" s="114"/>
      <c r="Y888" s="114"/>
      <c r="Z888" s="114"/>
      <c r="AA888" s="114"/>
      <c r="AB888" s="114"/>
    </row>
    <row r="889" spans="1:28" ht="12.75">
      <c r="A889" s="114"/>
      <c r="B889" s="114"/>
      <c r="C889" s="7"/>
      <c r="D889" s="114"/>
      <c r="E889" s="117"/>
      <c r="F889" s="117"/>
      <c r="G889" s="117"/>
      <c r="H889" s="114"/>
      <c r="I889" s="114"/>
      <c r="J889" s="114"/>
      <c r="K889" s="114"/>
      <c r="L889" s="114"/>
      <c r="M889" s="114"/>
      <c r="N889" s="88"/>
      <c r="O889" s="115"/>
      <c r="P889" s="114"/>
      <c r="Q889" s="114"/>
      <c r="R889" s="114"/>
      <c r="S889" s="114"/>
      <c r="T889" s="114"/>
      <c r="U889" s="114"/>
      <c r="V889" s="114"/>
      <c r="W889" s="114"/>
      <c r="X889" s="114"/>
      <c r="Y889" s="114"/>
      <c r="Z889" s="114"/>
      <c r="AA889" s="114"/>
      <c r="AB889" s="114"/>
    </row>
    <row r="890" spans="1:28" ht="12.75">
      <c r="A890" s="114"/>
      <c r="B890" s="114"/>
      <c r="C890" s="7"/>
      <c r="D890" s="114"/>
      <c r="E890" s="117"/>
      <c r="F890" s="117"/>
      <c r="G890" s="117"/>
      <c r="H890" s="114"/>
      <c r="I890" s="114"/>
      <c r="J890" s="114"/>
      <c r="K890" s="114"/>
      <c r="L890" s="114"/>
      <c r="M890" s="114"/>
      <c r="N890" s="88"/>
      <c r="O890" s="115"/>
      <c r="P890" s="114"/>
      <c r="Q890" s="114"/>
      <c r="R890" s="114"/>
      <c r="S890" s="114"/>
      <c r="T890" s="114"/>
      <c r="U890" s="114"/>
      <c r="V890" s="114"/>
      <c r="W890" s="114"/>
      <c r="X890" s="114"/>
      <c r="Y890" s="114"/>
      <c r="Z890" s="114"/>
      <c r="AA890" s="114"/>
      <c r="AB890" s="114"/>
    </row>
    <row r="891" spans="1:28" ht="12.75">
      <c r="A891" s="114"/>
      <c r="B891" s="114"/>
      <c r="C891" s="7"/>
      <c r="D891" s="114"/>
      <c r="E891" s="117"/>
      <c r="F891" s="117"/>
      <c r="G891" s="117"/>
      <c r="H891" s="114"/>
      <c r="I891" s="114"/>
      <c r="J891" s="114"/>
      <c r="K891" s="114"/>
      <c r="L891" s="114"/>
      <c r="M891" s="114"/>
      <c r="N891" s="88"/>
      <c r="O891" s="115"/>
      <c r="P891" s="114"/>
      <c r="Q891" s="114"/>
      <c r="R891" s="114"/>
      <c r="S891" s="114"/>
      <c r="T891" s="114"/>
      <c r="U891" s="114"/>
      <c r="V891" s="114"/>
      <c r="W891" s="114"/>
      <c r="X891" s="114"/>
      <c r="Y891" s="114"/>
      <c r="Z891" s="114"/>
      <c r="AA891" s="114"/>
      <c r="AB891" s="114"/>
    </row>
    <row r="892" spans="1:28" ht="12.75">
      <c r="A892" s="114"/>
      <c r="B892" s="114"/>
      <c r="C892" s="7"/>
      <c r="D892" s="114"/>
      <c r="E892" s="117"/>
      <c r="F892" s="117"/>
      <c r="G892" s="117"/>
      <c r="H892" s="114"/>
      <c r="I892" s="114"/>
      <c r="J892" s="114"/>
      <c r="K892" s="114"/>
      <c r="L892" s="114"/>
      <c r="M892" s="114"/>
      <c r="N892" s="88"/>
      <c r="O892" s="115"/>
      <c r="P892" s="114"/>
      <c r="Q892" s="114"/>
      <c r="R892" s="114"/>
      <c r="S892" s="114"/>
      <c r="T892" s="114"/>
      <c r="U892" s="114"/>
      <c r="V892" s="114"/>
      <c r="W892" s="114"/>
      <c r="X892" s="114"/>
      <c r="Y892" s="114"/>
      <c r="Z892" s="114"/>
      <c r="AA892" s="114"/>
      <c r="AB892" s="114"/>
    </row>
    <row r="893" spans="1:28" ht="12.75">
      <c r="A893" s="114"/>
      <c r="B893" s="114"/>
      <c r="C893" s="7"/>
      <c r="D893" s="114"/>
      <c r="E893" s="117"/>
      <c r="F893" s="117"/>
      <c r="G893" s="117"/>
      <c r="H893" s="114"/>
      <c r="I893" s="114"/>
      <c r="J893" s="114"/>
      <c r="K893" s="114"/>
      <c r="L893" s="114"/>
      <c r="M893" s="114"/>
      <c r="N893" s="88"/>
      <c r="O893" s="115"/>
      <c r="P893" s="114"/>
      <c r="Q893" s="114"/>
      <c r="R893" s="114"/>
      <c r="S893" s="114"/>
      <c r="T893" s="114"/>
      <c r="U893" s="114"/>
      <c r="V893" s="114"/>
      <c r="W893" s="114"/>
      <c r="X893" s="114"/>
      <c r="Y893" s="114"/>
      <c r="Z893" s="114"/>
      <c r="AA893" s="114"/>
      <c r="AB893" s="114"/>
    </row>
    <row r="894" spans="1:28" ht="12.75">
      <c r="A894" s="114"/>
      <c r="B894" s="114"/>
      <c r="C894" s="7"/>
      <c r="D894" s="114"/>
      <c r="E894" s="117"/>
      <c r="F894" s="117"/>
      <c r="G894" s="117"/>
      <c r="H894" s="114"/>
      <c r="I894" s="114"/>
      <c r="J894" s="114"/>
      <c r="K894" s="114"/>
      <c r="L894" s="114"/>
      <c r="M894" s="114"/>
      <c r="N894" s="88"/>
      <c r="O894" s="115"/>
      <c r="P894" s="114"/>
      <c r="Q894" s="114"/>
      <c r="R894" s="114"/>
      <c r="S894" s="114"/>
      <c r="T894" s="114"/>
      <c r="U894" s="114"/>
      <c r="V894" s="114"/>
      <c r="W894" s="114"/>
      <c r="X894" s="114"/>
      <c r="Y894" s="114"/>
      <c r="Z894" s="114"/>
      <c r="AA894" s="114"/>
      <c r="AB894" s="114"/>
    </row>
    <row r="895" spans="1:28" ht="12.75">
      <c r="A895" s="114"/>
      <c r="B895" s="114"/>
      <c r="C895" s="7"/>
      <c r="D895" s="114"/>
      <c r="E895" s="117"/>
      <c r="F895" s="117"/>
      <c r="G895" s="117"/>
      <c r="H895" s="114"/>
      <c r="I895" s="114"/>
      <c r="J895" s="114"/>
      <c r="K895" s="114"/>
      <c r="L895" s="114"/>
      <c r="M895" s="114"/>
      <c r="N895" s="88"/>
      <c r="O895" s="115"/>
      <c r="P895" s="114"/>
      <c r="Q895" s="114"/>
      <c r="R895" s="114"/>
      <c r="S895" s="114"/>
      <c r="T895" s="114"/>
      <c r="U895" s="114"/>
      <c r="V895" s="114"/>
      <c r="W895" s="114"/>
      <c r="X895" s="114"/>
      <c r="Y895" s="114"/>
      <c r="Z895" s="114"/>
      <c r="AA895" s="114"/>
      <c r="AB895" s="114"/>
    </row>
    <row r="896" spans="1:28" ht="12.75">
      <c r="A896" s="114"/>
      <c r="B896" s="114"/>
      <c r="C896" s="7"/>
      <c r="D896" s="114"/>
      <c r="E896" s="117"/>
      <c r="F896" s="117"/>
      <c r="G896" s="117"/>
      <c r="H896" s="114"/>
      <c r="I896" s="114"/>
      <c r="J896" s="114"/>
      <c r="K896" s="114"/>
      <c r="L896" s="114"/>
      <c r="M896" s="114"/>
      <c r="N896" s="88"/>
      <c r="O896" s="115"/>
      <c r="P896" s="114"/>
      <c r="Q896" s="114"/>
      <c r="R896" s="114"/>
      <c r="S896" s="114"/>
      <c r="T896" s="114"/>
      <c r="U896" s="114"/>
      <c r="V896" s="114"/>
      <c r="W896" s="114"/>
      <c r="X896" s="114"/>
      <c r="Y896" s="114"/>
      <c r="Z896" s="114"/>
      <c r="AA896" s="114"/>
      <c r="AB896" s="114"/>
    </row>
    <row r="897" spans="1:28" ht="12.75">
      <c r="A897" s="114"/>
      <c r="B897" s="114"/>
      <c r="C897" s="7"/>
      <c r="D897" s="114"/>
      <c r="E897" s="117"/>
      <c r="F897" s="117"/>
      <c r="G897" s="117"/>
      <c r="H897" s="114"/>
      <c r="I897" s="114"/>
      <c r="J897" s="114"/>
      <c r="K897" s="114"/>
      <c r="L897" s="114"/>
      <c r="M897" s="114"/>
      <c r="N897" s="88"/>
      <c r="O897" s="115"/>
      <c r="P897" s="114"/>
      <c r="Q897" s="114"/>
      <c r="R897" s="114"/>
      <c r="S897" s="114"/>
      <c r="T897" s="114"/>
      <c r="U897" s="114"/>
      <c r="V897" s="114"/>
      <c r="W897" s="114"/>
      <c r="X897" s="114"/>
      <c r="Y897" s="114"/>
      <c r="Z897" s="114"/>
      <c r="AA897" s="114"/>
      <c r="AB897" s="114"/>
    </row>
    <row r="898" spans="1:28" ht="12.75">
      <c r="A898" s="114"/>
      <c r="B898" s="114"/>
      <c r="C898" s="7"/>
      <c r="D898" s="114"/>
      <c r="E898" s="117"/>
      <c r="F898" s="117"/>
      <c r="G898" s="117"/>
      <c r="H898" s="114"/>
      <c r="I898" s="114"/>
      <c r="J898" s="114"/>
      <c r="K898" s="114"/>
      <c r="L898" s="114"/>
      <c r="M898" s="114"/>
      <c r="N898" s="88"/>
      <c r="O898" s="115"/>
      <c r="P898" s="114"/>
      <c r="Q898" s="114"/>
      <c r="R898" s="114"/>
      <c r="S898" s="114"/>
      <c r="T898" s="114"/>
      <c r="U898" s="114"/>
      <c r="V898" s="114"/>
      <c r="W898" s="114"/>
      <c r="X898" s="114"/>
      <c r="Y898" s="114"/>
      <c r="Z898" s="114"/>
      <c r="AA898" s="114"/>
      <c r="AB898" s="114"/>
    </row>
    <row r="899" spans="1:28" ht="12.75">
      <c r="A899" s="114"/>
      <c r="B899" s="114"/>
      <c r="C899" s="7"/>
      <c r="D899" s="114"/>
      <c r="E899" s="117"/>
      <c r="F899" s="117"/>
      <c r="G899" s="117"/>
      <c r="H899" s="114"/>
      <c r="I899" s="114"/>
      <c r="J899" s="114"/>
      <c r="K899" s="114"/>
      <c r="L899" s="114"/>
      <c r="M899" s="114"/>
      <c r="N899" s="88"/>
      <c r="O899" s="115"/>
      <c r="P899" s="114"/>
      <c r="Q899" s="114"/>
      <c r="R899" s="114"/>
      <c r="S899" s="114"/>
      <c r="T899" s="114"/>
      <c r="U899" s="114"/>
      <c r="V899" s="114"/>
      <c r="W899" s="114"/>
      <c r="X899" s="114"/>
      <c r="Y899" s="114"/>
      <c r="Z899" s="114"/>
      <c r="AA899" s="114"/>
      <c r="AB899" s="114"/>
    </row>
    <row r="900" spans="1:28" ht="12.75">
      <c r="A900" s="114"/>
      <c r="B900" s="114"/>
      <c r="C900" s="7"/>
      <c r="D900" s="114"/>
      <c r="E900" s="117"/>
      <c r="F900" s="117"/>
      <c r="G900" s="117"/>
      <c r="H900" s="114"/>
      <c r="I900" s="114"/>
      <c r="J900" s="114"/>
      <c r="K900" s="114"/>
      <c r="L900" s="114"/>
      <c r="M900" s="114"/>
      <c r="N900" s="88"/>
      <c r="O900" s="115"/>
      <c r="P900" s="114"/>
      <c r="Q900" s="114"/>
      <c r="R900" s="114"/>
      <c r="S900" s="114"/>
      <c r="T900" s="114"/>
      <c r="U900" s="114"/>
      <c r="V900" s="114"/>
      <c r="W900" s="114"/>
      <c r="X900" s="114"/>
      <c r="Y900" s="114"/>
      <c r="Z900" s="114"/>
      <c r="AA900" s="114"/>
      <c r="AB900" s="114"/>
    </row>
    <row r="901" spans="1:28" ht="12.75">
      <c r="A901" s="114"/>
      <c r="B901" s="114"/>
      <c r="C901" s="7"/>
      <c r="D901" s="114"/>
      <c r="E901" s="117"/>
      <c r="F901" s="117"/>
      <c r="G901" s="117"/>
      <c r="H901" s="114"/>
      <c r="I901" s="114"/>
      <c r="J901" s="114"/>
      <c r="K901" s="114"/>
      <c r="L901" s="114"/>
      <c r="M901" s="114"/>
      <c r="N901" s="88"/>
      <c r="O901" s="115"/>
      <c r="P901" s="114"/>
      <c r="Q901" s="114"/>
      <c r="R901" s="114"/>
      <c r="S901" s="114"/>
      <c r="T901" s="114"/>
      <c r="U901" s="114"/>
      <c r="V901" s="114"/>
      <c r="W901" s="114"/>
      <c r="X901" s="114"/>
      <c r="Y901" s="114"/>
      <c r="Z901" s="114"/>
      <c r="AA901" s="114"/>
      <c r="AB901" s="114"/>
    </row>
    <row r="902" spans="1:28" ht="12.75">
      <c r="A902" s="114"/>
      <c r="B902" s="114"/>
      <c r="C902" s="7"/>
      <c r="D902" s="114"/>
      <c r="E902" s="117"/>
      <c r="F902" s="117"/>
      <c r="G902" s="117"/>
      <c r="H902" s="114"/>
      <c r="I902" s="114"/>
      <c r="J902" s="114"/>
      <c r="K902" s="114"/>
      <c r="L902" s="114"/>
      <c r="M902" s="114"/>
      <c r="N902" s="88"/>
      <c r="O902" s="115"/>
      <c r="P902" s="114"/>
      <c r="Q902" s="114"/>
      <c r="R902" s="114"/>
      <c r="S902" s="114"/>
      <c r="T902" s="114"/>
      <c r="U902" s="114"/>
      <c r="V902" s="114"/>
      <c r="W902" s="114"/>
      <c r="X902" s="114"/>
      <c r="Y902" s="114"/>
      <c r="Z902" s="114"/>
      <c r="AA902" s="114"/>
      <c r="AB902" s="114"/>
    </row>
    <row r="903" spans="1:28" ht="12.75">
      <c r="A903" s="114"/>
      <c r="B903" s="114"/>
      <c r="C903" s="7"/>
      <c r="D903" s="114"/>
      <c r="E903" s="117"/>
      <c r="F903" s="117"/>
      <c r="G903" s="117"/>
      <c r="H903" s="114"/>
      <c r="I903" s="114"/>
      <c r="J903" s="114"/>
      <c r="K903" s="114"/>
      <c r="L903" s="114"/>
      <c r="M903" s="114"/>
      <c r="N903" s="88"/>
      <c r="O903" s="115"/>
      <c r="P903" s="114"/>
      <c r="Q903" s="114"/>
      <c r="R903" s="114"/>
      <c r="S903" s="114"/>
      <c r="T903" s="114"/>
      <c r="U903" s="114"/>
      <c r="V903" s="114"/>
      <c r="W903" s="114"/>
      <c r="X903" s="114"/>
      <c r="Y903" s="114"/>
      <c r="Z903" s="114"/>
      <c r="AA903" s="114"/>
      <c r="AB903" s="114"/>
    </row>
    <row r="904" spans="1:28" ht="12.75">
      <c r="A904" s="114"/>
      <c r="B904" s="114"/>
      <c r="C904" s="7"/>
      <c r="D904" s="114"/>
      <c r="E904" s="117"/>
      <c r="F904" s="117"/>
      <c r="G904" s="117"/>
      <c r="H904" s="114"/>
      <c r="I904" s="114"/>
      <c r="J904" s="114"/>
      <c r="K904" s="114"/>
      <c r="L904" s="114"/>
      <c r="M904" s="114"/>
      <c r="N904" s="88"/>
      <c r="O904" s="115"/>
      <c r="P904" s="114"/>
      <c r="Q904" s="114"/>
      <c r="R904" s="114"/>
      <c r="S904" s="114"/>
      <c r="T904" s="114"/>
      <c r="U904" s="114"/>
      <c r="V904" s="114"/>
      <c r="W904" s="114"/>
      <c r="X904" s="114"/>
      <c r="Y904" s="114"/>
      <c r="Z904" s="114"/>
      <c r="AA904" s="114"/>
      <c r="AB904" s="114"/>
    </row>
    <row r="905" spans="1:28" ht="12.75">
      <c r="A905" s="114"/>
      <c r="B905" s="114"/>
      <c r="C905" s="7"/>
      <c r="D905" s="114"/>
      <c r="E905" s="117"/>
      <c r="F905" s="117"/>
      <c r="G905" s="117"/>
      <c r="H905" s="114"/>
      <c r="I905" s="114"/>
      <c r="J905" s="114"/>
      <c r="K905" s="114"/>
      <c r="L905" s="114"/>
      <c r="M905" s="114"/>
      <c r="N905" s="88"/>
      <c r="O905" s="115"/>
      <c r="P905" s="114"/>
      <c r="Q905" s="114"/>
      <c r="R905" s="114"/>
      <c r="S905" s="114"/>
      <c r="T905" s="114"/>
      <c r="U905" s="114"/>
      <c r="V905" s="114"/>
      <c r="W905" s="114"/>
      <c r="X905" s="114"/>
      <c r="Y905" s="114"/>
      <c r="Z905" s="114"/>
      <c r="AA905" s="114"/>
      <c r="AB905" s="114"/>
    </row>
    <row r="906" spans="1:28" ht="12.75">
      <c r="A906" s="114"/>
      <c r="B906" s="114"/>
      <c r="C906" s="7"/>
      <c r="D906" s="114"/>
      <c r="E906" s="117"/>
      <c r="F906" s="117"/>
      <c r="G906" s="117"/>
      <c r="H906" s="114"/>
      <c r="I906" s="114"/>
      <c r="J906" s="114"/>
      <c r="K906" s="114"/>
      <c r="L906" s="114"/>
      <c r="M906" s="114"/>
      <c r="N906" s="88"/>
      <c r="O906" s="115"/>
      <c r="P906" s="114"/>
      <c r="Q906" s="114"/>
      <c r="R906" s="114"/>
      <c r="S906" s="114"/>
      <c r="T906" s="114"/>
      <c r="U906" s="114"/>
      <c r="V906" s="114"/>
      <c r="W906" s="114"/>
      <c r="X906" s="114"/>
      <c r="Y906" s="114"/>
      <c r="Z906" s="114"/>
      <c r="AA906" s="114"/>
      <c r="AB906" s="114"/>
    </row>
    <row r="907" spans="1:28" ht="12.75">
      <c r="A907" s="114"/>
      <c r="B907" s="114"/>
      <c r="C907" s="7"/>
      <c r="D907" s="114"/>
      <c r="E907" s="117"/>
      <c r="F907" s="117"/>
      <c r="G907" s="117"/>
      <c r="H907" s="114"/>
      <c r="I907" s="114"/>
      <c r="J907" s="114"/>
      <c r="K907" s="114"/>
      <c r="L907" s="114"/>
      <c r="M907" s="114"/>
      <c r="N907" s="88"/>
      <c r="O907" s="115"/>
      <c r="P907" s="114"/>
      <c r="Q907" s="114"/>
      <c r="R907" s="114"/>
      <c r="S907" s="114"/>
      <c r="T907" s="114"/>
      <c r="U907" s="114"/>
      <c r="V907" s="114"/>
      <c r="W907" s="114"/>
      <c r="X907" s="114"/>
      <c r="Y907" s="114"/>
      <c r="Z907" s="114"/>
      <c r="AA907" s="114"/>
      <c r="AB907" s="114"/>
    </row>
    <row r="908" spans="1:28" ht="12.75">
      <c r="A908" s="114"/>
      <c r="B908" s="114"/>
      <c r="C908" s="7"/>
      <c r="D908" s="114"/>
      <c r="E908" s="117"/>
      <c r="F908" s="117"/>
      <c r="G908" s="117"/>
      <c r="H908" s="114"/>
      <c r="I908" s="114"/>
      <c r="J908" s="114"/>
      <c r="K908" s="114"/>
      <c r="L908" s="114"/>
      <c r="M908" s="114"/>
      <c r="N908" s="88"/>
      <c r="O908" s="115"/>
      <c r="P908" s="114"/>
      <c r="Q908" s="114"/>
      <c r="R908" s="114"/>
      <c r="S908" s="114"/>
      <c r="T908" s="114"/>
      <c r="U908" s="114"/>
      <c r="V908" s="114"/>
      <c r="W908" s="114"/>
      <c r="X908" s="114"/>
      <c r="Y908" s="114"/>
      <c r="Z908" s="114"/>
      <c r="AA908" s="114"/>
      <c r="AB908" s="114"/>
    </row>
    <row r="909" spans="1:28" ht="12.75">
      <c r="A909" s="114"/>
      <c r="B909" s="114"/>
      <c r="C909" s="7"/>
      <c r="D909" s="114"/>
      <c r="E909" s="117"/>
      <c r="F909" s="117"/>
      <c r="G909" s="117"/>
      <c r="H909" s="114"/>
      <c r="I909" s="114"/>
      <c r="J909" s="114"/>
      <c r="K909" s="114"/>
      <c r="L909" s="114"/>
      <c r="M909" s="114"/>
      <c r="N909" s="88"/>
      <c r="O909" s="115"/>
      <c r="P909" s="114"/>
      <c r="Q909" s="114"/>
      <c r="R909" s="114"/>
      <c r="S909" s="114"/>
      <c r="T909" s="114"/>
      <c r="U909" s="114"/>
      <c r="V909" s="114"/>
      <c r="W909" s="114"/>
      <c r="X909" s="114"/>
      <c r="Y909" s="114"/>
      <c r="Z909" s="114"/>
      <c r="AA909" s="114"/>
      <c r="AB909" s="114"/>
    </row>
    <row r="910" spans="1:28" ht="12.75">
      <c r="A910" s="114"/>
      <c r="B910" s="114"/>
      <c r="C910" s="7"/>
      <c r="D910" s="114"/>
      <c r="E910" s="117"/>
      <c r="F910" s="117"/>
      <c r="G910" s="117"/>
      <c r="H910" s="114"/>
      <c r="I910" s="114"/>
      <c r="J910" s="114"/>
      <c r="K910" s="114"/>
      <c r="L910" s="114"/>
      <c r="M910" s="114"/>
      <c r="N910" s="88"/>
      <c r="O910" s="115"/>
      <c r="P910" s="114"/>
      <c r="Q910" s="114"/>
      <c r="R910" s="114"/>
      <c r="S910" s="114"/>
      <c r="T910" s="114"/>
      <c r="U910" s="114"/>
      <c r="V910" s="114"/>
      <c r="W910" s="114"/>
      <c r="X910" s="114"/>
      <c r="Y910" s="114"/>
      <c r="Z910" s="114"/>
      <c r="AA910" s="114"/>
      <c r="AB910" s="114"/>
    </row>
    <row r="911" spans="1:28" ht="12.75">
      <c r="A911" s="114"/>
      <c r="B911" s="114"/>
      <c r="C911" s="7"/>
      <c r="D911" s="114"/>
      <c r="E911" s="117"/>
      <c r="F911" s="117"/>
      <c r="G911" s="117"/>
      <c r="H911" s="114"/>
      <c r="I911" s="114"/>
      <c r="J911" s="114"/>
      <c r="K911" s="114"/>
      <c r="L911" s="114"/>
      <c r="M911" s="114"/>
      <c r="N911" s="88"/>
      <c r="O911" s="115"/>
      <c r="P911" s="114"/>
      <c r="Q911" s="114"/>
      <c r="R911" s="114"/>
      <c r="S911" s="114"/>
      <c r="T911" s="114"/>
      <c r="U911" s="114"/>
      <c r="V911" s="114"/>
      <c r="W911" s="114"/>
      <c r="X911" s="114"/>
      <c r="Y911" s="114"/>
      <c r="Z911" s="114"/>
      <c r="AA911" s="114"/>
      <c r="AB911" s="114"/>
    </row>
    <row r="912" spans="1:28" ht="12.75">
      <c r="A912" s="114"/>
      <c r="B912" s="114"/>
      <c r="C912" s="7"/>
      <c r="D912" s="114"/>
      <c r="E912" s="117"/>
      <c r="F912" s="117"/>
      <c r="G912" s="117"/>
      <c r="H912" s="114"/>
      <c r="I912" s="114"/>
      <c r="J912" s="114"/>
      <c r="K912" s="114"/>
      <c r="L912" s="114"/>
      <c r="M912" s="114"/>
      <c r="N912" s="88"/>
      <c r="O912" s="115"/>
      <c r="P912" s="114"/>
      <c r="Q912" s="114"/>
      <c r="R912" s="114"/>
      <c r="S912" s="114"/>
      <c r="T912" s="114"/>
      <c r="U912" s="114"/>
      <c r="V912" s="114"/>
      <c r="W912" s="114"/>
      <c r="X912" s="114"/>
      <c r="Y912" s="114"/>
      <c r="Z912" s="114"/>
      <c r="AA912" s="114"/>
      <c r="AB912" s="114"/>
    </row>
    <row r="913" spans="1:28" ht="12.75">
      <c r="A913" s="114"/>
      <c r="B913" s="114"/>
      <c r="C913" s="7"/>
      <c r="D913" s="114"/>
      <c r="E913" s="117"/>
      <c r="F913" s="117"/>
      <c r="G913" s="117"/>
      <c r="H913" s="114"/>
      <c r="I913" s="114"/>
      <c r="J913" s="114"/>
      <c r="K913" s="114"/>
      <c r="L913" s="114"/>
      <c r="M913" s="114"/>
      <c r="N913" s="88"/>
      <c r="O913" s="115"/>
      <c r="P913" s="114"/>
      <c r="Q913" s="114"/>
      <c r="R913" s="114"/>
      <c r="S913" s="114"/>
      <c r="T913" s="114"/>
      <c r="U913" s="114"/>
      <c r="V913" s="114"/>
      <c r="W913" s="114"/>
      <c r="X913" s="114"/>
      <c r="Y913" s="114"/>
      <c r="Z913" s="114"/>
      <c r="AA913" s="114"/>
      <c r="AB913" s="114"/>
    </row>
    <row r="914" spans="1:28" ht="12.75">
      <c r="A914" s="114"/>
      <c r="B914" s="114"/>
      <c r="C914" s="7"/>
      <c r="D914" s="114"/>
      <c r="E914" s="117"/>
      <c r="F914" s="117"/>
      <c r="G914" s="117"/>
      <c r="H914" s="114"/>
      <c r="I914" s="114"/>
      <c r="J914" s="114"/>
      <c r="K914" s="114"/>
      <c r="L914" s="114"/>
      <c r="M914" s="114"/>
      <c r="N914" s="88"/>
      <c r="O914" s="115"/>
      <c r="P914" s="114"/>
      <c r="Q914" s="114"/>
      <c r="R914" s="114"/>
      <c r="S914" s="114"/>
      <c r="T914" s="114"/>
      <c r="U914" s="114"/>
      <c r="V914" s="114"/>
      <c r="W914" s="114"/>
      <c r="X914" s="114"/>
      <c r="Y914" s="114"/>
      <c r="Z914" s="114"/>
      <c r="AA914" s="114"/>
      <c r="AB914" s="114"/>
    </row>
    <row r="915" spans="1:28" ht="12.75">
      <c r="A915" s="114"/>
      <c r="B915" s="114"/>
      <c r="C915" s="7"/>
      <c r="D915" s="114"/>
      <c r="E915" s="117"/>
      <c r="F915" s="117"/>
      <c r="G915" s="117"/>
      <c r="H915" s="114"/>
      <c r="I915" s="114"/>
      <c r="J915" s="114"/>
      <c r="K915" s="114"/>
      <c r="L915" s="114"/>
      <c r="M915" s="114"/>
      <c r="N915" s="88"/>
      <c r="O915" s="115"/>
      <c r="P915" s="114"/>
      <c r="Q915" s="114"/>
      <c r="R915" s="114"/>
      <c r="S915" s="114"/>
      <c r="T915" s="114"/>
      <c r="U915" s="114"/>
      <c r="V915" s="114"/>
      <c r="W915" s="114"/>
      <c r="X915" s="114"/>
      <c r="Y915" s="114"/>
      <c r="Z915" s="114"/>
      <c r="AA915" s="114"/>
      <c r="AB915" s="114"/>
    </row>
    <row r="916" spans="1:28" ht="12.75">
      <c r="A916" s="114"/>
      <c r="B916" s="114"/>
      <c r="C916" s="7"/>
      <c r="D916" s="114"/>
      <c r="E916" s="117"/>
      <c r="F916" s="117"/>
      <c r="G916" s="117"/>
      <c r="H916" s="114"/>
      <c r="I916" s="114"/>
      <c r="J916" s="114"/>
      <c r="K916" s="114"/>
      <c r="L916" s="114"/>
      <c r="M916" s="114"/>
      <c r="N916" s="88"/>
      <c r="O916" s="115"/>
      <c r="P916" s="114"/>
      <c r="Q916" s="114"/>
      <c r="R916" s="114"/>
      <c r="S916" s="114"/>
      <c r="T916" s="114"/>
      <c r="U916" s="114"/>
      <c r="V916" s="114"/>
      <c r="W916" s="114"/>
      <c r="X916" s="114"/>
      <c r="Y916" s="114"/>
      <c r="Z916" s="114"/>
      <c r="AA916" s="114"/>
      <c r="AB916" s="114"/>
    </row>
    <row r="917" spans="1:28" ht="12.75">
      <c r="A917" s="114"/>
      <c r="B917" s="114"/>
      <c r="C917" s="7"/>
      <c r="D917" s="114"/>
      <c r="E917" s="117"/>
      <c r="F917" s="117"/>
      <c r="G917" s="117"/>
      <c r="H917" s="114"/>
      <c r="I917" s="114"/>
      <c r="J917" s="114"/>
      <c r="K917" s="114"/>
      <c r="L917" s="114"/>
      <c r="M917" s="114"/>
      <c r="N917" s="88"/>
      <c r="O917" s="115"/>
      <c r="P917" s="114"/>
      <c r="Q917" s="114"/>
      <c r="R917" s="114"/>
      <c r="S917" s="114"/>
      <c r="T917" s="114"/>
      <c r="U917" s="114"/>
      <c r="V917" s="114"/>
      <c r="W917" s="114"/>
      <c r="X917" s="114"/>
      <c r="Y917" s="114"/>
      <c r="Z917" s="114"/>
      <c r="AA917" s="114"/>
      <c r="AB917" s="114"/>
    </row>
    <row r="918" spans="1:28" ht="12.75">
      <c r="A918" s="114"/>
      <c r="B918" s="114"/>
      <c r="C918" s="7"/>
      <c r="D918" s="114"/>
      <c r="E918" s="117"/>
      <c r="F918" s="117"/>
      <c r="G918" s="117"/>
      <c r="H918" s="114"/>
      <c r="I918" s="114"/>
      <c r="J918" s="114"/>
      <c r="K918" s="114"/>
      <c r="L918" s="114"/>
      <c r="M918" s="114"/>
      <c r="N918" s="88"/>
      <c r="O918" s="115"/>
      <c r="P918" s="114"/>
      <c r="Q918" s="114"/>
      <c r="R918" s="114"/>
      <c r="S918" s="114"/>
      <c r="T918" s="114"/>
      <c r="U918" s="114"/>
      <c r="V918" s="114"/>
      <c r="W918" s="114"/>
      <c r="X918" s="114"/>
      <c r="Y918" s="114"/>
      <c r="Z918" s="114"/>
      <c r="AA918" s="114"/>
      <c r="AB918" s="114"/>
    </row>
    <row r="919" spans="1:28" ht="12.75">
      <c r="A919" s="114"/>
      <c r="B919" s="114"/>
      <c r="C919" s="7"/>
      <c r="D919" s="114"/>
      <c r="E919" s="117"/>
      <c r="F919" s="117"/>
      <c r="G919" s="117"/>
      <c r="H919" s="114"/>
      <c r="I919" s="114"/>
      <c r="J919" s="114"/>
      <c r="K919" s="114"/>
      <c r="L919" s="114"/>
      <c r="M919" s="114"/>
      <c r="N919" s="88"/>
      <c r="O919" s="115"/>
      <c r="P919" s="114"/>
      <c r="Q919" s="114"/>
      <c r="R919" s="114"/>
      <c r="S919" s="114"/>
      <c r="T919" s="114"/>
      <c r="U919" s="114"/>
      <c r="V919" s="114"/>
      <c r="W919" s="114"/>
      <c r="X919" s="114"/>
      <c r="Y919" s="114"/>
      <c r="Z919" s="114"/>
      <c r="AA919" s="114"/>
      <c r="AB919" s="114"/>
    </row>
    <row r="920" spans="1:28" ht="12.75">
      <c r="A920" s="114"/>
      <c r="B920" s="114"/>
      <c r="C920" s="7"/>
      <c r="D920" s="114"/>
      <c r="E920" s="117"/>
      <c r="F920" s="117"/>
      <c r="G920" s="117"/>
      <c r="H920" s="114"/>
      <c r="I920" s="114"/>
      <c r="J920" s="114"/>
      <c r="K920" s="114"/>
      <c r="L920" s="114"/>
      <c r="M920" s="114"/>
      <c r="N920" s="88"/>
      <c r="O920" s="115"/>
      <c r="P920" s="114"/>
      <c r="Q920" s="114"/>
      <c r="R920" s="114"/>
      <c r="S920" s="114"/>
      <c r="T920" s="114"/>
      <c r="U920" s="114"/>
      <c r="V920" s="114"/>
      <c r="W920" s="114"/>
      <c r="X920" s="114"/>
      <c r="Y920" s="114"/>
      <c r="Z920" s="114"/>
      <c r="AA920" s="114"/>
      <c r="AB920" s="114"/>
    </row>
    <row r="921" spans="1:28" ht="12.75">
      <c r="A921" s="114"/>
      <c r="B921" s="114"/>
      <c r="C921" s="7"/>
      <c r="D921" s="114"/>
      <c r="E921" s="117"/>
      <c r="F921" s="117"/>
      <c r="G921" s="117"/>
      <c r="H921" s="114"/>
      <c r="I921" s="114"/>
      <c r="J921" s="114"/>
      <c r="K921" s="114"/>
      <c r="L921" s="114"/>
      <c r="M921" s="114"/>
      <c r="N921" s="88"/>
      <c r="O921" s="115"/>
      <c r="P921" s="114"/>
      <c r="Q921" s="114"/>
      <c r="R921" s="114"/>
      <c r="S921" s="114"/>
      <c r="T921" s="114"/>
      <c r="U921" s="114"/>
      <c r="V921" s="114"/>
      <c r="W921" s="114"/>
      <c r="X921" s="114"/>
      <c r="Y921" s="114"/>
      <c r="Z921" s="114"/>
      <c r="AA921" s="114"/>
      <c r="AB921" s="114"/>
    </row>
    <row r="922" spans="1:28" ht="12.75">
      <c r="A922" s="114"/>
      <c r="B922" s="114"/>
      <c r="C922" s="7"/>
      <c r="D922" s="114"/>
      <c r="E922" s="117"/>
      <c r="F922" s="117"/>
      <c r="G922" s="117"/>
      <c r="H922" s="114"/>
      <c r="I922" s="114"/>
      <c r="J922" s="114"/>
      <c r="K922" s="114"/>
      <c r="L922" s="114"/>
      <c r="M922" s="114"/>
      <c r="N922" s="88"/>
      <c r="O922" s="115"/>
      <c r="P922" s="114"/>
      <c r="Q922" s="114"/>
      <c r="R922" s="114"/>
      <c r="S922" s="114"/>
      <c r="T922" s="114"/>
      <c r="U922" s="114"/>
      <c r="V922" s="114"/>
      <c r="W922" s="114"/>
      <c r="X922" s="114"/>
      <c r="Y922" s="114"/>
      <c r="Z922" s="114"/>
      <c r="AA922" s="114"/>
      <c r="AB922" s="114"/>
    </row>
    <row r="923" spans="1:28" ht="12.75">
      <c r="A923" s="114"/>
      <c r="B923" s="114"/>
      <c r="C923" s="7"/>
      <c r="D923" s="114"/>
      <c r="E923" s="117"/>
      <c r="F923" s="117"/>
      <c r="G923" s="117"/>
      <c r="H923" s="114"/>
      <c r="I923" s="114"/>
      <c r="J923" s="114"/>
      <c r="K923" s="114"/>
      <c r="L923" s="114"/>
      <c r="M923" s="114"/>
      <c r="N923" s="88"/>
      <c r="O923" s="115"/>
      <c r="P923" s="114"/>
      <c r="Q923" s="114"/>
      <c r="R923" s="114"/>
      <c r="S923" s="114"/>
      <c r="T923" s="114"/>
      <c r="U923" s="114"/>
      <c r="V923" s="114"/>
      <c r="W923" s="114"/>
      <c r="X923" s="114"/>
      <c r="Y923" s="114"/>
      <c r="Z923" s="114"/>
      <c r="AA923" s="114"/>
      <c r="AB923" s="114"/>
    </row>
    <row r="924" spans="1:28" ht="12.75">
      <c r="A924" s="114"/>
      <c r="B924" s="114"/>
      <c r="C924" s="7"/>
      <c r="D924" s="114"/>
      <c r="E924" s="117"/>
      <c r="F924" s="117"/>
      <c r="G924" s="117"/>
      <c r="H924" s="114"/>
      <c r="I924" s="114"/>
      <c r="J924" s="114"/>
      <c r="K924" s="114"/>
      <c r="L924" s="114"/>
      <c r="M924" s="114"/>
      <c r="N924" s="88"/>
      <c r="O924" s="115"/>
      <c r="P924" s="114"/>
      <c r="Q924" s="114"/>
      <c r="R924" s="114"/>
      <c r="S924" s="114"/>
      <c r="T924" s="114"/>
      <c r="U924" s="114"/>
      <c r="V924" s="114"/>
      <c r="W924" s="114"/>
      <c r="X924" s="114"/>
      <c r="Y924" s="114"/>
      <c r="Z924" s="114"/>
      <c r="AA924" s="114"/>
      <c r="AB924" s="114"/>
    </row>
    <row r="925" spans="1:28" ht="12.75">
      <c r="A925" s="114"/>
      <c r="B925" s="114"/>
      <c r="C925" s="7"/>
      <c r="D925" s="114"/>
      <c r="E925" s="117"/>
      <c r="F925" s="117"/>
      <c r="G925" s="117"/>
      <c r="H925" s="114"/>
      <c r="I925" s="114"/>
      <c r="J925" s="114"/>
      <c r="K925" s="114"/>
      <c r="L925" s="114"/>
      <c r="M925" s="114"/>
      <c r="N925" s="88"/>
      <c r="O925" s="115"/>
      <c r="P925" s="114"/>
      <c r="Q925" s="114"/>
      <c r="R925" s="114"/>
      <c r="S925" s="114"/>
      <c r="T925" s="114"/>
      <c r="U925" s="114"/>
      <c r="V925" s="114"/>
      <c r="W925" s="114"/>
      <c r="X925" s="114"/>
      <c r="Y925" s="114"/>
      <c r="Z925" s="114"/>
      <c r="AA925" s="114"/>
      <c r="AB925" s="114"/>
    </row>
    <row r="926" spans="1:28" ht="12.75">
      <c r="A926" s="114"/>
      <c r="B926" s="114"/>
      <c r="C926" s="7"/>
      <c r="D926" s="114"/>
      <c r="E926" s="117"/>
      <c r="F926" s="117"/>
      <c r="G926" s="117"/>
      <c r="H926" s="114"/>
      <c r="I926" s="114"/>
      <c r="J926" s="114"/>
      <c r="K926" s="114"/>
      <c r="L926" s="114"/>
      <c r="M926" s="114"/>
      <c r="N926" s="88"/>
      <c r="O926" s="115"/>
      <c r="P926" s="114"/>
      <c r="Q926" s="114"/>
      <c r="R926" s="114"/>
      <c r="S926" s="114"/>
      <c r="T926" s="114"/>
      <c r="U926" s="114"/>
      <c r="V926" s="114"/>
      <c r="W926" s="114"/>
      <c r="X926" s="114"/>
      <c r="Y926" s="114"/>
      <c r="Z926" s="114"/>
      <c r="AA926" s="114"/>
      <c r="AB926" s="114"/>
    </row>
    <row r="927" spans="1:28" ht="12.75">
      <c r="A927" s="114"/>
      <c r="B927" s="114"/>
      <c r="C927" s="7"/>
      <c r="D927" s="114"/>
      <c r="E927" s="117"/>
      <c r="F927" s="117"/>
      <c r="G927" s="117"/>
      <c r="H927" s="114"/>
      <c r="I927" s="114"/>
      <c r="J927" s="114"/>
      <c r="K927" s="114"/>
      <c r="L927" s="114"/>
      <c r="M927" s="114"/>
      <c r="N927" s="88"/>
      <c r="O927" s="115"/>
      <c r="P927" s="114"/>
      <c r="Q927" s="114"/>
      <c r="R927" s="114"/>
      <c r="S927" s="114"/>
      <c r="T927" s="114"/>
      <c r="U927" s="114"/>
      <c r="V927" s="114"/>
      <c r="W927" s="114"/>
      <c r="X927" s="114"/>
      <c r="Y927" s="114"/>
      <c r="Z927" s="114"/>
      <c r="AA927" s="114"/>
      <c r="AB927" s="114"/>
    </row>
    <row r="928" spans="1:28" ht="12.75">
      <c r="A928" s="114"/>
      <c r="B928" s="114"/>
      <c r="C928" s="7"/>
      <c r="D928" s="114"/>
      <c r="E928" s="117"/>
      <c r="F928" s="117"/>
      <c r="G928" s="117"/>
      <c r="H928" s="114"/>
      <c r="I928" s="114"/>
      <c r="J928" s="114"/>
      <c r="K928" s="114"/>
      <c r="L928" s="114"/>
      <c r="M928" s="114"/>
      <c r="N928" s="88"/>
      <c r="O928" s="115"/>
      <c r="P928" s="114"/>
      <c r="Q928" s="114"/>
      <c r="R928" s="114"/>
      <c r="S928" s="114"/>
      <c r="T928" s="114"/>
      <c r="U928" s="114"/>
      <c r="V928" s="114"/>
      <c r="W928" s="114"/>
      <c r="X928" s="114"/>
      <c r="Y928" s="114"/>
      <c r="Z928" s="114"/>
      <c r="AA928" s="114"/>
      <c r="AB928" s="114"/>
    </row>
    <row r="929" spans="1:28" ht="12.75">
      <c r="A929" s="114"/>
      <c r="B929" s="114"/>
      <c r="C929" s="7"/>
      <c r="D929" s="114"/>
      <c r="E929" s="117"/>
      <c r="F929" s="117"/>
      <c r="G929" s="117"/>
      <c r="H929" s="114"/>
      <c r="I929" s="114"/>
      <c r="J929" s="114"/>
      <c r="K929" s="114"/>
      <c r="L929" s="114"/>
      <c r="M929" s="114"/>
      <c r="N929" s="88"/>
      <c r="O929" s="115"/>
      <c r="P929" s="114"/>
      <c r="Q929" s="114"/>
      <c r="R929" s="114"/>
      <c r="S929" s="114"/>
      <c r="T929" s="114"/>
      <c r="U929" s="114"/>
      <c r="V929" s="114"/>
      <c r="W929" s="114"/>
      <c r="X929" s="114"/>
      <c r="Y929" s="114"/>
      <c r="Z929" s="114"/>
      <c r="AA929" s="114"/>
      <c r="AB929" s="114"/>
    </row>
    <row r="930" spans="1:28" ht="12.75">
      <c r="A930" s="114"/>
      <c r="B930" s="114"/>
      <c r="C930" s="7"/>
      <c r="D930" s="114"/>
      <c r="E930" s="117"/>
      <c r="F930" s="117"/>
      <c r="G930" s="117"/>
      <c r="H930" s="114"/>
      <c r="I930" s="114"/>
      <c r="J930" s="114"/>
      <c r="K930" s="114"/>
      <c r="L930" s="114"/>
      <c r="M930" s="114"/>
      <c r="N930" s="88"/>
      <c r="O930" s="115"/>
      <c r="P930" s="114"/>
      <c r="Q930" s="114"/>
      <c r="R930" s="114"/>
      <c r="S930" s="114"/>
      <c r="T930" s="114"/>
      <c r="U930" s="114"/>
      <c r="V930" s="114"/>
      <c r="W930" s="114"/>
      <c r="X930" s="114"/>
      <c r="Y930" s="114"/>
      <c r="Z930" s="114"/>
      <c r="AA930" s="114"/>
      <c r="AB930" s="114"/>
    </row>
    <row r="931" spans="1:28" ht="12.75">
      <c r="A931" s="114"/>
      <c r="B931" s="114"/>
      <c r="C931" s="7"/>
      <c r="D931" s="114"/>
      <c r="E931" s="117"/>
      <c r="F931" s="117"/>
      <c r="G931" s="117"/>
      <c r="H931" s="114"/>
      <c r="I931" s="114"/>
      <c r="J931" s="114"/>
      <c r="K931" s="114"/>
      <c r="L931" s="114"/>
      <c r="M931" s="114"/>
      <c r="N931" s="88"/>
      <c r="O931" s="115"/>
      <c r="P931" s="114"/>
      <c r="Q931" s="114"/>
      <c r="R931" s="114"/>
      <c r="S931" s="114"/>
      <c r="T931" s="114"/>
      <c r="U931" s="114"/>
      <c r="V931" s="114"/>
      <c r="W931" s="114"/>
      <c r="X931" s="114"/>
      <c r="Y931" s="114"/>
      <c r="Z931" s="114"/>
      <c r="AA931" s="114"/>
      <c r="AB931" s="114"/>
    </row>
    <row r="932" spans="1:28" ht="12.75">
      <c r="A932" s="114"/>
      <c r="B932" s="114"/>
      <c r="C932" s="7"/>
      <c r="D932" s="114"/>
      <c r="E932" s="117"/>
      <c r="F932" s="117"/>
      <c r="G932" s="117"/>
      <c r="H932" s="114"/>
      <c r="I932" s="114"/>
      <c r="J932" s="114"/>
      <c r="K932" s="114"/>
      <c r="L932" s="114"/>
      <c r="M932" s="114"/>
      <c r="N932" s="88"/>
      <c r="O932" s="115"/>
      <c r="P932" s="114"/>
      <c r="Q932" s="114"/>
      <c r="R932" s="114"/>
      <c r="S932" s="114"/>
      <c r="T932" s="114"/>
      <c r="U932" s="114"/>
      <c r="V932" s="114"/>
      <c r="W932" s="114"/>
      <c r="X932" s="114"/>
      <c r="Y932" s="114"/>
      <c r="Z932" s="114"/>
      <c r="AA932" s="114"/>
      <c r="AB932" s="114"/>
    </row>
    <row r="933" spans="1:28" ht="12.75">
      <c r="A933" s="114"/>
      <c r="B933" s="114"/>
      <c r="C933" s="7"/>
      <c r="D933" s="114"/>
      <c r="E933" s="117"/>
      <c r="F933" s="117"/>
      <c r="G933" s="117"/>
      <c r="H933" s="114"/>
      <c r="I933" s="114"/>
      <c r="J933" s="114"/>
      <c r="K933" s="114"/>
      <c r="L933" s="114"/>
      <c r="M933" s="114"/>
      <c r="N933" s="88"/>
      <c r="O933" s="115"/>
      <c r="P933" s="114"/>
      <c r="Q933" s="114"/>
      <c r="R933" s="114"/>
      <c r="S933" s="114"/>
      <c r="T933" s="114"/>
      <c r="U933" s="114"/>
      <c r="V933" s="114"/>
      <c r="W933" s="114"/>
      <c r="X933" s="114"/>
      <c r="Y933" s="114"/>
      <c r="Z933" s="114"/>
      <c r="AA933" s="114"/>
      <c r="AB933" s="114"/>
    </row>
    <row r="934" spans="1:28" ht="12.75">
      <c r="A934" s="114"/>
      <c r="B934" s="114"/>
      <c r="C934" s="7"/>
      <c r="D934" s="114"/>
      <c r="E934" s="117"/>
      <c r="F934" s="117"/>
      <c r="G934" s="117"/>
      <c r="H934" s="114"/>
      <c r="I934" s="114"/>
      <c r="J934" s="114"/>
      <c r="K934" s="114"/>
      <c r="L934" s="114"/>
      <c r="M934" s="114"/>
      <c r="N934" s="88"/>
      <c r="O934" s="115"/>
      <c r="P934" s="114"/>
      <c r="Q934" s="114"/>
      <c r="R934" s="114"/>
      <c r="S934" s="114"/>
      <c r="T934" s="114"/>
      <c r="U934" s="114"/>
      <c r="V934" s="114"/>
      <c r="W934" s="114"/>
      <c r="X934" s="114"/>
      <c r="Y934" s="114"/>
      <c r="Z934" s="114"/>
      <c r="AA934" s="114"/>
      <c r="AB934" s="114"/>
    </row>
    <row r="935" spans="1:28" ht="12.75">
      <c r="A935" s="114"/>
      <c r="B935" s="114"/>
      <c r="C935" s="7"/>
      <c r="D935" s="114"/>
      <c r="E935" s="117"/>
      <c r="F935" s="117"/>
      <c r="G935" s="117"/>
      <c r="H935" s="114"/>
      <c r="I935" s="114"/>
      <c r="J935" s="114"/>
      <c r="K935" s="114"/>
      <c r="L935" s="114"/>
      <c r="M935" s="114"/>
      <c r="N935" s="88"/>
      <c r="O935" s="115"/>
      <c r="P935" s="114"/>
      <c r="Q935" s="114"/>
      <c r="R935" s="114"/>
      <c r="S935" s="114"/>
      <c r="T935" s="114"/>
      <c r="U935" s="114"/>
      <c r="V935" s="114"/>
      <c r="W935" s="114"/>
      <c r="X935" s="114"/>
      <c r="Y935" s="114"/>
      <c r="Z935" s="114"/>
      <c r="AA935" s="114"/>
      <c r="AB935" s="114"/>
    </row>
    <row r="936" spans="1:28" ht="12.75">
      <c r="A936" s="114"/>
      <c r="B936" s="114"/>
      <c r="C936" s="7"/>
      <c r="D936" s="114"/>
      <c r="E936" s="117"/>
      <c r="F936" s="117"/>
      <c r="G936" s="117"/>
      <c r="H936" s="114"/>
      <c r="I936" s="114"/>
      <c r="J936" s="114"/>
      <c r="K936" s="114"/>
      <c r="L936" s="114"/>
      <c r="M936" s="114"/>
      <c r="N936" s="88"/>
      <c r="O936" s="115"/>
      <c r="P936" s="114"/>
      <c r="Q936" s="114"/>
      <c r="R936" s="114"/>
      <c r="S936" s="114"/>
      <c r="T936" s="114"/>
      <c r="U936" s="114"/>
      <c r="V936" s="114"/>
      <c r="W936" s="114"/>
      <c r="X936" s="114"/>
      <c r="Y936" s="114"/>
      <c r="Z936" s="114"/>
      <c r="AA936" s="114"/>
      <c r="AB936" s="114"/>
    </row>
    <row r="937" spans="1:28" ht="12.75">
      <c r="A937" s="114"/>
      <c r="B937" s="114"/>
      <c r="C937" s="7"/>
      <c r="D937" s="114"/>
      <c r="E937" s="117"/>
      <c r="F937" s="117"/>
      <c r="G937" s="117"/>
      <c r="H937" s="114"/>
      <c r="I937" s="114"/>
      <c r="J937" s="114"/>
      <c r="K937" s="114"/>
      <c r="L937" s="114"/>
      <c r="M937" s="114"/>
      <c r="N937" s="88"/>
      <c r="O937" s="115"/>
      <c r="P937" s="114"/>
      <c r="Q937" s="114"/>
      <c r="R937" s="114"/>
      <c r="S937" s="114"/>
      <c r="T937" s="114"/>
      <c r="U937" s="114"/>
      <c r="V937" s="114"/>
      <c r="W937" s="114"/>
      <c r="X937" s="114"/>
      <c r="Y937" s="114"/>
      <c r="Z937" s="114"/>
      <c r="AA937" s="114"/>
      <c r="AB937" s="114"/>
    </row>
    <row r="938" spans="1:28" ht="12.75">
      <c r="A938" s="114"/>
      <c r="B938" s="114"/>
      <c r="C938" s="7"/>
      <c r="D938" s="114"/>
      <c r="E938" s="117"/>
      <c r="F938" s="117"/>
      <c r="G938" s="117"/>
      <c r="H938" s="114"/>
      <c r="I938" s="114"/>
      <c r="J938" s="114"/>
      <c r="K938" s="114"/>
      <c r="L938" s="114"/>
      <c r="M938" s="114"/>
      <c r="N938" s="88"/>
      <c r="O938" s="115"/>
      <c r="P938" s="114"/>
      <c r="Q938" s="114"/>
      <c r="R938" s="114"/>
      <c r="S938" s="114"/>
      <c r="T938" s="114"/>
      <c r="U938" s="114"/>
      <c r="V938" s="114"/>
      <c r="W938" s="114"/>
      <c r="X938" s="114"/>
      <c r="Y938" s="114"/>
      <c r="Z938" s="114"/>
      <c r="AA938" s="114"/>
      <c r="AB938" s="114"/>
    </row>
    <row r="939" spans="1:28" ht="12.75">
      <c r="A939" s="114"/>
      <c r="B939" s="114"/>
      <c r="C939" s="7"/>
      <c r="D939" s="114"/>
      <c r="E939" s="117"/>
      <c r="F939" s="117"/>
      <c r="G939" s="117"/>
      <c r="H939" s="114"/>
      <c r="I939" s="114"/>
      <c r="J939" s="114"/>
      <c r="K939" s="114"/>
      <c r="L939" s="114"/>
      <c r="M939" s="114"/>
      <c r="N939" s="88"/>
      <c r="O939" s="115"/>
      <c r="P939" s="114"/>
      <c r="Q939" s="114"/>
      <c r="R939" s="114"/>
      <c r="S939" s="114"/>
      <c r="T939" s="114"/>
      <c r="U939" s="114"/>
      <c r="V939" s="114"/>
      <c r="W939" s="114"/>
      <c r="X939" s="114"/>
      <c r="Y939" s="114"/>
      <c r="Z939" s="114"/>
      <c r="AA939" s="114"/>
      <c r="AB939" s="114"/>
    </row>
    <row r="940" spans="1:28" ht="12.75">
      <c r="A940" s="114"/>
      <c r="B940" s="114"/>
      <c r="C940" s="7"/>
      <c r="D940" s="114"/>
      <c r="E940" s="117"/>
      <c r="F940" s="117"/>
      <c r="G940" s="117"/>
      <c r="H940" s="114"/>
      <c r="I940" s="114"/>
      <c r="J940" s="114"/>
      <c r="K940" s="114"/>
      <c r="L940" s="114"/>
      <c r="M940" s="114"/>
      <c r="N940" s="88"/>
      <c r="O940" s="115"/>
      <c r="P940" s="114"/>
      <c r="Q940" s="114"/>
      <c r="R940" s="114"/>
      <c r="S940" s="114"/>
      <c r="T940" s="114"/>
      <c r="U940" s="114"/>
      <c r="V940" s="114"/>
      <c r="W940" s="114"/>
      <c r="X940" s="114"/>
      <c r="Y940" s="114"/>
      <c r="Z940" s="114"/>
      <c r="AA940" s="114"/>
      <c r="AB940" s="114"/>
    </row>
    <row r="941" spans="1:28" ht="12.75">
      <c r="A941" s="114"/>
      <c r="B941" s="114"/>
      <c r="C941" s="7"/>
      <c r="D941" s="114"/>
      <c r="E941" s="117"/>
      <c r="F941" s="117"/>
      <c r="G941" s="117"/>
      <c r="H941" s="114"/>
      <c r="I941" s="114"/>
      <c r="J941" s="114"/>
      <c r="K941" s="114"/>
      <c r="L941" s="114"/>
      <c r="M941" s="114"/>
      <c r="N941" s="88"/>
      <c r="O941" s="115"/>
      <c r="P941" s="114"/>
      <c r="Q941" s="114"/>
      <c r="R941" s="114"/>
      <c r="S941" s="114"/>
      <c r="T941" s="114"/>
      <c r="U941" s="114"/>
      <c r="V941" s="114"/>
      <c r="W941" s="114"/>
      <c r="X941" s="114"/>
      <c r="Y941" s="114"/>
      <c r="Z941" s="114"/>
      <c r="AA941" s="114"/>
      <c r="AB941" s="114"/>
    </row>
    <row r="942" spans="1:28" ht="12.75">
      <c r="A942" s="114"/>
      <c r="B942" s="114"/>
      <c r="C942" s="7"/>
      <c r="D942" s="114"/>
      <c r="E942" s="117"/>
      <c r="F942" s="117"/>
      <c r="G942" s="117"/>
      <c r="H942" s="114"/>
      <c r="I942" s="114"/>
      <c r="J942" s="114"/>
      <c r="K942" s="114"/>
      <c r="L942" s="114"/>
      <c r="M942" s="114"/>
      <c r="N942" s="88"/>
      <c r="O942" s="115"/>
      <c r="P942" s="114"/>
      <c r="Q942" s="114"/>
      <c r="R942" s="114"/>
      <c r="S942" s="114"/>
      <c r="T942" s="114"/>
      <c r="U942" s="114"/>
      <c r="V942" s="114"/>
      <c r="W942" s="114"/>
      <c r="X942" s="114"/>
      <c r="Y942" s="114"/>
      <c r="Z942" s="114"/>
      <c r="AA942" s="114"/>
      <c r="AB942" s="114"/>
    </row>
    <row r="943" spans="1:28" ht="12.75">
      <c r="A943" s="114"/>
      <c r="B943" s="114"/>
      <c r="C943" s="7"/>
      <c r="D943" s="114"/>
      <c r="E943" s="117"/>
      <c r="F943" s="117"/>
      <c r="G943" s="117"/>
      <c r="H943" s="114"/>
      <c r="I943" s="114"/>
      <c r="J943" s="114"/>
      <c r="K943" s="114"/>
      <c r="L943" s="114"/>
      <c r="M943" s="114"/>
      <c r="N943" s="88"/>
      <c r="O943" s="115"/>
      <c r="P943" s="114"/>
      <c r="Q943" s="114"/>
      <c r="R943" s="114"/>
      <c r="S943" s="114"/>
      <c r="T943" s="114"/>
      <c r="U943" s="114"/>
      <c r="V943" s="114"/>
      <c r="W943" s="114"/>
      <c r="X943" s="114"/>
      <c r="Y943" s="114"/>
      <c r="Z943" s="114"/>
      <c r="AA943" s="114"/>
      <c r="AB943" s="114"/>
    </row>
    <row r="944" spans="1:28" ht="12.75">
      <c r="A944" s="114"/>
      <c r="B944" s="114"/>
      <c r="C944" s="7"/>
      <c r="D944" s="114"/>
      <c r="E944" s="117"/>
      <c r="F944" s="117"/>
      <c r="G944" s="117"/>
      <c r="H944" s="114"/>
      <c r="I944" s="114"/>
      <c r="J944" s="114"/>
      <c r="K944" s="114"/>
      <c r="L944" s="114"/>
      <c r="M944" s="114"/>
      <c r="N944" s="88"/>
      <c r="O944" s="115"/>
      <c r="P944" s="114"/>
      <c r="Q944" s="114"/>
      <c r="R944" s="114"/>
      <c r="S944" s="114"/>
      <c r="T944" s="114"/>
      <c r="U944" s="114"/>
      <c r="V944" s="114"/>
      <c r="W944" s="114"/>
      <c r="X944" s="114"/>
      <c r="Y944" s="114"/>
      <c r="Z944" s="114"/>
      <c r="AA944" s="114"/>
      <c r="AB944" s="114"/>
    </row>
    <row r="945" spans="1:28" ht="12.75">
      <c r="A945" s="114"/>
      <c r="B945" s="114"/>
      <c r="C945" s="7"/>
      <c r="D945" s="114"/>
      <c r="E945" s="117"/>
      <c r="F945" s="117"/>
      <c r="G945" s="117"/>
      <c r="H945" s="114"/>
      <c r="I945" s="114"/>
      <c r="J945" s="114"/>
      <c r="K945" s="114"/>
      <c r="L945" s="114"/>
      <c r="M945" s="114"/>
      <c r="N945" s="88"/>
      <c r="O945" s="115"/>
      <c r="P945" s="114"/>
      <c r="Q945" s="114"/>
      <c r="R945" s="114"/>
      <c r="S945" s="114"/>
      <c r="T945" s="114"/>
      <c r="U945" s="114"/>
      <c r="V945" s="114"/>
      <c r="W945" s="114"/>
      <c r="X945" s="114"/>
      <c r="Y945" s="114"/>
      <c r="Z945" s="114"/>
      <c r="AA945" s="114"/>
      <c r="AB945" s="114"/>
    </row>
    <row r="946" spans="1:28" ht="12.75">
      <c r="A946" s="114"/>
      <c r="B946" s="114"/>
      <c r="C946" s="7"/>
      <c r="D946" s="114"/>
      <c r="E946" s="117"/>
      <c r="F946" s="117"/>
      <c r="G946" s="117"/>
      <c r="H946" s="114"/>
      <c r="I946" s="114"/>
      <c r="J946" s="114"/>
      <c r="K946" s="114"/>
      <c r="L946" s="114"/>
      <c r="M946" s="114"/>
      <c r="N946" s="88"/>
      <c r="O946" s="115"/>
      <c r="P946" s="114"/>
      <c r="Q946" s="114"/>
      <c r="R946" s="114"/>
      <c r="S946" s="114"/>
      <c r="T946" s="114"/>
      <c r="U946" s="114"/>
      <c r="V946" s="114"/>
      <c r="W946" s="114"/>
      <c r="X946" s="114"/>
      <c r="Y946" s="114"/>
      <c r="Z946" s="114"/>
      <c r="AA946" s="114"/>
      <c r="AB946" s="114"/>
    </row>
    <row r="947" spans="1:28" ht="12.75">
      <c r="A947" s="114"/>
      <c r="B947" s="114"/>
      <c r="C947" s="7"/>
      <c r="D947" s="114"/>
      <c r="E947" s="117"/>
      <c r="F947" s="117"/>
      <c r="G947" s="117"/>
      <c r="H947" s="114"/>
      <c r="I947" s="114"/>
      <c r="J947" s="114"/>
      <c r="K947" s="114"/>
      <c r="L947" s="114"/>
      <c r="M947" s="114"/>
      <c r="N947" s="88"/>
      <c r="O947" s="115"/>
      <c r="P947" s="114"/>
      <c r="Q947" s="114"/>
      <c r="R947" s="114"/>
      <c r="S947" s="114"/>
      <c r="T947" s="114"/>
      <c r="U947" s="114"/>
      <c r="V947" s="114"/>
      <c r="W947" s="114"/>
      <c r="X947" s="114"/>
      <c r="Y947" s="114"/>
      <c r="Z947" s="114"/>
      <c r="AA947" s="114"/>
      <c r="AB947" s="114"/>
    </row>
    <row r="948" spans="1:28" ht="12.75">
      <c r="A948" s="114"/>
      <c r="B948" s="114"/>
      <c r="C948" s="7"/>
      <c r="D948" s="114"/>
      <c r="E948" s="117"/>
      <c r="F948" s="117"/>
      <c r="G948" s="117"/>
      <c r="H948" s="114"/>
      <c r="I948" s="114"/>
      <c r="J948" s="114"/>
      <c r="K948" s="114"/>
      <c r="L948" s="114"/>
      <c r="M948" s="114"/>
      <c r="N948" s="88"/>
      <c r="O948" s="115"/>
      <c r="P948" s="114"/>
      <c r="Q948" s="114"/>
      <c r="R948" s="114"/>
      <c r="S948" s="114"/>
      <c r="T948" s="114"/>
      <c r="U948" s="114"/>
      <c r="V948" s="114"/>
      <c r="W948" s="114"/>
      <c r="X948" s="114"/>
      <c r="Y948" s="114"/>
      <c r="Z948" s="114"/>
      <c r="AA948" s="114"/>
      <c r="AB948" s="114"/>
    </row>
    <row r="949" spans="1:28" ht="12.75">
      <c r="A949" s="114"/>
      <c r="B949" s="114"/>
      <c r="C949" s="7"/>
      <c r="D949" s="114"/>
      <c r="E949" s="117"/>
      <c r="F949" s="117"/>
      <c r="G949" s="117"/>
      <c r="H949" s="114"/>
      <c r="I949" s="114"/>
      <c r="J949" s="114"/>
      <c r="K949" s="114"/>
      <c r="L949" s="114"/>
      <c r="M949" s="114"/>
      <c r="N949" s="88"/>
      <c r="O949" s="115"/>
      <c r="P949" s="114"/>
      <c r="Q949" s="114"/>
      <c r="R949" s="114"/>
      <c r="S949" s="114"/>
      <c r="T949" s="114"/>
      <c r="U949" s="114"/>
      <c r="V949" s="114"/>
      <c r="W949" s="114"/>
      <c r="X949" s="114"/>
      <c r="Y949" s="114"/>
      <c r="Z949" s="114"/>
      <c r="AA949" s="114"/>
      <c r="AB949" s="114"/>
    </row>
    <row r="950" spans="1:28" ht="12.75">
      <c r="A950" s="114"/>
      <c r="B950" s="114"/>
      <c r="C950" s="7"/>
      <c r="D950" s="114"/>
      <c r="E950" s="117"/>
      <c r="F950" s="117"/>
      <c r="G950" s="117"/>
      <c r="H950" s="114"/>
      <c r="I950" s="114"/>
      <c r="J950" s="114"/>
      <c r="K950" s="114"/>
      <c r="L950" s="114"/>
      <c r="M950" s="114"/>
      <c r="N950" s="88"/>
      <c r="O950" s="115"/>
      <c r="P950" s="114"/>
      <c r="Q950" s="114"/>
      <c r="R950" s="114"/>
      <c r="S950" s="114"/>
      <c r="T950" s="114"/>
      <c r="U950" s="114"/>
      <c r="V950" s="114"/>
      <c r="W950" s="114"/>
      <c r="X950" s="114"/>
      <c r="Y950" s="114"/>
      <c r="Z950" s="114"/>
      <c r="AA950" s="114"/>
      <c r="AB950" s="114"/>
    </row>
    <row r="951" spans="1:28" ht="12.75">
      <c r="A951" s="114"/>
      <c r="B951" s="114"/>
      <c r="C951" s="7"/>
      <c r="D951" s="114"/>
      <c r="E951" s="117"/>
      <c r="F951" s="117"/>
      <c r="G951" s="117"/>
      <c r="H951" s="114"/>
      <c r="I951" s="114"/>
      <c r="J951" s="114"/>
      <c r="K951" s="114"/>
      <c r="L951" s="114"/>
      <c r="M951" s="114"/>
      <c r="N951" s="88"/>
      <c r="O951" s="115"/>
      <c r="P951" s="114"/>
      <c r="Q951" s="114"/>
      <c r="R951" s="114"/>
      <c r="S951" s="114"/>
      <c r="T951" s="114"/>
      <c r="U951" s="114"/>
      <c r="V951" s="114"/>
      <c r="W951" s="114"/>
      <c r="X951" s="114"/>
      <c r="Y951" s="114"/>
      <c r="Z951" s="114"/>
      <c r="AA951" s="114"/>
      <c r="AB951" s="114"/>
    </row>
    <row r="952" spans="1:28" ht="12.75">
      <c r="A952" s="114"/>
      <c r="B952" s="114"/>
      <c r="C952" s="7"/>
      <c r="D952" s="114"/>
      <c r="E952" s="117"/>
      <c r="F952" s="117"/>
      <c r="G952" s="117"/>
      <c r="H952" s="114"/>
      <c r="I952" s="114"/>
      <c r="J952" s="114"/>
      <c r="K952" s="114"/>
      <c r="L952" s="114"/>
      <c r="M952" s="114"/>
      <c r="N952" s="88"/>
      <c r="O952" s="115"/>
      <c r="P952" s="114"/>
      <c r="Q952" s="114"/>
      <c r="R952" s="114"/>
      <c r="S952" s="114"/>
      <c r="T952" s="114"/>
      <c r="U952" s="114"/>
      <c r="V952" s="114"/>
      <c r="W952" s="114"/>
      <c r="X952" s="114"/>
      <c r="Y952" s="114"/>
      <c r="Z952" s="114"/>
      <c r="AA952" s="114"/>
      <c r="AB952" s="114"/>
    </row>
    <row r="953" spans="1:28" ht="12.75">
      <c r="A953" s="114"/>
      <c r="B953" s="114"/>
      <c r="C953" s="7"/>
      <c r="D953" s="114"/>
      <c r="E953" s="117"/>
      <c r="F953" s="117"/>
      <c r="G953" s="117"/>
      <c r="H953" s="114"/>
      <c r="I953" s="114"/>
      <c r="J953" s="114"/>
      <c r="K953" s="114"/>
      <c r="L953" s="114"/>
      <c r="M953" s="114"/>
      <c r="N953" s="88"/>
      <c r="O953" s="115"/>
      <c r="P953" s="114"/>
      <c r="Q953" s="114"/>
      <c r="R953" s="114"/>
      <c r="S953" s="114"/>
      <c r="T953" s="114"/>
      <c r="U953" s="114"/>
      <c r="V953" s="114"/>
      <c r="W953" s="114"/>
      <c r="X953" s="114"/>
      <c r="Y953" s="114"/>
      <c r="Z953" s="114"/>
      <c r="AA953" s="114"/>
      <c r="AB953" s="114"/>
    </row>
    <row r="954" spans="1:28" ht="12.75">
      <c r="A954" s="114"/>
      <c r="B954" s="114"/>
      <c r="C954" s="7"/>
      <c r="D954" s="114"/>
      <c r="E954" s="117"/>
      <c r="F954" s="117"/>
      <c r="G954" s="117"/>
      <c r="H954" s="114"/>
      <c r="I954" s="114"/>
      <c r="J954" s="114"/>
      <c r="K954" s="114"/>
      <c r="L954" s="114"/>
      <c r="M954" s="114"/>
      <c r="N954" s="88"/>
      <c r="O954" s="115"/>
      <c r="P954" s="114"/>
      <c r="Q954" s="114"/>
      <c r="R954" s="114"/>
      <c r="S954" s="114"/>
      <c r="T954" s="114"/>
      <c r="U954" s="114"/>
      <c r="V954" s="114"/>
      <c r="W954" s="114"/>
      <c r="X954" s="114"/>
      <c r="Y954" s="114"/>
      <c r="Z954" s="114"/>
      <c r="AA954" s="114"/>
      <c r="AB954" s="114"/>
    </row>
    <row r="955" spans="1:28" ht="12.75">
      <c r="A955" s="114"/>
      <c r="B955" s="114"/>
      <c r="C955" s="7"/>
      <c r="D955" s="114"/>
      <c r="E955" s="117"/>
      <c r="F955" s="117"/>
      <c r="G955" s="117"/>
      <c r="H955" s="114"/>
      <c r="I955" s="114"/>
      <c r="J955" s="114"/>
      <c r="K955" s="114"/>
      <c r="L955" s="114"/>
      <c r="M955" s="114"/>
      <c r="N955" s="88"/>
      <c r="O955" s="115"/>
      <c r="P955" s="114"/>
      <c r="Q955" s="114"/>
      <c r="R955" s="114"/>
      <c r="S955" s="114"/>
      <c r="T955" s="114"/>
      <c r="U955" s="114"/>
      <c r="V955" s="114"/>
      <c r="W955" s="114"/>
      <c r="X955" s="114"/>
      <c r="Y955" s="114"/>
      <c r="Z955" s="114"/>
      <c r="AA955" s="114"/>
      <c r="AB955" s="114"/>
    </row>
    <row r="956" spans="1:28" ht="12.75">
      <c r="A956" s="114"/>
      <c r="B956" s="114"/>
      <c r="C956" s="7"/>
      <c r="D956" s="114"/>
      <c r="E956" s="117"/>
      <c r="F956" s="117"/>
      <c r="G956" s="117"/>
      <c r="H956" s="114"/>
      <c r="I956" s="114"/>
      <c r="J956" s="114"/>
      <c r="K956" s="114"/>
      <c r="L956" s="114"/>
      <c r="M956" s="114"/>
      <c r="N956" s="88"/>
      <c r="O956" s="115"/>
      <c r="P956" s="114"/>
      <c r="Q956" s="114"/>
      <c r="R956" s="114"/>
      <c r="S956" s="114"/>
      <c r="T956" s="114"/>
      <c r="U956" s="114"/>
      <c r="V956" s="114"/>
      <c r="W956" s="114"/>
      <c r="X956" s="114"/>
      <c r="Y956" s="114"/>
      <c r="Z956" s="114"/>
      <c r="AA956" s="114"/>
      <c r="AB956" s="114"/>
    </row>
    <row r="957" spans="1:28" ht="12.75">
      <c r="A957" s="114"/>
      <c r="B957" s="114"/>
      <c r="C957" s="7"/>
      <c r="D957" s="114"/>
      <c r="E957" s="117"/>
      <c r="F957" s="117"/>
      <c r="G957" s="117"/>
      <c r="H957" s="114"/>
      <c r="I957" s="114"/>
      <c r="J957" s="114"/>
      <c r="K957" s="114"/>
      <c r="L957" s="114"/>
      <c r="M957" s="114"/>
      <c r="N957" s="88"/>
      <c r="O957" s="115"/>
      <c r="P957" s="114"/>
      <c r="Q957" s="114"/>
      <c r="R957" s="114"/>
      <c r="S957" s="114"/>
      <c r="T957" s="114"/>
      <c r="U957" s="114"/>
      <c r="V957" s="114"/>
      <c r="W957" s="114"/>
      <c r="X957" s="114"/>
      <c r="Y957" s="114"/>
      <c r="Z957" s="114"/>
      <c r="AA957" s="114"/>
      <c r="AB957" s="114"/>
    </row>
    <row r="958" spans="1:28" ht="12.75">
      <c r="A958" s="114"/>
      <c r="B958" s="114"/>
      <c r="C958" s="7"/>
      <c r="D958" s="114"/>
      <c r="E958" s="117"/>
      <c r="F958" s="117"/>
      <c r="G958" s="117"/>
      <c r="H958" s="114"/>
      <c r="I958" s="114"/>
      <c r="J958" s="114"/>
      <c r="K958" s="114"/>
      <c r="L958" s="114"/>
      <c r="M958" s="114"/>
      <c r="N958" s="88"/>
      <c r="O958" s="115"/>
      <c r="P958" s="114"/>
      <c r="Q958" s="114"/>
      <c r="R958" s="114"/>
      <c r="S958" s="114"/>
      <c r="T958" s="114"/>
      <c r="U958" s="114"/>
      <c r="V958" s="114"/>
      <c r="W958" s="114"/>
      <c r="X958" s="114"/>
      <c r="Y958" s="114"/>
      <c r="Z958" s="114"/>
      <c r="AA958" s="114"/>
      <c r="AB958" s="114"/>
    </row>
    <row r="959" spans="1:28" ht="12.75">
      <c r="A959" s="114"/>
      <c r="B959" s="114"/>
      <c r="C959" s="7"/>
      <c r="D959" s="114"/>
      <c r="E959" s="117"/>
      <c r="F959" s="117"/>
      <c r="G959" s="117"/>
      <c r="H959" s="114"/>
      <c r="I959" s="114"/>
      <c r="J959" s="114"/>
      <c r="K959" s="114"/>
      <c r="L959" s="114"/>
      <c r="M959" s="114"/>
      <c r="N959" s="88"/>
      <c r="O959" s="115"/>
      <c r="P959" s="114"/>
      <c r="Q959" s="114"/>
      <c r="R959" s="114"/>
      <c r="S959" s="114"/>
      <c r="T959" s="114"/>
      <c r="U959" s="114"/>
      <c r="V959" s="114"/>
      <c r="W959" s="114"/>
      <c r="X959" s="114"/>
      <c r="Y959" s="114"/>
      <c r="Z959" s="114"/>
      <c r="AA959" s="114"/>
      <c r="AB959" s="114"/>
    </row>
    <row r="960" spans="1:28" ht="12.75">
      <c r="A960" s="114"/>
      <c r="B960" s="114"/>
      <c r="C960" s="7"/>
      <c r="D960" s="114"/>
      <c r="E960" s="117"/>
      <c r="F960" s="117"/>
      <c r="G960" s="117"/>
      <c r="H960" s="114"/>
      <c r="I960" s="114"/>
      <c r="J960" s="114"/>
      <c r="K960" s="114"/>
      <c r="L960" s="114"/>
      <c r="M960" s="114"/>
      <c r="N960" s="88"/>
      <c r="O960" s="115"/>
      <c r="P960" s="114"/>
      <c r="Q960" s="114"/>
      <c r="R960" s="114"/>
      <c r="S960" s="114"/>
      <c r="T960" s="114"/>
      <c r="U960" s="114"/>
      <c r="V960" s="114"/>
      <c r="W960" s="114"/>
      <c r="X960" s="114"/>
      <c r="Y960" s="114"/>
      <c r="Z960" s="114"/>
      <c r="AA960" s="114"/>
      <c r="AB960" s="114"/>
    </row>
    <row r="961" spans="1:28" ht="12.75">
      <c r="A961" s="114"/>
      <c r="B961" s="114"/>
      <c r="C961" s="7"/>
      <c r="D961" s="114"/>
      <c r="E961" s="117"/>
      <c r="F961" s="117"/>
      <c r="G961" s="117"/>
      <c r="H961" s="114"/>
      <c r="I961" s="114"/>
      <c r="J961" s="114"/>
      <c r="K961" s="114"/>
      <c r="L961" s="114"/>
      <c r="M961" s="114"/>
      <c r="N961" s="88"/>
      <c r="O961" s="115"/>
      <c r="P961" s="114"/>
      <c r="Q961" s="114"/>
      <c r="R961" s="114"/>
      <c r="S961" s="114"/>
      <c r="T961" s="114"/>
      <c r="U961" s="114"/>
      <c r="V961" s="114"/>
      <c r="W961" s="114"/>
      <c r="X961" s="114"/>
      <c r="Y961" s="114"/>
      <c r="Z961" s="114"/>
      <c r="AA961" s="114"/>
      <c r="AB961" s="114"/>
    </row>
    <row r="962" spans="1:28" ht="12.75">
      <c r="A962" s="114"/>
      <c r="B962" s="114"/>
      <c r="C962" s="7"/>
      <c r="D962" s="114"/>
      <c r="E962" s="117"/>
      <c r="F962" s="117"/>
      <c r="G962" s="117"/>
      <c r="H962" s="114"/>
      <c r="I962" s="114"/>
      <c r="J962" s="114"/>
      <c r="K962" s="114"/>
      <c r="L962" s="114"/>
      <c r="M962" s="114"/>
      <c r="N962" s="88"/>
      <c r="O962" s="115"/>
      <c r="P962" s="114"/>
      <c r="Q962" s="114"/>
      <c r="R962" s="114"/>
      <c r="S962" s="114"/>
      <c r="T962" s="114"/>
      <c r="U962" s="114"/>
      <c r="V962" s="114"/>
      <c r="W962" s="114"/>
      <c r="X962" s="114"/>
      <c r="Y962" s="114"/>
      <c r="Z962" s="114"/>
      <c r="AA962" s="114"/>
      <c r="AB962" s="114"/>
    </row>
    <row r="963" spans="1:28" ht="12.75">
      <c r="A963" s="114"/>
      <c r="B963" s="114"/>
      <c r="C963" s="7"/>
      <c r="D963" s="114"/>
      <c r="E963" s="117"/>
      <c r="F963" s="117"/>
      <c r="G963" s="117"/>
      <c r="H963" s="114"/>
      <c r="I963" s="114"/>
      <c r="J963" s="114"/>
      <c r="K963" s="114"/>
      <c r="L963" s="114"/>
      <c r="M963" s="114"/>
      <c r="N963" s="88"/>
      <c r="O963" s="115"/>
      <c r="P963" s="114"/>
      <c r="Q963" s="114"/>
      <c r="R963" s="114"/>
      <c r="S963" s="114"/>
      <c r="T963" s="114"/>
      <c r="U963" s="114"/>
      <c r="V963" s="114"/>
      <c r="W963" s="114"/>
      <c r="X963" s="114"/>
      <c r="Y963" s="114"/>
      <c r="Z963" s="114"/>
      <c r="AA963" s="114"/>
      <c r="AB963" s="114"/>
    </row>
    <row r="964" spans="1:28" ht="12.75">
      <c r="A964" s="114"/>
      <c r="B964" s="114"/>
      <c r="C964" s="7"/>
      <c r="D964" s="114"/>
      <c r="E964" s="117"/>
      <c r="F964" s="117"/>
      <c r="G964" s="117"/>
      <c r="H964" s="114"/>
      <c r="I964" s="114"/>
      <c r="J964" s="114"/>
      <c r="K964" s="114"/>
      <c r="L964" s="114"/>
      <c r="M964" s="114"/>
      <c r="N964" s="88"/>
      <c r="O964" s="115"/>
      <c r="P964" s="114"/>
      <c r="Q964" s="114"/>
      <c r="R964" s="114"/>
      <c r="S964" s="114"/>
      <c r="T964" s="114"/>
      <c r="U964" s="114"/>
      <c r="V964" s="114"/>
      <c r="W964" s="114"/>
      <c r="X964" s="114"/>
      <c r="Y964" s="114"/>
      <c r="Z964" s="114"/>
      <c r="AA964" s="114"/>
      <c r="AB964" s="114"/>
    </row>
    <row r="965" spans="1:28" ht="12.75">
      <c r="A965" s="114"/>
      <c r="B965" s="114"/>
      <c r="C965" s="7"/>
      <c r="D965" s="114"/>
      <c r="E965" s="117"/>
      <c r="F965" s="117"/>
      <c r="G965" s="117"/>
      <c r="H965" s="114"/>
      <c r="I965" s="114"/>
      <c r="J965" s="114"/>
      <c r="K965" s="114"/>
      <c r="L965" s="114"/>
      <c r="M965" s="114"/>
      <c r="N965" s="88"/>
      <c r="O965" s="115"/>
      <c r="P965" s="114"/>
      <c r="Q965" s="114"/>
      <c r="R965" s="114"/>
      <c r="S965" s="114"/>
      <c r="T965" s="114"/>
      <c r="U965" s="114"/>
      <c r="V965" s="114"/>
      <c r="W965" s="114"/>
      <c r="X965" s="114"/>
      <c r="Y965" s="114"/>
      <c r="Z965" s="114"/>
      <c r="AA965" s="114"/>
      <c r="AB965" s="114"/>
    </row>
    <row r="966" spans="1:28" ht="12.75">
      <c r="A966" s="114"/>
      <c r="B966" s="114"/>
      <c r="C966" s="7"/>
      <c r="D966" s="114"/>
      <c r="E966" s="117"/>
      <c r="F966" s="117"/>
      <c r="G966" s="117"/>
      <c r="H966" s="114"/>
      <c r="I966" s="114"/>
      <c r="J966" s="114"/>
      <c r="K966" s="114"/>
      <c r="L966" s="114"/>
      <c r="M966" s="114"/>
      <c r="N966" s="88"/>
      <c r="O966" s="115"/>
      <c r="P966" s="114"/>
      <c r="Q966" s="114"/>
      <c r="R966" s="114"/>
      <c r="S966" s="114"/>
      <c r="T966" s="114"/>
      <c r="U966" s="114"/>
      <c r="V966" s="114"/>
      <c r="W966" s="114"/>
      <c r="X966" s="114"/>
      <c r="Y966" s="114"/>
      <c r="Z966" s="114"/>
      <c r="AA966" s="114"/>
      <c r="AB966" s="114"/>
    </row>
    <row r="967" spans="1:28" ht="12.75">
      <c r="A967" s="114"/>
      <c r="B967" s="114"/>
      <c r="C967" s="7"/>
      <c r="D967" s="114"/>
      <c r="E967" s="117"/>
      <c r="F967" s="117"/>
      <c r="G967" s="117"/>
      <c r="H967" s="114"/>
      <c r="I967" s="114"/>
      <c r="J967" s="114"/>
      <c r="K967" s="114"/>
      <c r="L967" s="114"/>
      <c r="M967" s="114"/>
      <c r="N967" s="88"/>
      <c r="O967" s="115"/>
      <c r="P967" s="114"/>
      <c r="Q967" s="114"/>
      <c r="R967" s="114"/>
      <c r="S967" s="114"/>
      <c r="T967" s="114"/>
      <c r="U967" s="114"/>
      <c r="V967" s="114"/>
      <c r="W967" s="114"/>
      <c r="X967" s="114"/>
      <c r="Y967" s="114"/>
      <c r="Z967" s="114"/>
      <c r="AA967" s="114"/>
      <c r="AB967" s="114"/>
    </row>
    <row r="968" spans="1:28" ht="12.75">
      <c r="A968" s="114"/>
      <c r="B968" s="114"/>
      <c r="C968" s="7"/>
      <c r="D968" s="114"/>
      <c r="E968" s="117"/>
      <c r="F968" s="117"/>
      <c r="G968" s="117"/>
      <c r="H968" s="114"/>
      <c r="I968" s="114"/>
      <c r="J968" s="114"/>
      <c r="K968" s="114"/>
      <c r="L968" s="114"/>
      <c r="M968" s="114"/>
      <c r="N968" s="88"/>
      <c r="O968" s="115"/>
      <c r="P968" s="114"/>
      <c r="Q968" s="114"/>
      <c r="R968" s="114"/>
      <c r="S968" s="114"/>
      <c r="T968" s="114"/>
      <c r="U968" s="114"/>
      <c r="V968" s="114"/>
      <c r="W968" s="114"/>
      <c r="X968" s="114"/>
      <c r="Y968" s="114"/>
      <c r="Z968" s="114"/>
      <c r="AA968" s="114"/>
      <c r="AB968" s="114"/>
    </row>
    <row r="969" spans="1:28" ht="12.75">
      <c r="A969" s="114"/>
      <c r="B969" s="114"/>
      <c r="C969" s="7"/>
      <c r="D969" s="114"/>
      <c r="E969" s="117"/>
      <c r="F969" s="117"/>
      <c r="G969" s="117"/>
      <c r="H969" s="114"/>
      <c r="I969" s="114"/>
      <c r="J969" s="114"/>
      <c r="K969" s="114"/>
      <c r="L969" s="114"/>
      <c r="M969" s="114"/>
      <c r="N969" s="88"/>
      <c r="O969" s="115"/>
      <c r="P969" s="114"/>
      <c r="Q969" s="114"/>
      <c r="R969" s="114"/>
      <c r="S969" s="114"/>
      <c r="T969" s="114"/>
      <c r="U969" s="114"/>
      <c r="V969" s="114"/>
      <c r="W969" s="114"/>
      <c r="X969" s="114"/>
      <c r="Y969" s="114"/>
      <c r="Z969" s="114"/>
      <c r="AA969" s="114"/>
      <c r="AB969" s="114"/>
    </row>
    <row r="970" spans="1:28" ht="12.75">
      <c r="A970" s="114"/>
      <c r="B970" s="114"/>
      <c r="C970" s="7"/>
      <c r="D970" s="114"/>
      <c r="E970" s="117"/>
      <c r="F970" s="117"/>
      <c r="G970" s="117"/>
      <c r="H970" s="114"/>
      <c r="I970" s="114"/>
      <c r="J970" s="114"/>
      <c r="K970" s="114"/>
      <c r="L970" s="114"/>
      <c r="M970" s="114"/>
      <c r="N970" s="88"/>
      <c r="O970" s="115"/>
      <c r="P970" s="114"/>
      <c r="Q970" s="114"/>
      <c r="R970" s="114"/>
      <c r="S970" s="114"/>
      <c r="T970" s="114"/>
      <c r="U970" s="114"/>
      <c r="V970" s="114"/>
      <c r="W970" s="114"/>
      <c r="X970" s="114"/>
      <c r="Y970" s="114"/>
      <c r="Z970" s="114"/>
      <c r="AA970" s="114"/>
      <c r="AB970" s="114"/>
    </row>
    <row r="971" spans="1:28" ht="12.75">
      <c r="A971" s="114"/>
      <c r="B971" s="114"/>
      <c r="C971" s="7"/>
      <c r="D971" s="114"/>
      <c r="E971" s="117"/>
      <c r="F971" s="117"/>
      <c r="G971" s="117"/>
      <c r="H971" s="114"/>
      <c r="I971" s="114"/>
      <c r="J971" s="114"/>
      <c r="K971" s="114"/>
      <c r="L971" s="114"/>
      <c r="M971" s="114"/>
      <c r="N971" s="88"/>
      <c r="O971" s="115"/>
      <c r="P971" s="114"/>
      <c r="Q971" s="114"/>
      <c r="R971" s="114"/>
      <c r="S971" s="114"/>
      <c r="T971" s="114"/>
      <c r="U971" s="114"/>
      <c r="V971" s="114"/>
      <c r="W971" s="114"/>
      <c r="X971" s="114"/>
      <c r="Y971" s="114"/>
      <c r="Z971" s="114"/>
      <c r="AA971" s="114"/>
      <c r="AB971" s="114"/>
    </row>
    <row r="972" spans="1:28" ht="12.75">
      <c r="A972" s="114"/>
      <c r="B972" s="114"/>
      <c r="C972" s="7"/>
      <c r="D972" s="114"/>
      <c r="E972" s="117"/>
      <c r="F972" s="117"/>
      <c r="G972" s="117"/>
      <c r="H972" s="114"/>
      <c r="I972" s="114"/>
      <c r="J972" s="114"/>
      <c r="K972" s="114"/>
      <c r="L972" s="114"/>
      <c r="M972" s="114"/>
      <c r="N972" s="88"/>
      <c r="O972" s="115"/>
      <c r="P972" s="114"/>
      <c r="Q972" s="114"/>
      <c r="R972" s="114"/>
      <c r="S972" s="114"/>
      <c r="T972" s="114"/>
      <c r="U972" s="114"/>
      <c r="V972" s="114"/>
      <c r="W972" s="114"/>
      <c r="X972" s="114"/>
      <c r="Y972" s="114"/>
      <c r="Z972" s="114"/>
      <c r="AA972" s="114"/>
      <c r="AB972" s="114"/>
    </row>
    <row r="973" spans="1:28" ht="12.75">
      <c r="A973" s="114"/>
      <c r="B973" s="114"/>
      <c r="C973" s="7"/>
      <c r="D973" s="114"/>
      <c r="E973" s="117"/>
      <c r="F973" s="117"/>
      <c r="G973" s="117"/>
      <c r="H973" s="114"/>
      <c r="I973" s="114"/>
      <c r="J973" s="114"/>
      <c r="K973" s="114"/>
      <c r="L973" s="114"/>
      <c r="M973" s="114"/>
      <c r="N973" s="88"/>
      <c r="O973" s="115"/>
      <c r="P973" s="114"/>
      <c r="Q973" s="114"/>
      <c r="R973" s="114"/>
      <c r="S973" s="114"/>
      <c r="T973" s="114"/>
      <c r="U973" s="114"/>
      <c r="V973" s="114"/>
      <c r="W973" s="114"/>
      <c r="X973" s="114"/>
      <c r="Y973" s="114"/>
      <c r="Z973" s="114"/>
      <c r="AA973" s="114"/>
      <c r="AB973" s="114"/>
    </row>
    <row r="974" spans="1:28" ht="12.75">
      <c r="A974" s="114"/>
      <c r="B974" s="114"/>
      <c r="C974" s="7"/>
      <c r="D974" s="114"/>
      <c r="E974" s="117"/>
      <c r="F974" s="117"/>
      <c r="G974" s="117"/>
      <c r="H974" s="114"/>
      <c r="I974" s="114"/>
      <c r="J974" s="114"/>
      <c r="K974" s="114"/>
      <c r="L974" s="114"/>
      <c r="M974" s="114"/>
      <c r="N974" s="88"/>
      <c r="O974" s="115"/>
      <c r="P974" s="114"/>
      <c r="Q974" s="114"/>
      <c r="R974" s="114"/>
      <c r="S974" s="114"/>
      <c r="T974" s="114"/>
      <c r="U974" s="114"/>
      <c r="V974" s="114"/>
      <c r="W974" s="114"/>
      <c r="X974" s="114"/>
      <c r="Y974" s="114"/>
      <c r="Z974" s="114"/>
      <c r="AA974" s="114"/>
      <c r="AB974" s="114"/>
    </row>
    <row r="975" spans="1:28" ht="12.75">
      <c r="A975" s="114"/>
      <c r="B975" s="114"/>
      <c r="C975" s="7"/>
      <c r="D975" s="114"/>
      <c r="E975" s="117"/>
      <c r="F975" s="117"/>
      <c r="G975" s="117"/>
      <c r="H975" s="114"/>
      <c r="I975" s="114"/>
      <c r="J975" s="114"/>
      <c r="K975" s="114"/>
      <c r="L975" s="114"/>
      <c r="M975" s="114"/>
      <c r="N975" s="88"/>
      <c r="O975" s="115"/>
      <c r="P975" s="114"/>
      <c r="Q975" s="114"/>
      <c r="R975" s="114"/>
      <c r="S975" s="114"/>
      <c r="T975" s="114"/>
      <c r="U975" s="114"/>
      <c r="V975" s="114"/>
      <c r="W975" s="114"/>
      <c r="X975" s="114"/>
      <c r="Y975" s="114"/>
      <c r="Z975" s="114"/>
      <c r="AA975" s="114"/>
      <c r="AB975" s="114"/>
    </row>
    <row r="976" spans="1:28" ht="12.75">
      <c r="A976" s="114"/>
      <c r="B976" s="114"/>
      <c r="C976" s="7"/>
      <c r="D976" s="114"/>
      <c r="E976" s="117"/>
      <c r="F976" s="117"/>
      <c r="G976" s="117"/>
      <c r="H976" s="114"/>
      <c r="I976" s="114"/>
      <c r="J976" s="114"/>
      <c r="K976" s="114"/>
      <c r="L976" s="114"/>
      <c r="M976" s="114"/>
      <c r="N976" s="88"/>
      <c r="O976" s="115"/>
      <c r="P976" s="114"/>
      <c r="Q976" s="114"/>
      <c r="R976" s="114"/>
      <c r="S976" s="114"/>
      <c r="T976" s="114"/>
      <c r="U976" s="114"/>
      <c r="V976" s="114"/>
      <c r="W976" s="114"/>
      <c r="X976" s="114"/>
      <c r="Y976" s="114"/>
      <c r="Z976" s="114"/>
      <c r="AA976" s="114"/>
      <c r="AB976" s="114"/>
    </row>
    <row r="977" spans="1:28" ht="12.75">
      <c r="A977" s="114"/>
      <c r="B977" s="114"/>
      <c r="C977" s="7"/>
      <c r="D977" s="114"/>
      <c r="E977" s="117"/>
      <c r="F977" s="117"/>
      <c r="G977" s="117"/>
      <c r="H977" s="114"/>
      <c r="I977" s="114"/>
      <c r="J977" s="114"/>
      <c r="K977" s="114"/>
      <c r="L977" s="114"/>
      <c r="M977" s="114"/>
      <c r="N977" s="88"/>
      <c r="O977" s="115"/>
      <c r="P977" s="114"/>
      <c r="Q977" s="114"/>
      <c r="R977" s="114"/>
      <c r="S977" s="114"/>
      <c r="T977" s="114"/>
      <c r="U977" s="114"/>
      <c r="V977" s="114"/>
      <c r="W977" s="114"/>
      <c r="X977" s="114"/>
      <c r="Y977" s="114"/>
      <c r="Z977" s="114"/>
      <c r="AA977" s="114"/>
      <c r="AB977" s="114"/>
    </row>
    <row r="978" spans="1:28" ht="12.75">
      <c r="A978" s="114"/>
      <c r="B978" s="114"/>
      <c r="C978" s="7"/>
      <c r="D978" s="114"/>
      <c r="E978" s="117"/>
      <c r="F978" s="117"/>
      <c r="G978" s="117"/>
      <c r="H978" s="114"/>
      <c r="I978" s="114"/>
      <c r="J978" s="114"/>
      <c r="K978" s="114"/>
      <c r="L978" s="114"/>
      <c r="M978" s="114"/>
      <c r="N978" s="88"/>
      <c r="O978" s="115"/>
      <c r="P978" s="114"/>
      <c r="Q978" s="114"/>
      <c r="R978" s="114"/>
      <c r="S978" s="114"/>
      <c r="T978" s="114"/>
      <c r="U978" s="114"/>
      <c r="V978" s="114"/>
      <c r="W978" s="114"/>
      <c r="X978" s="114"/>
      <c r="Y978" s="114"/>
      <c r="Z978" s="114"/>
      <c r="AA978" s="114"/>
      <c r="AB978" s="114"/>
    </row>
    <row r="979" spans="1:28" ht="12.75">
      <c r="A979" s="114"/>
      <c r="B979" s="114"/>
      <c r="C979" s="7"/>
      <c r="D979" s="114"/>
      <c r="E979" s="117"/>
      <c r="F979" s="117"/>
      <c r="G979" s="117"/>
      <c r="H979" s="114"/>
      <c r="I979" s="114"/>
      <c r="J979" s="114"/>
      <c r="K979" s="114"/>
      <c r="L979" s="114"/>
      <c r="M979" s="114"/>
      <c r="N979" s="88"/>
      <c r="O979" s="115"/>
      <c r="P979" s="114"/>
      <c r="Q979" s="114"/>
      <c r="R979" s="114"/>
      <c r="S979" s="114"/>
      <c r="T979" s="114"/>
      <c r="U979" s="114"/>
      <c r="V979" s="114"/>
      <c r="W979" s="114"/>
      <c r="X979" s="114"/>
      <c r="Y979" s="114"/>
      <c r="Z979" s="114"/>
      <c r="AA979" s="114"/>
      <c r="AB979" s="114"/>
    </row>
    <row r="980" spans="1:28" ht="12.75">
      <c r="A980" s="114"/>
      <c r="B980" s="114"/>
      <c r="C980" s="7"/>
      <c r="D980" s="114"/>
      <c r="E980" s="117"/>
      <c r="F980" s="117"/>
      <c r="G980" s="117"/>
      <c r="H980" s="114"/>
      <c r="I980" s="114"/>
      <c r="J980" s="114"/>
      <c r="K980" s="114"/>
      <c r="L980" s="114"/>
      <c r="M980" s="114"/>
      <c r="N980" s="88"/>
      <c r="O980" s="115"/>
      <c r="P980" s="114"/>
      <c r="Q980" s="114"/>
      <c r="R980" s="114"/>
      <c r="S980" s="114"/>
      <c r="T980" s="114"/>
      <c r="U980" s="114"/>
      <c r="V980" s="114"/>
      <c r="W980" s="114"/>
      <c r="X980" s="114"/>
      <c r="Y980" s="114"/>
      <c r="Z980" s="114"/>
      <c r="AA980" s="114"/>
      <c r="AB980" s="114"/>
    </row>
    <row r="981" spans="1:28" ht="12.75">
      <c r="A981" s="114"/>
      <c r="B981" s="114"/>
      <c r="C981" s="7"/>
      <c r="D981" s="114"/>
      <c r="E981" s="117"/>
      <c r="F981" s="117"/>
      <c r="G981" s="117"/>
      <c r="H981" s="114"/>
      <c r="I981" s="114"/>
      <c r="J981" s="114"/>
      <c r="K981" s="114"/>
      <c r="L981" s="114"/>
      <c r="M981" s="114"/>
      <c r="N981" s="88"/>
      <c r="O981" s="115"/>
      <c r="P981" s="114"/>
      <c r="Q981" s="114"/>
      <c r="R981" s="114"/>
      <c r="S981" s="114"/>
      <c r="T981" s="114"/>
      <c r="U981" s="114"/>
      <c r="V981" s="114"/>
      <c r="W981" s="114"/>
      <c r="X981" s="114"/>
      <c r="Y981" s="114"/>
      <c r="Z981" s="114"/>
      <c r="AA981" s="114"/>
      <c r="AB981" s="114"/>
    </row>
    <row r="982" spans="1:28" ht="12.75">
      <c r="A982" s="114"/>
      <c r="B982" s="114"/>
      <c r="C982" s="7"/>
      <c r="D982" s="114"/>
      <c r="E982" s="117"/>
      <c r="F982" s="117"/>
      <c r="G982" s="117"/>
      <c r="H982" s="114"/>
      <c r="I982" s="114"/>
      <c r="J982" s="114"/>
      <c r="K982" s="114"/>
      <c r="L982" s="114"/>
      <c r="M982" s="114"/>
      <c r="N982" s="88"/>
      <c r="O982" s="115"/>
      <c r="P982" s="114"/>
      <c r="Q982" s="114"/>
      <c r="R982" s="114"/>
      <c r="S982" s="114"/>
      <c r="T982" s="114"/>
      <c r="U982" s="114"/>
      <c r="V982" s="114"/>
      <c r="W982" s="114"/>
      <c r="X982" s="114"/>
      <c r="Y982" s="114"/>
      <c r="Z982" s="114"/>
      <c r="AA982" s="114"/>
      <c r="AB982" s="114"/>
    </row>
    <row r="983" spans="1:28" ht="12.75">
      <c r="A983" s="114"/>
      <c r="B983" s="114"/>
      <c r="C983" s="7"/>
      <c r="D983" s="114"/>
      <c r="E983" s="117"/>
      <c r="F983" s="117"/>
      <c r="G983" s="117"/>
      <c r="H983" s="114"/>
      <c r="I983" s="114"/>
      <c r="J983" s="114"/>
      <c r="K983" s="114"/>
      <c r="L983" s="114"/>
      <c r="M983" s="114"/>
      <c r="N983" s="88"/>
      <c r="O983" s="115"/>
      <c r="P983" s="114"/>
      <c r="Q983" s="114"/>
      <c r="R983" s="114"/>
      <c r="S983" s="114"/>
      <c r="T983" s="114"/>
      <c r="U983" s="114"/>
      <c r="V983" s="114"/>
      <c r="W983" s="114"/>
      <c r="X983" s="114"/>
      <c r="Y983" s="114"/>
      <c r="Z983" s="114"/>
      <c r="AA983" s="114"/>
      <c r="AB983" s="114"/>
    </row>
    <row r="984" spans="1:28" ht="12.75">
      <c r="A984" s="114"/>
      <c r="B984" s="114"/>
      <c r="C984" s="7"/>
      <c r="D984" s="114"/>
      <c r="E984" s="117"/>
      <c r="F984" s="117"/>
      <c r="G984" s="117"/>
      <c r="H984" s="114"/>
      <c r="I984" s="114"/>
      <c r="J984" s="114"/>
      <c r="K984" s="114"/>
      <c r="L984" s="114"/>
      <c r="M984" s="114"/>
      <c r="N984" s="88"/>
      <c r="O984" s="115"/>
      <c r="P984" s="114"/>
      <c r="Q984" s="114"/>
      <c r="R984" s="114"/>
      <c r="S984" s="114"/>
      <c r="T984" s="114"/>
      <c r="U984" s="114"/>
      <c r="V984" s="114"/>
      <c r="W984" s="114"/>
      <c r="X984" s="114"/>
      <c r="Y984" s="114"/>
      <c r="Z984" s="114"/>
      <c r="AA984" s="114"/>
      <c r="AB984" s="114"/>
    </row>
    <row r="985" spans="1:28" ht="12.75">
      <c r="A985" s="114"/>
      <c r="B985" s="114"/>
      <c r="C985" s="7"/>
      <c r="D985" s="114"/>
      <c r="E985" s="117"/>
      <c r="F985" s="117"/>
      <c r="G985" s="117"/>
      <c r="H985" s="114"/>
      <c r="I985" s="114"/>
      <c r="J985" s="114"/>
      <c r="K985" s="114"/>
      <c r="L985" s="114"/>
      <c r="M985" s="114"/>
      <c r="N985" s="88"/>
      <c r="O985" s="115"/>
      <c r="P985" s="114"/>
      <c r="Q985" s="114"/>
      <c r="R985" s="114"/>
      <c r="S985" s="114"/>
      <c r="T985" s="114"/>
      <c r="U985" s="114"/>
      <c r="V985" s="114"/>
      <c r="W985" s="114"/>
      <c r="X985" s="114"/>
      <c r="Y985" s="114"/>
      <c r="Z985" s="114"/>
      <c r="AA985" s="114"/>
      <c r="AB985" s="114"/>
    </row>
    <row r="986" spans="1:28" ht="12.75">
      <c r="A986" s="114"/>
      <c r="B986" s="114"/>
      <c r="C986" s="7"/>
      <c r="D986" s="114"/>
      <c r="E986" s="117"/>
      <c r="F986" s="117"/>
      <c r="G986" s="117"/>
      <c r="H986" s="114"/>
      <c r="I986" s="114"/>
      <c r="J986" s="114"/>
      <c r="K986" s="114"/>
      <c r="L986" s="114"/>
      <c r="M986" s="114"/>
      <c r="N986" s="88"/>
      <c r="O986" s="115"/>
      <c r="P986" s="114"/>
      <c r="Q986" s="114"/>
      <c r="R986" s="114"/>
      <c r="S986" s="114"/>
      <c r="T986" s="114"/>
      <c r="U986" s="114"/>
      <c r="V986" s="114"/>
      <c r="W986" s="114"/>
      <c r="X986" s="114"/>
      <c r="Y986" s="114"/>
      <c r="Z986" s="114"/>
      <c r="AA986" s="114"/>
      <c r="AB986" s="114"/>
    </row>
    <row r="987" spans="1:28" ht="12.75">
      <c r="A987" s="114"/>
      <c r="B987" s="114"/>
      <c r="C987" s="7"/>
      <c r="D987" s="114"/>
      <c r="E987" s="117"/>
      <c r="F987" s="117"/>
      <c r="G987" s="117"/>
      <c r="H987" s="114"/>
      <c r="I987" s="114"/>
      <c r="J987" s="114"/>
      <c r="K987" s="114"/>
      <c r="L987" s="114"/>
      <c r="M987" s="114"/>
      <c r="N987" s="88"/>
      <c r="O987" s="115"/>
      <c r="P987" s="114"/>
      <c r="Q987" s="114"/>
      <c r="R987" s="114"/>
      <c r="S987" s="114"/>
      <c r="T987" s="114"/>
      <c r="U987" s="114"/>
      <c r="V987" s="114"/>
      <c r="W987" s="114"/>
      <c r="X987" s="114"/>
      <c r="Y987" s="114"/>
      <c r="Z987" s="114"/>
      <c r="AA987" s="114"/>
      <c r="AB987" s="114"/>
    </row>
    <row r="988" spans="1:28" ht="12.75">
      <c r="A988" s="114"/>
      <c r="B988" s="114"/>
      <c r="C988" s="7"/>
      <c r="D988" s="114"/>
      <c r="E988" s="117"/>
      <c r="F988" s="117"/>
      <c r="G988" s="117"/>
      <c r="H988" s="114"/>
      <c r="I988" s="114"/>
      <c r="J988" s="114"/>
      <c r="K988" s="114"/>
      <c r="L988" s="114"/>
      <c r="M988" s="114"/>
      <c r="N988" s="88"/>
      <c r="O988" s="115"/>
      <c r="P988" s="114"/>
      <c r="Q988" s="114"/>
      <c r="R988" s="114"/>
      <c r="S988" s="114"/>
      <c r="T988" s="114"/>
      <c r="U988" s="114"/>
      <c r="V988" s="114"/>
      <c r="W988" s="114"/>
      <c r="X988" s="114"/>
      <c r="Y988" s="114"/>
      <c r="Z988" s="114"/>
      <c r="AA988" s="114"/>
      <c r="AB988" s="114"/>
    </row>
    <row r="989" spans="1:28" ht="12.75">
      <c r="A989" s="114"/>
      <c r="B989" s="114"/>
      <c r="C989" s="7"/>
      <c r="D989" s="114"/>
      <c r="E989" s="117"/>
      <c r="F989" s="117"/>
      <c r="G989" s="117"/>
      <c r="H989" s="114"/>
      <c r="I989" s="114"/>
      <c r="J989" s="114"/>
      <c r="K989" s="114"/>
      <c r="L989" s="114"/>
      <c r="M989" s="114"/>
      <c r="N989" s="88"/>
      <c r="O989" s="115"/>
      <c r="P989" s="114"/>
      <c r="Q989" s="114"/>
      <c r="R989" s="114"/>
      <c r="S989" s="114"/>
      <c r="T989" s="114"/>
      <c r="U989" s="114"/>
      <c r="V989" s="114"/>
      <c r="W989" s="114"/>
      <c r="X989" s="114"/>
      <c r="Y989" s="114"/>
      <c r="Z989" s="114"/>
      <c r="AA989" s="114"/>
      <c r="AB989" s="114"/>
    </row>
    <row r="990" spans="1:28" ht="12.75">
      <c r="A990" s="114"/>
      <c r="B990" s="114"/>
      <c r="C990" s="7"/>
      <c r="D990" s="114"/>
      <c r="E990" s="117"/>
      <c r="F990" s="117"/>
      <c r="G990" s="117"/>
      <c r="H990" s="114"/>
      <c r="I990" s="114"/>
      <c r="J990" s="114"/>
      <c r="K990" s="114"/>
      <c r="L990" s="114"/>
      <c r="M990" s="114"/>
      <c r="N990" s="88"/>
      <c r="O990" s="115"/>
      <c r="P990" s="114"/>
      <c r="Q990" s="114"/>
      <c r="R990" s="114"/>
      <c r="S990" s="114"/>
      <c r="T990" s="114"/>
      <c r="U990" s="114"/>
      <c r="V990" s="114"/>
      <c r="W990" s="114"/>
      <c r="X990" s="114"/>
      <c r="Y990" s="114"/>
      <c r="Z990" s="114"/>
      <c r="AA990" s="114"/>
      <c r="AB990" s="114"/>
    </row>
    <row r="991" spans="1:28" ht="12.75">
      <c r="A991" s="114"/>
      <c r="B991" s="114"/>
      <c r="C991" s="7"/>
      <c r="D991" s="114"/>
      <c r="E991" s="117"/>
      <c r="F991" s="117"/>
      <c r="G991" s="117"/>
      <c r="H991" s="114"/>
      <c r="I991" s="114"/>
      <c r="J991" s="114"/>
      <c r="K991" s="114"/>
      <c r="L991" s="114"/>
      <c r="M991" s="114"/>
      <c r="N991" s="88"/>
      <c r="O991" s="115"/>
      <c r="P991" s="114"/>
      <c r="Q991" s="114"/>
      <c r="R991" s="114"/>
      <c r="S991" s="114"/>
      <c r="T991" s="114"/>
      <c r="U991" s="114"/>
      <c r="V991" s="114"/>
      <c r="W991" s="114"/>
      <c r="X991" s="114"/>
      <c r="Y991" s="114"/>
      <c r="Z991" s="114"/>
      <c r="AA991" s="114"/>
      <c r="AB991" s="114"/>
    </row>
    <row r="992" spans="1:28" ht="12.75">
      <c r="A992" s="114"/>
      <c r="B992" s="114"/>
      <c r="C992" s="7"/>
      <c r="D992" s="114"/>
      <c r="E992" s="117"/>
      <c r="F992" s="117"/>
      <c r="G992" s="117"/>
      <c r="H992" s="114"/>
      <c r="I992" s="114"/>
      <c r="J992" s="114"/>
      <c r="K992" s="114"/>
      <c r="L992" s="114"/>
      <c r="M992" s="114"/>
      <c r="N992" s="88"/>
      <c r="O992" s="115"/>
      <c r="P992" s="114"/>
      <c r="Q992" s="114"/>
      <c r="R992" s="114"/>
      <c r="S992" s="114"/>
      <c r="T992" s="114"/>
      <c r="U992" s="114"/>
      <c r="V992" s="114"/>
      <c r="W992" s="114"/>
      <c r="X992" s="114"/>
      <c r="Y992" s="114"/>
      <c r="Z992" s="114"/>
      <c r="AA992" s="114"/>
      <c r="AB992" s="114"/>
    </row>
    <row r="993" spans="1:28" ht="12.75">
      <c r="A993" s="114"/>
      <c r="B993" s="114"/>
      <c r="C993" s="7"/>
      <c r="D993" s="114"/>
      <c r="E993" s="117"/>
      <c r="F993" s="117"/>
      <c r="G993" s="117"/>
      <c r="H993" s="114"/>
      <c r="I993" s="114"/>
      <c r="J993" s="114"/>
      <c r="K993" s="114"/>
      <c r="L993" s="114"/>
      <c r="M993" s="114"/>
      <c r="N993" s="88"/>
      <c r="O993" s="115"/>
      <c r="P993" s="114"/>
      <c r="Q993" s="114"/>
      <c r="R993" s="114"/>
      <c r="S993" s="114"/>
      <c r="T993" s="114"/>
      <c r="U993" s="114"/>
      <c r="V993" s="114"/>
      <c r="W993" s="114"/>
      <c r="X993" s="114"/>
      <c r="Y993" s="114"/>
      <c r="Z993" s="114"/>
      <c r="AA993" s="114"/>
      <c r="AB993" s="114"/>
    </row>
    <row r="994" spans="1:28" ht="12.75">
      <c r="A994" s="114"/>
      <c r="B994" s="114"/>
      <c r="C994" s="7"/>
      <c r="D994" s="114"/>
      <c r="E994" s="117"/>
      <c r="F994" s="117"/>
      <c r="G994" s="117"/>
      <c r="H994" s="114"/>
      <c r="I994" s="114"/>
      <c r="J994" s="114"/>
      <c r="K994" s="114"/>
      <c r="L994" s="114"/>
      <c r="M994" s="114"/>
      <c r="N994" s="88"/>
      <c r="O994" s="115"/>
      <c r="P994" s="114"/>
      <c r="Q994" s="114"/>
      <c r="R994" s="114"/>
      <c r="S994" s="114"/>
      <c r="T994" s="114"/>
      <c r="U994" s="114"/>
      <c r="V994" s="114"/>
      <c r="W994" s="114"/>
      <c r="X994" s="114"/>
      <c r="Y994" s="114"/>
      <c r="Z994" s="114"/>
      <c r="AA994" s="114"/>
      <c r="AB994" s="114"/>
    </row>
    <row r="995" spans="1:28" ht="12.75">
      <c r="A995" s="114"/>
      <c r="B995" s="114"/>
      <c r="C995" s="7"/>
      <c r="D995" s="114"/>
      <c r="E995" s="117"/>
      <c r="F995" s="117"/>
      <c r="G995" s="117"/>
      <c r="H995" s="114"/>
      <c r="I995" s="114"/>
      <c r="J995" s="114"/>
      <c r="K995" s="114"/>
      <c r="L995" s="114"/>
      <c r="M995" s="114"/>
      <c r="N995" s="88"/>
      <c r="O995" s="115"/>
      <c r="P995" s="114"/>
      <c r="Q995" s="114"/>
      <c r="R995" s="114"/>
      <c r="S995" s="114"/>
      <c r="T995" s="114"/>
      <c r="U995" s="114"/>
      <c r="V995" s="114"/>
      <c r="W995" s="114"/>
      <c r="X995" s="114"/>
      <c r="Y995" s="114"/>
      <c r="Z995" s="114"/>
      <c r="AA995" s="114"/>
      <c r="AB995" s="114"/>
    </row>
    <row r="996" spans="1:28" ht="12.75">
      <c r="A996" s="114"/>
      <c r="B996" s="114"/>
      <c r="C996" s="7"/>
      <c r="D996" s="114"/>
      <c r="E996" s="117"/>
      <c r="F996" s="117"/>
      <c r="G996" s="117"/>
      <c r="H996" s="114"/>
      <c r="I996" s="114"/>
      <c r="J996" s="114"/>
      <c r="K996" s="114"/>
      <c r="L996" s="114"/>
      <c r="M996" s="114"/>
      <c r="N996" s="88"/>
      <c r="O996" s="115"/>
      <c r="P996" s="114"/>
      <c r="Q996" s="114"/>
      <c r="R996" s="114"/>
      <c r="S996" s="114"/>
      <c r="T996" s="114"/>
      <c r="U996" s="114"/>
      <c r="V996" s="114"/>
      <c r="W996" s="114"/>
      <c r="X996" s="114"/>
      <c r="Y996" s="114"/>
      <c r="Z996" s="114"/>
      <c r="AA996" s="114"/>
      <c r="AB996" s="114"/>
    </row>
    <row r="997" spans="1:28" ht="12.75">
      <c r="A997" s="114"/>
      <c r="B997" s="114"/>
      <c r="C997" s="7"/>
      <c r="D997" s="114"/>
      <c r="E997" s="117"/>
      <c r="F997" s="117"/>
      <c r="G997" s="117"/>
      <c r="H997" s="114"/>
      <c r="I997" s="114"/>
      <c r="J997" s="114"/>
      <c r="K997" s="114"/>
      <c r="L997" s="114"/>
      <c r="M997" s="114"/>
      <c r="N997" s="88"/>
      <c r="O997" s="115"/>
      <c r="P997" s="114"/>
      <c r="Q997" s="114"/>
      <c r="R997" s="114"/>
      <c r="S997" s="114"/>
      <c r="T997" s="114"/>
      <c r="U997" s="114"/>
      <c r="V997" s="114"/>
      <c r="W997" s="114"/>
      <c r="X997" s="114"/>
      <c r="Y997" s="114"/>
      <c r="Z997" s="114"/>
      <c r="AA997" s="114"/>
      <c r="AB997" s="114"/>
    </row>
    <row r="998" spans="1:28" ht="12.75">
      <c r="A998" s="114"/>
      <c r="B998" s="114"/>
      <c r="C998" s="7"/>
      <c r="D998" s="114"/>
      <c r="E998" s="117"/>
      <c r="F998" s="117"/>
      <c r="G998" s="117"/>
      <c r="H998" s="114"/>
      <c r="I998" s="114"/>
      <c r="J998" s="114"/>
      <c r="K998" s="114"/>
      <c r="L998" s="114"/>
      <c r="M998" s="114"/>
      <c r="N998" s="88"/>
      <c r="O998" s="115"/>
      <c r="P998" s="114"/>
      <c r="Q998" s="114"/>
      <c r="R998" s="114"/>
      <c r="S998" s="114"/>
      <c r="T998" s="114"/>
      <c r="U998" s="114"/>
      <c r="V998" s="114"/>
      <c r="W998" s="114"/>
      <c r="X998" s="114"/>
      <c r="Y998" s="114"/>
      <c r="Z998" s="114"/>
      <c r="AA998" s="114"/>
      <c r="AB998" s="114"/>
    </row>
    <row r="999" spans="1:28" ht="12.75">
      <c r="A999" s="114"/>
      <c r="B999" s="114"/>
      <c r="C999" s="7"/>
      <c r="D999" s="114"/>
      <c r="E999" s="117"/>
      <c r="F999" s="117"/>
      <c r="G999" s="117"/>
      <c r="H999" s="114"/>
      <c r="I999" s="114"/>
      <c r="J999" s="114"/>
      <c r="K999" s="114"/>
      <c r="L999" s="114"/>
      <c r="M999" s="114"/>
      <c r="N999" s="88"/>
      <c r="O999" s="115"/>
      <c r="P999" s="114"/>
      <c r="Q999" s="114"/>
      <c r="R999" s="114"/>
      <c r="S999" s="114"/>
      <c r="T999" s="114"/>
      <c r="U999" s="114"/>
      <c r="V999" s="114"/>
      <c r="W999" s="114"/>
      <c r="X999" s="114"/>
      <c r="Y999" s="114"/>
      <c r="Z999" s="114"/>
      <c r="AA999" s="114"/>
      <c r="AB999" s="114"/>
    </row>
    <row r="1000" spans="1:28" ht="12.75">
      <c r="A1000" s="114"/>
      <c r="B1000" s="114"/>
      <c r="C1000" s="7"/>
      <c r="D1000" s="114"/>
      <c r="E1000" s="117"/>
      <c r="F1000" s="117"/>
      <c r="G1000" s="117"/>
      <c r="H1000" s="114"/>
      <c r="I1000" s="114"/>
      <c r="J1000" s="114"/>
      <c r="K1000" s="114"/>
      <c r="L1000" s="114"/>
      <c r="M1000" s="114"/>
      <c r="N1000" s="88"/>
      <c r="O1000" s="115"/>
      <c r="P1000" s="114"/>
      <c r="Q1000" s="114"/>
      <c r="R1000" s="114"/>
      <c r="S1000" s="114"/>
      <c r="T1000" s="114"/>
      <c r="U1000" s="114"/>
      <c r="V1000" s="114"/>
      <c r="W1000" s="114"/>
      <c r="X1000" s="114"/>
      <c r="Y1000" s="114"/>
      <c r="Z1000" s="114"/>
      <c r="AA1000" s="114"/>
      <c r="AB1000" s="114"/>
    </row>
  </sheetData>
  <mergeCells count="2">
    <mergeCell ref="E1:G1"/>
    <mergeCell ref="I2:J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outlinePr summaryBelow="0" summaryRight="0"/>
  </sheetPr>
  <dimension ref="A1:P1000"/>
  <sheetViews>
    <sheetView tabSelected="1" topLeftCell="B1" zoomScale="130" zoomScaleNormal="130" workbookViewId="0">
      <pane ySplit="3" topLeftCell="B4" activePane="bottomLeft" state="frozen"/>
      <selection pane="bottomLeft" activeCell="G2" sqref="G2"/>
    </sheetView>
  </sheetViews>
  <sheetFormatPr defaultColWidth="14.42578125" defaultRowHeight="15.75" customHeight="1"/>
  <cols>
    <col min="1" max="1" width="14.42578125" hidden="1"/>
    <col min="3" max="3" width="22.140625" customWidth="1"/>
    <col min="4" max="4" width="62" customWidth="1"/>
    <col min="5" max="5" width="4.85546875" style="129" customWidth="1"/>
    <col min="6" max="7" width="4.7109375" style="132" customWidth="1"/>
    <col min="8" max="8" width="6.85546875" customWidth="1"/>
    <col min="9" max="9" width="43.42578125" customWidth="1"/>
  </cols>
  <sheetData>
    <row r="1" spans="1:16" ht="38.25" hidden="1">
      <c r="A1" s="1"/>
      <c r="B1" s="107"/>
      <c r="C1" s="4" t="s">
        <v>9</v>
      </c>
      <c r="D1" s="5"/>
      <c r="E1" s="119"/>
      <c r="F1" s="120"/>
      <c r="G1" s="120"/>
      <c r="H1" s="110"/>
      <c r="I1" s="8"/>
      <c r="J1" s="12"/>
      <c r="K1" s="13" t="s">
        <v>13</v>
      </c>
      <c r="L1" s="12"/>
      <c r="M1" s="12"/>
      <c r="N1" s="118"/>
      <c r="O1" s="118"/>
      <c r="P1" s="118"/>
    </row>
    <row r="2" spans="1:16" ht="12.75">
      <c r="A2" s="15" t="s">
        <v>14</v>
      </c>
      <c r="B2" s="16" t="s">
        <v>15</v>
      </c>
      <c r="C2" s="17"/>
      <c r="D2" s="18"/>
      <c r="E2" s="134" t="s">
        <v>43</v>
      </c>
      <c r="F2" s="135" t="s">
        <v>86</v>
      </c>
      <c r="G2" s="136" t="s">
        <v>51</v>
      </c>
      <c r="H2" s="24" t="s">
        <v>20</v>
      </c>
      <c r="I2" s="25" t="s">
        <v>21</v>
      </c>
      <c r="J2" s="12"/>
      <c r="K2" s="14">
        <v>1</v>
      </c>
      <c r="L2" s="12"/>
      <c r="M2" s="12"/>
      <c r="N2" s="118"/>
      <c r="O2" s="118"/>
      <c r="P2" s="118"/>
    </row>
    <row r="3" spans="1:16" ht="12.75">
      <c r="A3" s="28" t="s">
        <v>24</v>
      </c>
      <c r="B3" s="16" t="s">
        <v>25</v>
      </c>
      <c r="C3" s="16" t="s">
        <v>26</v>
      </c>
      <c r="D3" s="16" t="s">
        <v>27</v>
      </c>
      <c r="E3" s="29" t="s">
        <v>1989</v>
      </c>
      <c r="F3" s="30" t="s">
        <v>1989</v>
      </c>
      <c r="G3" s="31" t="s">
        <v>28</v>
      </c>
      <c r="H3" s="34"/>
      <c r="I3" s="35"/>
      <c r="J3" s="12"/>
      <c r="K3" s="12"/>
      <c r="L3" s="12"/>
      <c r="M3" s="12"/>
      <c r="N3" s="118"/>
      <c r="O3" s="118"/>
      <c r="P3" s="118"/>
    </row>
    <row r="4" spans="1:16" ht="178.5">
      <c r="A4" s="41">
        <v>1</v>
      </c>
      <c r="B4" s="66" t="s">
        <v>39</v>
      </c>
      <c r="C4" s="66" t="s">
        <v>40</v>
      </c>
      <c r="D4" s="42" t="s">
        <v>41</v>
      </c>
      <c r="E4" s="43" t="s">
        <v>42</v>
      </c>
      <c r="F4" s="44" t="s">
        <v>42</v>
      </c>
      <c r="G4" s="45" t="s">
        <v>42</v>
      </c>
      <c r="H4" s="56" t="s">
        <v>43</v>
      </c>
      <c r="I4" s="54" t="s">
        <v>1990</v>
      </c>
      <c r="J4" s="12"/>
      <c r="K4" s="12"/>
      <c r="L4" s="12"/>
      <c r="M4" s="12"/>
      <c r="N4" s="118"/>
      <c r="O4" s="118"/>
      <c r="P4" s="118"/>
    </row>
    <row r="5" spans="1:16" ht="409.6">
      <c r="A5" s="41">
        <v>2</v>
      </c>
      <c r="B5" s="66" t="s">
        <v>47</v>
      </c>
      <c r="C5" s="66" t="s">
        <v>48</v>
      </c>
      <c r="D5" s="66" t="s">
        <v>49</v>
      </c>
      <c r="E5" s="43" t="s">
        <v>42</v>
      </c>
      <c r="F5" s="44" t="s">
        <v>42</v>
      </c>
      <c r="G5" s="133"/>
      <c r="H5" s="56" t="s">
        <v>43</v>
      </c>
      <c r="I5" s="54" t="s">
        <v>50</v>
      </c>
      <c r="J5" s="12"/>
      <c r="K5" s="12"/>
      <c r="L5" s="12"/>
      <c r="M5" s="12"/>
      <c r="N5" s="118"/>
      <c r="O5" s="118"/>
      <c r="P5" s="118"/>
    </row>
    <row r="6" spans="1:16" ht="38.25">
      <c r="A6" s="41">
        <v>3</v>
      </c>
      <c r="B6" s="66" t="s">
        <v>53</v>
      </c>
      <c r="C6" s="66" t="s">
        <v>54</v>
      </c>
      <c r="D6" s="66" t="s">
        <v>55</v>
      </c>
      <c r="E6" s="43" t="s">
        <v>42</v>
      </c>
      <c r="F6" s="44" t="s">
        <v>42</v>
      </c>
      <c r="G6" s="133"/>
      <c r="H6" s="56" t="s">
        <v>56</v>
      </c>
      <c r="I6" s="54" t="s">
        <v>57</v>
      </c>
      <c r="J6" s="12"/>
      <c r="K6" s="12"/>
      <c r="L6" s="12"/>
      <c r="M6" s="12"/>
      <c r="N6" s="118"/>
      <c r="O6" s="118"/>
      <c r="P6" s="118"/>
    </row>
    <row r="7" spans="1:16" ht="38.25">
      <c r="A7" s="41">
        <v>4</v>
      </c>
      <c r="B7" s="66" t="s">
        <v>58</v>
      </c>
      <c r="C7" s="66" t="s">
        <v>59</v>
      </c>
      <c r="D7" s="54" t="s">
        <v>60</v>
      </c>
      <c r="E7" s="43" t="s">
        <v>42</v>
      </c>
      <c r="F7" s="44" t="s">
        <v>42</v>
      </c>
      <c r="G7" s="133"/>
      <c r="H7" s="56" t="s">
        <v>43</v>
      </c>
      <c r="I7" s="54" t="s">
        <v>61</v>
      </c>
      <c r="J7" s="12"/>
      <c r="K7" s="12"/>
      <c r="L7" s="12"/>
      <c r="M7" s="12"/>
      <c r="N7" s="118"/>
      <c r="O7" s="118"/>
      <c r="P7" s="118"/>
    </row>
    <row r="8" spans="1:16" ht="25.5">
      <c r="A8" s="41">
        <v>5</v>
      </c>
      <c r="B8" s="66" t="s">
        <v>63</v>
      </c>
      <c r="C8" s="66" t="s">
        <v>64</v>
      </c>
      <c r="D8" s="54" t="s">
        <v>65</v>
      </c>
      <c r="E8" s="43" t="s">
        <v>42</v>
      </c>
      <c r="F8" s="44" t="s">
        <v>42</v>
      </c>
      <c r="G8" s="133"/>
      <c r="H8" s="56" t="s">
        <v>43</v>
      </c>
      <c r="I8" s="54" t="s">
        <v>66</v>
      </c>
      <c r="J8" s="12"/>
      <c r="K8" s="12"/>
      <c r="L8" s="12"/>
      <c r="M8" s="12"/>
      <c r="N8" s="118"/>
      <c r="O8" s="118"/>
      <c r="P8" s="118"/>
    </row>
    <row r="9" spans="1:16" ht="25.5">
      <c r="A9" s="41">
        <v>6</v>
      </c>
      <c r="B9" s="66" t="s">
        <v>67</v>
      </c>
      <c r="C9" s="66" t="s">
        <v>68</v>
      </c>
      <c r="D9" s="42" t="s">
        <v>69</v>
      </c>
      <c r="E9" s="43" t="s">
        <v>42</v>
      </c>
      <c r="F9" s="44" t="s">
        <v>42</v>
      </c>
      <c r="G9" s="133"/>
      <c r="H9" s="56" t="s">
        <v>56</v>
      </c>
      <c r="I9" s="54" t="s">
        <v>70</v>
      </c>
      <c r="J9" s="12"/>
      <c r="K9" s="12"/>
      <c r="L9" s="12"/>
      <c r="M9" s="12"/>
      <c r="N9" s="118"/>
      <c r="O9" s="118"/>
      <c r="P9" s="118"/>
    </row>
    <row r="10" spans="1:16" ht="38.25">
      <c r="A10" s="41">
        <v>7</v>
      </c>
      <c r="B10" s="66" t="s">
        <v>71</v>
      </c>
      <c r="C10" s="66" t="s">
        <v>72</v>
      </c>
      <c r="D10" s="54" t="s">
        <v>73</v>
      </c>
      <c r="E10" s="43" t="s">
        <v>74</v>
      </c>
      <c r="F10" s="44" t="s">
        <v>74</v>
      </c>
      <c r="G10" s="133" t="s">
        <v>74</v>
      </c>
      <c r="H10" s="56" t="s">
        <v>43</v>
      </c>
      <c r="I10" s="54" t="s">
        <v>75</v>
      </c>
      <c r="J10" s="12"/>
      <c r="K10" s="12"/>
      <c r="L10" s="12"/>
      <c r="M10" s="12"/>
      <c r="N10" s="118"/>
      <c r="O10" s="118"/>
      <c r="P10" s="118"/>
    </row>
    <row r="11" spans="1:16" ht="102">
      <c r="A11" s="41">
        <v>9</v>
      </c>
      <c r="B11" s="66" t="s">
        <v>77</v>
      </c>
      <c r="C11" s="66" t="s">
        <v>78</v>
      </c>
      <c r="D11" s="66" t="s">
        <v>79</v>
      </c>
      <c r="E11" s="43" t="s">
        <v>74</v>
      </c>
      <c r="F11" s="44" t="s">
        <v>74</v>
      </c>
      <c r="G11" s="133"/>
      <c r="H11" s="56" t="s">
        <v>43</v>
      </c>
      <c r="I11" s="54" t="s">
        <v>80</v>
      </c>
      <c r="J11" s="12"/>
      <c r="K11" s="12"/>
      <c r="L11" s="12"/>
      <c r="M11" s="12"/>
      <c r="N11" s="118"/>
      <c r="O11" s="118"/>
      <c r="P11" s="118"/>
    </row>
    <row r="12" spans="1:16" ht="38.25">
      <c r="A12" s="41">
        <v>11</v>
      </c>
      <c r="B12" s="66" t="s">
        <v>81</v>
      </c>
      <c r="C12" s="66" t="s">
        <v>82</v>
      </c>
      <c r="D12" s="42" t="s">
        <v>83</v>
      </c>
      <c r="E12" s="43" t="s">
        <v>74</v>
      </c>
      <c r="F12" s="44" t="s">
        <v>74</v>
      </c>
      <c r="G12" s="133"/>
      <c r="H12" s="56" t="s">
        <v>84</v>
      </c>
      <c r="I12" s="54" t="s">
        <v>85</v>
      </c>
      <c r="J12" s="12"/>
      <c r="K12" s="12"/>
      <c r="L12" s="12"/>
      <c r="M12" s="12"/>
      <c r="N12" s="118"/>
      <c r="O12" s="118"/>
      <c r="P12" s="118"/>
    </row>
    <row r="13" spans="1:16" ht="38.25">
      <c r="A13" s="41">
        <v>12</v>
      </c>
      <c r="B13" s="66" t="s">
        <v>87</v>
      </c>
      <c r="C13" s="66" t="s">
        <v>88</v>
      </c>
      <c r="D13" s="66" t="s">
        <v>89</v>
      </c>
      <c r="E13" s="43" t="s">
        <v>74</v>
      </c>
      <c r="F13" s="44" t="s">
        <v>74</v>
      </c>
      <c r="G13" s="133"/>
      <c r="H13" s="56" t="s">
        <v>84</v>
      </c>
      <c r="I13" s="54" t="s">
        <v>85</v>
      </c>
      <c r="J13" s="12"/>
      <c r="K13" s="12"/>
      <c r="L13" s="12"/>
      <c r="M13" s="12"/>
      <c r="N13" s="118"/>
      <c r="O13" s="118"/>
      <c r="P13" s="118"/>
    </row>
    <row r="14" spans="1:16" ht="114.75">
      <c r="A14" s="41">
        <v>14</v>
      </c>
      <c r="B14" s="66" t="s">
        <v>90</v>
      </c>
      <c r="C14" s="66" t="s">
        <v>91</v>
      </c>
      <c r="D14" s="42" t="s">
        <v>1991</v>
      </c>
      <c r="E14" s="43" t="s">
        <v>74</v>
      </c>
      <c r="F14" s="44" t="s">
        <v>74</v>
      </c>
      <c r="G14" s="133"/>
      <c r="H14" s="56" t="s">
        <v>43</v>
      </c>
      <c r="I14" s="54" t="s">
        <v>93</v>
      </c>
      <c r="J14" s="12"/>
      <c r="K14" s="12"/>
      <c r="L14" s="12"/>
      <c r="M14" s="12"/>
      <c r="N14" s="118"/>
      <c r="O14" s="118"/>
      <c r="P14" s="118"/>
    </row>
    <row r="15" spans="1:16" ht="38.25">
      <c r="A15" s="41">
        <v>15</v>
      </c>
      <c r="B15" s="66" t="s">
        <v>94</v>
      </c>
      <c r="C15" s="66" t="s">
        <v>95</v>
      </c>
      <c r="D15" s="54" t="s">
        <v>96</v>
      </c>
      <c r="E15" s="43" t="s">
        <v>74</v>
      </c>
      <c r="F15" s="44" t="s">
        <v>74</v>
      </c>
      <c r="G15" s="133"/>
      <c r="H15" s="56" t="s">
        <v>43</v>
      </c>
      <c r="I15" s="54" t="s">
        <v>97</v>
      </c>
      <c r="J15" s="12"/>
      <c r="K15" s="12"/>
      <c r="L15" s="12"/>
      <c r="M15" s="12"/>
      <c r="N15" s="118"/>
      <c r="O15" s="118"/>
      <c r="P15" s="118"/>
    </row>
    <row r="16" spans="1:16" ht="38.25">
      <c r="A16" s="41">
        <v>16</v>
      </c>
      <c r="B16" s="66" t="s">
        <v>99</v>
      </c>
      <c r="C16" s="66" t="s">
        <v>100</v>
      </c>
      <c r="D16" s="66" t="s">
        <v>101</v>
      </c>
      <c r="E16" s="43" t="s">
        <v>42</v>
      </c>
      <c r="F16" s="44" t="s">
        <v>42</v>
      </c>
      <c r="G16" s="133"/>
      <c r="H16" s="56" t="s">
        <v>43</v>
      </c>
      <c r="I16" s="54" t="s">
        <v>102</v>
      </c>
      <c r="J16" s="12"/>
      <c r="K16" s="12"/>
      <c r="L16" s="12"/>
      <c r="M16" s="12"/>
      <c r="N16" s="118"/>
      <c r="O16" s="118"/>
      <c r="P16" s="118"/>
    </row>
    <row r="17" spans="1:16" ht="51">
      <c r="A17" s="41">
        <v>17</v>
      </c>
      <c r="B17" s="66" t="s">
        <v>103</v>
      </c>
      <c r="C17" s="66" t="s">
        <v>104</v>
      </c>
      <c r="D17" s="54" t="s">
        <v>105</v>
      </c>
      <c r="E17" s="43"/>
      <c r="F17" s="131"/>
      <c r="G17" s="133"/>
      <c r="H17" s="56" t="s">
        <v>84</v>
      </c>
      <c r="I17" s="54" t="s">
        <v>107</v>
      </c>
      <c r="J17" s="12"/>
      <c r="K17" s="12"/>
      <c r="L17" s="12"/>
      <c r="M17" s="12"/>
      <c r="N17" s="118"/>
      <c r="O17" s="118"/>
      <c r="P17" s="118"/>
    </row>
    <row r="18" spans="1:16" ht="140.25">
      <c r="A18" s="41">
        <v>19</v>
      </c>
      <c r="B18" s="66" t="s">
        <v>108</v>
      </c>
      <c r="C18" s="66" t="s">
        <v>109</v>
      </c>
      <c r="D18" s="42" t="s">
        <v>110</v>
      </c>
      <c r="E18" s="43" t="s">
        <v>74</v>
      </c>
      <c r="F18" s="44" t="s">
        <v>74</v>
      </c>
      <c r="G18" s="133"/>
      <c r="H18" s="56" t="s">
        <v>43</v>
      </c>
      <c r="I18" s="54" t="s">
        <v>112</v>
      </c>
      <c r="J18" s="12"/>
      <c r="K18" s="12"/>
      <c r="L18" s="12"/>
      <c r="M18" s="12"/>
      <c r="N18" s="118"/>
      <c r="O18" s="118"/>
      <c r="P18" s="118"/>
    </row>
    <row r="19" spans="1:16" ht="51">
      <c r="A19" s="41">
        <v>22</v>
      </c>
      <c r="B19" s="66" t="s">
        <v>113</v>
      </c>
      <c r="C19" s="66" t="s">
        <v>114</v>
      </c>
      <c r="D19" s="66" t="s">
        <v>115</v>
      </c>
      <c r="E19" s="43"/>
      <c r="F19" s="44"/>
      <c r="G19" s="133"/>
      <c r="H19" s="56" t="s">
        <v>43</v>
      </c>
      <c r="I19" s="54" t="s">
        <v>116</v>
      </c>
      <c r="J19" s="12"/>
      <c r="K19" s="12"/>
      <c r="L19" s="12"/>
      <c r="M19" s="12"/>
      <c r="N19" s="118"/>
      <c r="O19" s="118"/>
      <c r="P19" s="118"/>
    </row>
    <row r="20" spans="1:16" ht="51">
      <c r="A20" s="41">
        <v>25</v>
      </c>
      <c r="B20" s="66" t="s">
        <v>117</v>
      </c>
      <c r="C20" s="66" t="s">
        <v>118</v>
      </c>
      <c r="D20" s="42" t="s">
        <v>119</v>
      </c>
      <c r="E20" s="43" t="s">
        <v>42</v>
      </c>
      <c r="F20" s="44" t="s">
        <v>42</v>
      </c>
      <c r="G20" s="133"/>
      <c r="H20" s="56" t="s">
        <v>43</v>
      </c>
      <c r="I20" s="54" t="s">
        <v>120</v>
      </c>
      <c r="J20" s="12"/>
      <c r="K20" s="12"/>
      <c r="L20" s="12"/>
      <c r="M20" s="12"/>
      <c r="N20" s="118"/>
      <c r="O20" s="118"/>
      <c r="P20" s="118"/>
    </row>
    <row r="21" spans="1:16" ht="114.75">
      <c r="A21" s="41">
        <v>47</v>
      </c>
      <c r="B21" s="66" t="s">
        <v>122</v>
      </c>
      <c r="C21" s="66" t="s">
        <v>123</v>
      </c>
      <c r="D21" s="66" t="s">
        <v>124</v>
      </c>
      <c r="E21" s="43" t="s">
        <v>42</v>
      </c>
      <c r="F21" s="44" t="s">
        <v>42</v>
      </c>
      <c r="G21" s="133"/>
      <c r="H21" s="56" t="s">
        <v>43</v>
      </c>
      <c r="I21" s="54" t="s">
        <v>126</v>
      </c>
      <c r="J21" s="12"/>
      <c r="K21" s="12"/>
      <c r="L21" s="12"/>
      <c r="M21" s="12"/>
      <c r="N21" s="118"/>
      <c r="O21" s="118"/>
      <c r="P21" s="118"/>
    </row>
    <row r="22" spans="1:16" ht="51">
      <c r="A22" s="41">
        <v>48</v>
      </c>
      <c r="B22" s="66" t="s">
        <v>127</v>
      </c>
      <c r="C22" s="66" t="s">
        <v>128</v>
      </c>
      <c r="D22" s="66" t="s">
        <v>129</v>
      </c>
      <c r="E22" s="43" t="s">
        <v>42</v>
      </c>
      <c r="F22" s="44" t="s">
        <v>42</v>
      </c>
      <c r="G22" s="133"/>
      <c r="H22" s="56" t="s">
        <v>43</v>
      </c>
      <c r="I22" s="54" t="s">
        <v>130</v>
      </c>
      <c r="J22" s="12"/>
      <c r="K22" s="12"/>
      <c r="L22" s="12"/>
      <c r="M22" s="12"/>
      <c r="N22" s="118"/>
      <c r="O22" s="118"/>
      <c r="P22" s="118"/>
    </row>
    <row r="23" spans="1:16" ht="63.75">
      <c r="A23" s="41">
        <v>49</v>
      </c>
      <c r="B23" s="66" t="s">
        <v>131</v>
      </c>
      <c r="C23" s="66" t="s">
        <v>132</v>
      </c>
      <c r="D23" s="42" t="s">
        <v>133</v>
      </c>
      <c r="E23" s="43" t="s">
        <v>42</v>
      </c>
      <c r="F23" s="44" t="s">
        <v>42</v>
      </c>
      <c r="G23" s="133"/>
      <c r="H23" s="56" t="s">
        <v>43</v>
      </c>
      <c r="I23" s="54" t="s">
        <v>134</v>
      </c>
      <c r="J23" s="12"/>
      <c r="K23" s="12"/>
      <c r="L23" s="12"/>
      <c r="M23" s="12"/>
      <c r="N23" s="118"/>
      <c r="O23" s="118"/>
      <c r="P23" s="118"/>
    </row>
    <row r="24" spans="1:16" ht="51">
      <c r="A24" s="41">
        <v>50</v>
      </c>
      <c r="B24" s="66" t="s">
        <v>136</v>
      </c>
      <c r="C24" s="66" t="s">
        <v>137</v>
      </c>
      <c r="D24" s="54" t="s">
        <v>138</v>
      </c>
      <c r="E24" s="43" t="s">
        <v>42</v>
      </c>
      <c r="F24" s="44" t="s">
        <v>42</v>
      </c>
      <c r="G24" s="133"/>
      <c r="H24" s="56" t="s">
        <v>43</v>
      </c>
      <c r="I24" s="54" t="s">
        <v>134</v>
      </c>
      <c r="J24" s="12"/>
      <c r="K24" s="12"/>
      <c r="L24" s="12"/>
      <c r="M24" s="12"/>
      <c r="N24" s="118"/>
      <c r="O24" s="118"/>
      <c r="P24" s="118"/>
    </row>
    <row r="25" spans="1:16" ht="38.25">
      <c r="A25" s="41">
        <v>53</v>
      </c>
      <c r="B25" s="66" t="s">
        <v>139</v>
      </c>
      <c r="C25" s="66" t="s">
        <v>140</v>
      </c>
      <c r="D25" s="54" t="s">
        <v>141</v>
      </c>
      <c r="E25" s="43" t="s">
        <v>42</v>
      </c>
      <c r="F25" s="44" t="s">
        <v>42</v>
      </c>
      <c r="G25" s="133"/>
      <c r="H25" s="56" t="s">
        <v>43</v>
      </c>
      <c r="I25" s="54" t="s">
        <v>142</v>
      </c>
      <c r="J25" s="12"/>
      <c r="K25" s="12"/>
      <c r="L25" s="12"/>
      <c r="M25" s="12"/>
      <c r="N25" s="118"/>
      <c r="O25" s="118"/>
      <c r="P25" s="118"/>
    </row>
    <row r="26" spans="1:16" ht="76.5">
      <c r="A26" s="41">
        <v>55</v>
      </c>
      <c r="B26" s="66" t="s">
        <v>143</v>
      </c>
      <c r="C26" s="66" t="s">
        <v>144</v>
      </c>
      <c r="D26" s="42" t="s">
        <v>145</v>
      </c>
      <c r="E26" s="43" t="s">
        <v>74</v>
      </c>
      <c r="F26" s="44" t="s">
        <v>74</v>
      </c>
      <c r="G26" s="133"/>
      <c r="H26" s="56" t="s">
        <v>43</v>
      </c>
      <c r="I26" s="54" t="s">
        <v>146</v>
      </c>
      <c r="J26" s="12"/>
      <c r="K26" s="12"/>
      <c r="L26" s="12"/>
      <c r="M26" s="12"/>
      <c r="N26" s="118"/>
      <c r="O26" s="118"/>
      <c r="P26" s="118"/>
    </row>
    <row r="27" spans="1:16" ht="25.5">
      <c r="A27" s="41">
        <v>56</v>
      </c>
      <c r="B27" s="66" t="s">
        <v>147</v>
      </c>
      <c r="C27" s="66" t="s">
        <v>148</v>
      </c>
      <c r="D27" s="63" t="s">
        <v>149</v>
      </c>
      <c r="E27" s="43" t="s">
        <v>74</v>
      </c>
      <c r="F27" s="44" t="s">
        <v>74</v>
      </c>
      <c r="G27" s="133"/>
      <c r="H27" s="56" t="s">
        <v>43</v>
      </c>
      <c r="I27" s="54" t="s">
        <v>150</v>
      </c>
      <c r="J27" s="12"/>
      <c r="K27" s="12"/>
      <c r="L27" s="12"/>
      <c r="M27" s="12"/>
      <c r="N27" s="118"/>
      <c r="O27" s="118"/>
      <c r="P27" s="118"/>
    </row>
    <row r="28" spans="1:16" ht="25.5">
      <c r="A28" s="41">
        <v>57</v>
      </c>
      <c r="B28" s="66" t="s">
        <v>151</v>
      </c>
      <c r="C28" s="66" t="s">
        <v>152</v>
      </c>
      <c r="D28" s="66" t="s">
        <v>153</v>
      </c>
      <c r="E28" s="43" t="s">
        <v>42</v>
      </c>
      <c r="F28" s="44" t="s">
        <v>42</v>
      </c>
      <c r="G28" s="133"/>
      <c r="H28" s="56" t="s">
        <v>43</v>
      </c>
      <c r="I28" s="54" t="s">
        <v>154</v>
      </c>
      <c r="J28" s="12"/>
      <c r="K28" s="12"/>
      <c r="L28" s="12"/>
      <c r="M28" s="12"/>
      <c r="N28" s="118"/>
      <c r="O28" s="118"/>
      <c r="P28" s="118"/>
    </row>
    <row r="29" spans="1:16" ht="51">
      <c r="A29" s="41">
        <v>58</v>
      </c>
      <c r="B29" s="66" t="s">
        <v>155</v>
      </c>
      <c r="C29" s="66" t="s">
        <v>156</v>
      </c>
      <c r="D29" s="66" t="s">
        <v>157</v>
      </c>
      <c r="E29" s="43" t="s">
        <v>42</v>
      </c>
      <c r="F29" s="64" t="s">
        <v>42</v>
      </c>
      <c r="G29" s="133"/>
      <c r="H29" s="56" t="s">
        <v>43</v>
      </c>
      <c r="I29" s="54" t="s">
        <v>158</v>
      </c>
      <c r="J29" s="12"/>
      <c r="K29" s="12"/>
      <c r="L29" s="12"/>
      <c r="M29" s="12"/>
      <c r="N29" s="118"/>
      <c r="O29" s="118"/>
      <c r="P29" s="118"/>
    </row>
    <row r="30" spans="1:16" ht="76.5">
      <c r="A30" s="41">
        <v>59</v>
      </c>
      <c r="B30" s="66" t="s">
        <v>159</v>
      </c>
      <c r="C30" s="66" t="s">
        <v>160</v>
      </c>
      <c r="D30" s="66" t="s">
        <v>161</v>
      </c>
      <c r="E30" s="43" t="s">
        <v>42</v>
      </c>
      <c r="F30" s="64" t="s">
        <v>42</v>
      </c>
      <c r="G30" s="133" t="s">
        <v>42</v>
      </c>
      <c r="H30" s="56" t="s">
        <v>43</v>
      </c>
      <c r="I30" s="54" t="s">
        <v>162</v>
      </c>
      <c r="J30" s="12"/>
      <c r="K30" s="12"/>
      <c r="L30" s="12"/>
      <c r="M30" s="12"/>
      <c r="N30" s="118"/>
      <c r="O30" s="118"/>
      <c r="P30" s="118"/>
    </row>
    <row r="31" spans="1:16" ht="51">
      <c r="A31" s="41">
        <v>60</v>
      </c>
      <c r="B31" s="66" t="s">
        <v>163</v>
      </c>
      <c r="C31" s="66" t="s">
        <v>164</v>
      </c>
      <c r="D31" s="66" t="s">
        <v>165</v>
      </c>
      <c r="E31" s="43"/>
      <c r="F31" s="130"/>
      <c r="G31" s="133"/>
      <c r="H31" s="56" t="s">
        <v>84</v>
      </c>
      <c r="I31" s="54" t="s">
        <v>166</v>
      </c>
      <c r="J31" s="12"/>
      <c r="K31" s="12"/>
      <c r="L31" s="12"/>
      <c r="M31" s="12"/>
      <c r="N31" s="118"/>
      <c r="O31" s="118"/>
      <c r="P31" s="118"/>
    </row>
    <row r="32" spans="1:16" ht="280.5">
      <c r="A32" s="41">
        <v>61</v>
      </c>
      <c r="B32" s="66" t="s">
        <v>167</v>
      </c>
      <c r="C32" s="66" t="s">
        <v>168</v>
      </c>
      <c r="D32" s="66" t="s">
        <v>169</v>
      </c>
      <c r="E32" s="43" t="s">
        <v>42</v>
      </c>
      <c r="F32" s="64" t="s">
        <v>42</v>
      </c>
      <c r="G32" s="133"/>
      <c r="H32" s="56" t="s">
        <v>43</v>
      </c>
      <c r="I32" s="66" t="s">
        <v>170</v>
      </c>
      <c r="J32" s="12"/>
      <c r="K32" s="12"/>
      <c r="L32" s="12"/>
      <c r="M32" s="12"/>
      <c r="N32" s="118"/>
      <c r="O32" s="118"/>
      <c r="P32" s="118"/>
    </row>
    <row r="33" spans="1:16" ht="25.5">
      <c r="A33" s="41">
        <v>62</v>
      </c>
      <c r="B33" s="66" t="s">
        <v>171</v>
      </c>
      <c r="C33" s="66" t="s">
        <v>172</v>
      </c>
      <c r="D33" s="66" t="s">
        <v>173</v>
      </c>
      <c r="E33" s="43"/>
      <c r="F33" s="130"/>
      <c r="G33" s="133"/>
      <c r="H33" s="56" t="s">
        <v>56</v>
      </c>
      <c r="I33" s="54" t="s">
        <v>174</v>
      </c>
      <c r="J33" s="12"/>
      <c r="K33" s="12"/>
      <c r="L33" s="12"/>
      <c r="M33" s="12"/>
      <c r="N33" s="118"/>
      <c r="O33" s="118"/>
      <c r="P33" s="118"/>
    </row>
    <row r="34" spans="1:16" ht="38.25">
      <c r="A34" s="41">
        <v>63</v>
      </c>
      <c r="B34" s="66" t="s">
        <v>175</v>
      </c>
      <c r="C34" s="66" t="s">
        <v>176</v>
      </c>
      <c r="D34" s="66" t="s">
        <v>177</v>
      </c>
      <c r="E34" s="43"/>
      <c r="F34" s="130"/>
      <c r="G34" s="133"/>
      <c r="H34" s="56" t="s">
        <v>56</v>
      </c>
      <c r="I34" s="54" t="s">
        <v>178</v>
      </c>
      <c r="J34" s="12"/>
      <c r="K34" s="12"/>
      <c r="L34" s="12"/>
      <c r="M34" s="12"/>
      <c r="N34" s="118"/>
      <c r="O34" s="118"/>
      <c r="P34" s="118"/>
    </row>
    <row r="35" spans="1:16" ht="25.5">
      <c r="A35" s="41">
        <v>67</v>
      </c>
      <c r="B35" s="66" t="s">
        <v>179</v>
      </c>
      <c r="C35" s="66" t="s">
        <v>180</v>
      </c>
      <c r="D35" s="54" t="s">
        <v>181</v>
      </c>
      <c r="E35" s="43" t="s">
        <v>74</v>
      </c>
      <c r="F35" s="131" t="s">
        <v>74</v>
      </c>
      <c r="G35" s="133" t="s">
        <v>74</v>
      </c>
      <c r="H35" s="56" t="s">
        <v>43</v>
      </c>
      <c r="I35" s="54" t="s">
        <v>182</v>
      </c>
      <c r="J35" s="12"/>
      <c r="K35" s="12"/>
      <c r="L35" s="12"/>
      <c r="M35" s="12"/>
      <c r="N35" s="118"/>
      <c r="O35" s="118"/>
      <c r="P35" s="118"/>
    </row>
    <row r="36" spans="1:16" ht="76.5">
      <c r="A36" s="41">
        <v>68</v>
      </c>
      <c r="B36" s="66" t="s">
        <v>183</v>
      </c>
      <c r="C36" s="66" t="s">
        <v>184</v>
      </c>
      <c r="D36" s="66" t="s">
        <v>185</v>
      </c>
      <c r="E36" s="43" t="s">
        <v>42</v>
      </c>
      <c r="F36" s="131" t="s">
        <v>42</v>
      </c>
      <c r="G36" s="133"/>
      <c r="H36" s="56" t="s">
        <v>43</v>
      </c>
      <c r="I36" s="54" t="s">
        <v>187</v>
      </c>
      <c r="J36" s="12"/>
      <c r="K36" s="12"/>
      <c r="L36" s="12"/>
      <c r="M36" s="12"/>
      <c r="N36" s="118"/>
      <c r="O36" s="118"/>
      <c r="P36" s="118"/>
    </row>
    <row r="37" spans="1:16" ht="38.25">
      <c r="A37" s="41">
        <v>69</v>
      </c>
      <c r="B37" s="66" t="s">
        <v>188</v>
      </c>
      <c r="C37" s="66" t="s">
        <v>189</v>
      </c>
      <c r="D37" s="66" t="s">
        <v>190</v>
      </c>
      <c r="E37" s="43" t="s">
        <v>42</v>
      </c>
      <c r="F37" s="131"/>
      <c r="G37" s="133"/>
      <c r="H37" s="56" t="s">
        <v>43</v>
      </c>
      <c r="I37" s="54" t="s">
        <v>191</v>
      </c>
      <c r="J37" s="12"/>
      <c r="K37" s="12"/>
      <c r="L37" s="12"/>
      <c r="M37" s="12"/>
      <c r="N37" s="118"/>
      <c r="O37" s="118"/>
      <c r="P37" s="118"/>
    </row>
    <row r="38" spans="1:16" ht="25.5">
      <c r="A38" s="41">
        <v>70</v>
      </c>
      <c r="B38" s="66" t="s">
        <v>192</v>
      </c>
      <c r="C38" s="66" t="s">
        <v>193</v>
      </c>
      <c r="D38" s="42" t="s">
        <v>194</v>
      </c>
      <c r="E38" s="43" t="s">
        <v>42</v>
      </c>
      <c r="F38" s="131" t="s">
        <v>42</v>
      </c>
      <c r="G38" s="133"/>
      <c r="H38" s="56" t="s">
        <v>43</v>
      </c>
      <c r="I38" s="54" t="s">
        <v>195</v>
      </c>
      <c r="J38" s="12"/>
      <c r="K38" s="12"/>
      <c r="L38" s="12"/>
      <c r="M38" s="12"/>
      <c r="N38" s="118"/>
      <c r="O38" s="118"/>
      <c r="P38" s="118"/>
    </row>
    <row r="39" spans="1:16" ht="76.5">
      <c r="A39" s="41">
        <v>71</v>
      </c>
      <c r="B39" s="66" t="s">
        <v>196</v>
      </c>
      <c r="C39" s="66" t="s">
        <v>197</v>
      </c>
      <c r="D39" s="66" t="s">
        <v>198</v>
      </c>
      <c r="E39" s="43" t="s">
        <v>74</v>
      </c>
      <c r="F39" s="131" t="s">
        <v>74</v>
      </c>
      <c r="G39" s="133"/>
      <c r="H39" s="56" t="s">
        <v>43</v>
      </c>
      <c r="I39" s="54" t="s">
        <v>199</v>
      </c>
      <c r="J39" s="12"/>
      <c r="K39" s="12"/>
      <c r="L39" s="12"/>
      <c r="M39" s="12"/>
      <c r="N39" s="118"/>
      <c r="O39" s="118"/>
      <c r="P39" s="118"/>
    </row>
    <row r="40" spans="1:16" ht="89.25">
      <c r="A40" s="41">
        <v>72</v>
      </c>
      <c r="B40" s="66" t="s">
        <v>200</v>
      </c>
      <c r="C40" s="66" t="s">
        <v>201</v>
      </c>
      <c r="D40" s="66" t="s">
        <v>202</v>
      </c>
      <c r="E40" s="43" t="s">
        <v>42</v>
      </c>
      <c r="F40" s="44" t="s">
        <v>42</v>
      </c>
      <c r="G40" s="133"/>
      <c r="H40" s="56" t="s">
        <v>43</v>
      </c>
      <c r="I40" s="54" t="s">
        <v>1992</v>
      </c>
      <c r="J40" s="12"/>
      <c r="K40" s="12"/>
      <c r="L40" s="12"/>
      <c r="M40" s="12"/>
      <c r="N40" s="118"/>
      <c r="O40" s="118"/>
      <c r="P40" s="118"/>
    </row>
    <row r="41" spans="1:16" ht="140.25">
      <c r="A41" s="41">
        <v>73</v>
      </c>
      <c r="B41" s="66" t="s">
        <v>204</v>
      </c>
      <c r="C41" s="66" t="s">
        <v>205</v>
      </c>
      <c r="D41" s="42" t="s">
        <v>206</v>
      </c>
      <c r="E41" s="43" t="s">
        <v>74</v>
      </c>
      <c r="F41" s="131" t="s">
        <v>74</v>
      </c>
      <c r="G41" s="133"/>
      <c r="H41" s="56" t="s">
        <v>207</v>
      </c>
      <c r="I41" s="54" t="s">
        <v>1993</v>
      </c>
      <c r="J41" s="12"/>
      <c r="K41" s="12"/>
      <c r="L41" s="12"/>
      <c r="M41" s="12"/>
      <c r="N41" s="118"/>
      <c r="O41" s="118"/>
      <c r="P41" s="118"/>
    </row>
    <row r="42" spans="1:16" ht="51">
      <c r="A42" s="41">
        <v>76</v>
      </c>
      <c r="B42" s="66" t="s">
        <v>210</v>
      </c>
      <c r="C42" s="66" t="s">
        <v>211</v>
      </c>
      <c r="D42" s="66" t="s">
        <v>212</v>
      </c>
      <c r="E42" s="43"/>
      <c r="F42" s="131"/>
      <c r="G42" s="133"/>
      <c r="H42" s="56" t="s">
        <v>43</v>
      </c>
      <c r="I42" s="54" t="s">
        <v>213</v>
      </c>
      <c r="J42" s="12"/>
      <c r="K42" s="12"/>
      <c r="L42" s="12"/>
      <c r="M42" s="12"/>
      <c r="N42" s="118"/>
      <c r="O42" s="118"/>
      <c r="P42" s="118"/>
    </row>
    <row r="43" spans="1:16" ht="51">
      <c r="A43" s="41">
        <v>77</v>
      </c>
      <c r="B43" s="66" t="s">
        <v>214</v>
      </c>
      <c r="C43" s="66" t="s">
        <v>215</v>
      </c>
      <c r="D43" s="66" t="s">
        <v>216</v>
      </c>
      <c r="E43" s="43"/>
      <c r="F43" s="131"/>
      <c r="G43" s="133"/>
      <c r="H43" s="56" t="s">
        <v>43</v>
      </c>
      <c r="I43" s="54" t="s">
        <v>217</v>
      </c>
      <c r="J43" s="12"/>
      <c r="K43" s="12"/>
      <c r="L43" s="12"/>
      <c r="M43" s="12"/>
      <c r="N43" s="118"/>
      <c r="O43" s="118"/>
      <c r="P43" s="118"/>
    </row>
    <row r="44" spans="1:16" ht="51">
      <c r="A44" s="41">
        <v>78</v>
      </c>
      <c r="B44" s="66" t="s">
        <v>218</v>
      </c>
      <c r="C44" s="66" t="s">
        <v>219</v>
      </c>
      <c r="D44" s="42" t="s">
        <v>220</v>
      </c>
      <c r="E44" s="43"/>
      <c r="F44" s="131"/>
      <c r="G44" s="133"/>
      <c r="H44" s="56" t="s">
        <v>43</v>
      </c>
      <c r="I44" s="54" t="s">
        <v>221</v>
      </c>
      <c r="J44" s="12"/>
      <c r="K44" s="12"/>
      <c r="L44" s="12"/>
      <c r="M44" s="12"/>
      <c r="N44" s="118"/>
      <c r="O44" s="118"/>
      <c r="P44" s="118"/>
    </row>
    <row r="45" spans="1:16" ht="51">
      <c r="A45" s="41">
        <v>79</v>
      </c>
      <c r="B45" s="66" t="s">
        <v>223</v>
      </c>
      <c r="C45" s="66" t="s">
        <v>224</v>
      </c>
      <c r="D45" s="42" t="s">
        <v>225</v>
      </c>
      <c r="E45" s="43" t="s">
        <v>74</v>
      </c>
      <c r="F45" s="44" t="s">
        <v>74</v>
      </c>
      <c r="G45" s="133"/>
      <c r="H45" s="56" t="s">
        <v>43</v>
      </c>
      <c r="I45" s="54" t="s">
        <v>226</v>
      </c>
      <c r="J45" s="12"/>
      <c r="K45" s="12"/>
      <c r="L45" s="12"/>
      <c r="M45" s="12"/>
      <c r="N45" s="118"/>
      <c r="O45" s="118"/>
      <c r="P45" s="118"/>
    </row>
    <row r="46" spans="1:16" ht="38.25">
      <c r="A46" s="41">
        <v>80</v>
      </c>
      <c r="B46" s="66" t="s">
        <v>227</v>
      </c>
      <c r="C46" s="66" t="s">
        <v>228</v>
      </c>
      <c r="D46" s="66" t="s">
        <v>229</v>
      </c>
      <c r="E46" s="43"/>
      <c r="F46" s="44"/>
      <c r="G46" s="133"/>
      <c r="H46" s="56" t="s">
        <v>43</v>
      </c>
      <c r="I46" s="54" t="s">
        <v>230</v>
      </c>
      <c r="J46" s="12"/>
      <c r="K46" s="12"/>
      <c r="L46" s="12"/>
      <c r="M46" s="12"/>
      <c r="N46" s="118"/>
      <c r="O46" s="118"/>
      <c r="P46" s="118"/>
    </row>
    <row r="47" spans="1:16" ht="38.25">
      <c r="A47" s="41">
        <v>81</v>
      </c>
      <c r="B47" s="66" t="s">
        <v>231</v>
      </c>
      <c r="C47" s="66" t="s">
        <v>232</v>
      </c>
      <c r="D47" s="66" t="s">
        <v>233</v>
      </c>
      <c r="E47" s="43"/>
      <c r="F47" s="44"/>
      <c r="G47" s="133"/>
      <c r="H47" s="56" t="s">
        <v>43</v>
      </c>
      <c r="I47" s="54" t="s">
        <v>234</v>
      </c>
      <c r="J47" s="12"/>
      <c r="K47" s="12"/>
      <c r="L47" s="12"/>
      <c r="M47" s="12"/>
      <c r="N47" s="118"/>
      <c r="O47" s="118"/>
      <c r="P47" s="118"/>
    </row>
    <row r="48" spans="1:16" ht="127.5">
      <c r="A48" s="41">
        <v>84</v>
      </c>
      <c r="B48" s="66" t="s">
        <v>235</v>
      </c>
      <c r="C48" s="66" t="s">
        <v>236</v>
      </c>
      <c r="D48" s="66" t="s">
        <v>237</v>
      </c>
      <c r="E48" s="43" t="s">
        <v>42</v>
      </c>
      <c r="F48" s="64" t="s">
        <v>42</v>
      </c>
      <c r="G48" s="133"/>
      <c r="H48" s="56" t="s">
        <v>43</v>
      </c>
      <c r="I48" s="54" t="s">
        <v>238</v>
      </c>
      <c r="J48" s="12"/>
      <c r="K48" s="12"/>
      <c r="L48" s="12"/>
      <c r="M48" s="12"/>
      <c r="N48" s="118"/>
      <c r="O48" s="118"/>
      <c r="P48" s="118"/>
    </row>
    <row r="49" spans="1:16" ht="38.25">
      <c r="A49" s="41">
        <v>85</v>
      </c>
      <c r="B49" s="66" t="s">
        <v>240</v>
      </c>
      <c r="C49" s="66" t="s">
        <v>241</v>
      </c>
      <c r="D49" s="66" t="s">
        <v>242</v>
      </c>
      <c r="E49" s="43" t="s">
        <v>42</v>
      </c>
      <c r="F49" s="64" t="s">
        <v>42</v>
      </c>
      <c r="G49" s="133"/>
      <c r="H49" s="56" t="s">
        <v>86</v>
      </c>
      <c r="I49" s="54" t="s">
        <v>243</v>
      </c>
      <c r="J49" s="12"/>
      <c r="K49" s="12"/>
      <c r="L49" s="12"/>
      <c r="M49" s="12"/>
      <c r="N49" s="118"/>
      <c r="O49" s="118"/>
      <c r="P49" s="118"/>
    </row>
    <row r="50" spans="1:16" ht="51">
      <c r="A50" s="41">
        <v>86</v>
      </c>
      <c r="B50" s="66" t="s">
        <v>244</v>
      </c>
      <c r="C50" s="66" t="s">
        <v>245</v>
      </c>
      <c r="D50" s="66" t="s">
        <v>246</v>
      </c>
      <c r="E50" s="43" t="s">
        <v>42</v>
      </c>
      <c r="F50" s="64" t="s">
        <v>42</v>
      </c>
      <c r="G50" s="133"/>
      <c r="H50" s="56" t="s">
        <v>86</v>
      </c>
      <c r="I50" s="54" t="s">
        <v>243</v>
      </c>
      <c r="J50" s="12"/>
      <c r="K50" s="12"/>
      <c r="L50" s="12"/>
      <c r="M50" s="12"/>
      <c r="N50" s="118"/>
      <c r="O50" s="118"/>
      <c r="P50" s="118"/>
    </row>
    <row r="51" spans="1:16" ht="25.5">
      <c r="A51" s="41">
        <v>87</v>
      </c>
      <c r="B51" s="66" t="s">
        <v>247</v>
      </c>
      <c r="C51" s="66" t="s">
        <v>248</v>
      </c>
      <c r="D51" s="42" t="s">
        <v>249</v>
      </c>
      <c r="E51" s="43" t="s">
        <v>42</v>
      </c>
      <c r="F51" s="64" t="s">
        <v>42</v>
      </c>
      <c r="G51" s="133"/>
      <c r="H51" s="56" t="s">
        <v>86</v>
      </c>
      <c r="I51" s="54" t="s">
        <v>243</v>
      </c>
      <c r="J51" s="12"/>
      <c r="K51" s="12"/>
      <c r="L51" s="12"/>
      <c r="M51" s="12"/>
      <c r="N51" s="118"/>
      <c r="O51" s="118"/>
      <c r="P51" s="118"/>
    </row>
    <row r="52" spans="1:16" ht="76.5">
      <c r="A52" s="41">
        <v>88</v>
      </c>
      <c r="B52" s="66" t="s">
        <v>250</v>
      </c>
      <c r="C52" s="66" t="s">
        <v>251</v>
      </c>
      <c r="D52" s="42" t="s">
        <v>252</v>
      </c>
      <c r="E52" s="43" t="s">
        <v>42</v>
      </c>
      <c r="F52" s="44" t="s">
        <v>42</v>
      </c>
      <c r="G52" s="133"/>
      <c r="H52" s="56" t="s">
        <v>86</v>
      </c>
      <c r="I52" s="54" t="s">
        <v>243</v>
      </c>
      <c r="J52" s="12"/>
      <c r="K52" s="12"/>
      <c r="L52" s="12"/>
      <c r="M52" s="12"/>
      <c r="N52" s="118"/>
      <c r="O52" s="118"/>
      <c r="P52" s="118"/>
    </row>
    <row r="53" spans="1:16" ht="76.5">
      <c r="A53" s="41">
        <v>89</v>
      </c>
      <c r="B53" s="66" t="s">
        <v>253</v>
      </c>
      <c r="C53" s="66" t="s">
        <v>254</v>
      </c>
      <c r="D53" s="66" t="s">
        <v>255</v>
      </c>
      <c r="E53" s="43" t="s">
        <v>74</v>
      </c>
      <c r="F53" s="131"/>
      <c r="G53" s="133"/>
      <c r="H53" s="56" t="s">
        <v>43</v>
      </c>
      <c r="I53" s="54" t="s">
        <v>256</v>
      </c>
      <c r="J53" s="12"/>
      <c r="K53" s="12"/>
      <c r="L53" s="12"/>
      <c r="M53" s="12"/>
      <c r="N53" s="118"/>
      <c r="O53" s="118"/>
      <c r="P53" s="118"/>
    </row>
    <row r="54" spans="1:16" ht="63.75">
      <c r="A54" s="41">
        <v>90</v>
      </c>
      <c r="B54" s="66" t="s">
        <v>257</v>
      </c>
      <c r="C54" s="66" t="s">
        <v>258</v>
      </c>
      <c r="D54" s="66" t="s">
        <v>259</v>
      </c>
      <c r="E54" s="43" t="s">
        <v>74</v>
      </c>
      <c r="F54" s="44" t="s">
        <v>74</v>
      </c>
      <c r="G54" s="133"/>
      <c r="H54" s="56" t="s">
        <v>86</v>
      </c>
      <c r="I54" s="54" t="s">
        <v>243</v>
      </c>
      <c r="J54" s="12"/>
      <c r="K54" s="12"/>
      <c r="L54" s="12"/>
      <c r="M54" s="12"/>
      <c r="N54" s="118"/>
      <c r="O54" s="118"/>
      <c r="P54" s="118"/>
    </row>
    <row r="55" spans="1:16" ht="63.75">
      <c r="A55" s="41">
        <v>91</v>
      </c>
      <c r="B55" s="66" t="s">
        <v>260</v>
      </c>
      <c r="C55" s="66" t="s">
        <v>261</v>
      </c>
      <c r="D55" s="66" t="s">
        <v>262</v>
      </c>
      <c r="E55" s="43" t="s">
        <v>42</v>
      </c>
      <c r="F55" s="44" t="s">
        <v>42</v>
      </c>
      <c r="G55" s="133"/>
      <c r="H55" s="56" t="s">
        <v>84</v>
      </c>
      <c r="I55" s="54" t="s">
        <v>263</v>
      </c>
      <c r="J55" s="12"/>
      <c r="K55" s="12"/>
      <c r="L55" s="12"/>
      <c r="M55" s="12"/>
      <c r="N55" s="118"/>
      <c r="O55" s="118"/>
      <c r="P55" s="118"/>
    </row>
    <row r="56" spans="1:16" ht="51">
      <c r="A56" s="41">
        <v>92</v>
      </c>
      <c r="B56" s="66" t="s">
        <v>265</v>
      </c>
      <c r="C56" s="66" t="s">
        <v>266</v>
      </c>
      <c r="D56" s="66" t="s">
        <v>267</v>
      </c>
      <c r="E56" s="43" t="s">
        <v>42</v>
      </c>
      <c r="F56" s="44" t="s">
        <v>42</v>
      </c>
      <c r="G56" s="133"/>
      <c r="H56" s="56" t="s">
        <v>84</v>
      </c>
      <c r="I56" s="54" t="s">
        <v>263</v>
      </c>
      <c r="J56" s="12"/>
      <c r="K56" s="12"/>
      <c r="L56" s="12"/>
      <c r="M56" s="12"/>
      <c r="N56" s="118"/>
      <c r="O56" s="118"/>
      <c r="P56" s="118"/>
    </row>
    <row r="57" spans="1:16" ht="38.25">
      <c r="A57" s="41">
        <v>93</v>
      </c>
      <c r="B57" s="66" t="s">
        <v>268</v>
      </c>
      <c r="C57" s="66" t="s">
        <v>269</v>
      </c>
      <c r="D57" s="66" t="s">
        <v>270</v>
      </c>
      <c r="E57" s="43" t="s">
        <v>74</v>
      </c>
      <c r="F57" s="44" t="s">
        <v>74</v>
      </c>
      <c r="G57" s="133"/>
      <c r="H57" s="56" t="s">
        <v>84</v>
      </c>
      <c r="I57" s="54" t="s">
        <v>263</v>
      </c>
      <c r="J57" s="12"/>
      <c r="K57" s="12"/>
      <c r="L57" s="12"/>
      <c r="M57" s="12"/>
      <c r="N57" s="118"/>
      <c r="O57" s="118"/>
      <c r="P57" s="118"/>
    </row>
    <row r="58" spans="1:16" ht="38.25">
      <c r="A58" s="41">
        <v>94</v>
      </c>
      <c r="B58" s="66" t="s">
        <v>271</v>
      </c>
      <c r="C58" s="66" t="s">
        <v>272</v>
      </c>
      <c r="D58" s="66" t="s">
        <v>273</v>
      </c>
      <c r="E58" s="43" t="s">
        <v>74</v>
      </c>
      <c r="F58" s="44" t="s">
        <v>74</v>
      </c>
      <c r="G58" s="133"/>
      <c r="H58" s="56" t="s">
        <v>84</v>
      </c>
      <c r="I58" s="54" t="s">
        <v>263</v>
      </c>
      <c r="J58" s="12"/>
      <c r="K58" s="12"/>
      <c r="L58" s="12"/>
      <c r="M58" s="12"/>
      <c r="N58" s="118"/>
      <c r="O58" s="118"/>
      <c r="P58" s="118"/>
    </row>
    <row r="59" spans="1:16" ht="89.25">
      <c r="A59" s="41">
        <v>96</v>
      </c>
      <c r="B59" s="66" t="s">
        <v>274</v>
      </c>
      <c r="C59" s="66" t="s">
        <v>275</v>
      </c>
      <c r="D59" s="66" t="s">
        <v>276</v>
      </c>
      <c r="E59" s="43" t="s">
        <v>42</v>
      </c>
      <c r="F59" s="44" t="s">
        <v>42</v>
      </c>
      <c r="G59" s="133"/>
      <c r="H59" s="56" t="s">
        <v>84</v>
      </c>
      <c r="I59" s="54" t="s">
        <v>277</v>
      </c>
      <c r="J59" s="12"/>
      <c r="K59" s="12"/>
      <c r="L59" s="12"/>
      <c r="M59" s="12"/>
      <c r="N59" s="118"/>
      <c r="O59" s="118"/>
      <c r="P59" s="118"/>
    </row>
    <row r="60" spans="1:16" ht="51">
      <c r="A60" s="41">
        <v>98</v>
      </c>
      <c r="B60" s="66" t="s">
        <v>279</v>
      </c>
      <c r="C60" s="66" t="s">
        <v>280</v>
      </c>
      <c r="D60" s="42" t="s">
        <v>281</v>
      </c>
      <c r="E60" s="43" t="s">
        <v>42</v>
      </c>
      <c r="F60" s="44" t="s">
        <v>42</v>
      </c>
      <c r="G60" s="133"/>
      <c r="H60" s="56" t="s">
        <v>84</v>
      </c>
      <c r="I60" s="54" t="s">
        <v>277</v>
      </c>
      <c r="J60" s="12"/>
      <c r="K60" s="12"/>
      <c r="L60" s="12"/>
      <c r="M60" s="12"/>
      <c r="N60" s="118"/>
      <c r="O60" s="118"/>
      <c r="P60" s="118"/>
    </row>
    <row r="61" spans="1:16" ht="76.5">
      <c r="A61" s="41">
        <v>99</v>
      </c>
      <c r="B61" s="66" t="s">
        <v>282</v>
      </c>
      <c r="C61" s="66" t="s">
        <v>283</v>
      </c>
      <c r="D61" s="66" t="s">
        <v>284</v>
      </c>
      <c r="E61" s="43" t="s">
        <v>42</v>
      </c>
      <c r="F61" s="44" t="s">
        <v>42</v>
      </c>
      <c r="G61" s="133"/>
      <c r="H61" s="56" t="s">
        <v>86</v>
      </c>
      <c r="I61" s="54" t="s">
        <v>285</v>
      </c>
      <c r="J61" s="12"/>
      <c r="K61" s="12"/>
      <c r="L61" s="12"/>
      <c r="M61" s="12"/>
      <c r="N61" s="118"/>
      <c r="O61" s="118"/>
      <c r="P61" s="118"/>
    </row>
    <row r="62" spans="1:16" ht="114.75">
      <c r="A62" s="41">
        <v>100</v>
      </c>
      <c r="B62" s="66" t="s">
        <v>287</v>
      </c>
      <c r="C62" s="66" t="s">
        <v>288</v>
      </c>
      <c r="D62" s="66" t="s">
        <v>289</v>
      </c>
      <c r="E62" s="43" t="s">
        <v>42</v>
      </c>
      <c r="F62" s="44" t="s">
        <v>42</v>
      </c>
      <c r="G62" s="133"/>
      <c r="H62" s="56" t="s">
        <v>86</v>
      </c>
      <c r="I62" s="54" t="s">
        <v>290</v>
      </c>
      <c r="J62" s="12"/>
      <c r="K62" s="12"/>
      <c r="L62" s="12"/>
      <c r="M62" s="12"/>
      <c r="N62" s="118"/>
      <c r="O62" s="118"/>
      <c r="P62" s="118"/>
    </row>
    <row r="63" spans="1:16" ht="38.25">
      <c r="A63" s="41">
        <v>101</v>
      </c>
      <c r="B63" s="66" t="s">
        <v>291</v>
      </c>
      <c r="C63" s="66" t="s">
        <v>292</v>
      </c>
      <c r="D63" s="42" t="s">
        <v>293</v>
      </c>
      <c r="E63" s="43" t="s">
        <v>42</v>
      </c>
      <c r="F63" s="131"/>
      <c r="G63" s="133"/>
      <c r="H63" s="56" t="s">
        <v>84</v>
      </c>
      <c r="I63" s="54" t="s">
        <v>294</v>
      </c>
      <c r="J63" s="12"/>
      <c r="K63" s="12"/>
      <c r="L63" s="12"/>
      <c r="M63" s="12"/>
      <c r="N63" s="118"/>
      <c r="O63" s="118"/>
      <c r="P63" s="118"/>
    </row>
    <row r="64" spans="1:16" ht="76.5">
      <c r="A64" s="41">
        <v>102</v>
      </c>
      <c r="B64" s="66" t="s">
        <v>297</v>
      </c>
      <c r="C64" s="66" t="s">
        <v>298</v>
      </c>
      <c r="D64" s="42" t="s">
        <v>299</v>
      </c>
      <c r="E64" s="43" t="s">
        <v>74</v>
      </c>
      <c r="F64" s="131" t="s">
        <v>74</v>
      </c>
      <c r="G64" s="133"/>
      <c r="H64" s="56" t="s">
        <v>86</v>
      </c>
      <c r="I64" s="54" t="s">
        <v>301</v>
      </c>
      <c r="J64" s="12"/>
      <c r="K64" s="12"/>
      <c r="L64" s="12"/>
      <c r="M64" s="12"/>
      <c r="N64" s="118"/>
      <c r="O64" s="118"/>
      <c r="P64" s="118"/>
    </row>
    <row r="65" spans="1:16" ht="63.75">
      <c r="A65" s="41">
        <v>103</v>
      </c>
      <c r="B65" s="66" t="s">
        <v>302</v>
      </c>
      <c r="C65" s="66" t="s">
        <v>303</v>
      </c>
      <c r="D65" s="42" t="s">
        <v>304</v>
      </c>
      <c r="E65" s="43"/>
      <c r="F65" s="131"/>
      <c r="G65" s="133"/>
      <c r="H65" s="56" t="s">
        <v>86</v>
      </c>
      <c r="I65" s="54" t="s">
        <v>305</v>
      </c>
      <c r="J65" s="12"/>
      <c r="K65" s="12"/>
      <c r="L65" s="12"/>
      <c r="M65" s="12"/>
      <c r="N65" s="118"/>
      <c r="O65" s="118"/>
      <c r="P65" s="118"/>
    </row>
    <row r="66" spans="1:16" ht="114.75">
      <c r="A66" s="41">
        <v>104</v>
      </c>
      <c r="B66" s="66" t="s">
        <v>306</v>
      </c>
      <c r="C66" s="66" t="s">
        <v>307</v>
      </c>
      <c r="D66" s="42" t="s">
        <v>308</v>
      </c>
      <c r="E66" s="43" t="s">
        <v>42</v>
      </c>
      <c r="F66" s="131"/>
      <c r="G66" s="133"/>
      <c r="H66" s="56" t="s">
        <v>86</v>
      </c>
      <c r="I66" s="54" t="s">
        <v>309</v>
      </c>
      <c r="J66" s="12"/>
      <c r="K66" s="12"/>
      <c r="L66" s="12"/>
      <c r="M66" s="12"/>
      <c r="N66" s="118"/>
      <c r="O66" s="118"/>
      <c r="P66" s="118"/>
    </row>
    <row r="67" spans="1:16" ht="51">
      <c r="A67" s="41">
        <v>105</v>
      </c>
      <c r="B67" s="66" t="s">
        <v>310</v>
      </c>
      <c r="C67" s="66" t="s">
        <v>311</v>
      </c>
      <c r="D67" s="66" t="s">
        <v>312</v>
      </c>
      <c r="E67" s="43"/>
      <c r="F67" s="131"/>
      <c r="G67" s="133"/>
      <c r="H67" s="56" t="s">
        <v>84</v>
      </c>
      <c r="I67" s="54" t="s">
        <v>313</v>
      </c>
      <c r="J67" s="12"/>
      <c r="K67" s="12"/>
      <c r="L67" s="12"/>
      <c r="M67" s="12"/>
      <c r="N67" s="118"/>
      <c r="O67" s="118"/>
      <c r="P67" s="118"/>
    </row>
    <row r="68" spans="1:16" ht="216.75">
      <c r="A68" s="41">
        <v>107</v>
      </c>
      <c r="B68" s="66" t="s">
        <v>314</v>
      </c>
      <c r="C68" s="66" t="s">
        <v>315</v>
      </c>
      <c r="D68" s="66" t="s">
        <v>316</v>
      </c>
      <c r="E68" s="43" t="s">
        <v>42</v>
      </c>
      <c r="F68" s="131"/>
      <c r="G68" s="133"/>
      <c r="H68" s="56" t="s">
        <v>43</v>
      </c>
      <c r="I68" s="54" t="s">
        <v>317</v>
      </c>
      <c r="J68" s="12"/>
      <c r="K68" s="12"/>
      <c r="L68" s="12"/>
      <c r="M68" s="12"/>
      <c r="N68" s="118"/>
      <c r="O68" s="118"/>
      <c r="P68" s="118"/>
    </row>
    <row r="69" spans="1:16" ht="38.25">
      <c r="A69" s="41">
        <v>108</v>
      </c>
      <c r="B69" s="66" t="s">
        <v>319</v>
      </c>
      <c r="C69" s="66" t="s">
        <v>320</v>
      </c>
      <c r="D69" s="42" t="s">
        <v>321</v>
      </c>
      <c r="E69" s="43" t="s">
        <v>74</v>
      </c>
      <c r="F69" s="131"/>
      <c r="G69" s="133"/>
      <c r="H69" s="56" t="s">
        <v>43</v>
      </c>
      <c r="I69" s="54" t="s">
        <v>322</v>
      </c>
      <c r="J69" s="12"/>
      <c r="K69" s="12"/>
      <c r="L69" s="12"/>
      <c r="M69" s="12"/>
      <c r="N69" s="118"/>
      <c r="O69" s="118"/>
      <c r="P69" s="118"/>
    </row>
    <row r="70" spans="1:16" ht="140.25">
      <c r="A70" s="41">
        <v>113</v>
      </c>
      <c r="B70" s="66" t="s">
        <v>324</v>
      </c>
      <c r="C70" s="66" t="s">
        <v>325</v>
      </c>
      <c r="D70" s="42" t="s">
        <v>326</v>
      </c>
      <c r="E70" s="43" t="s">
        <v>42</v>
      </c>
      <c r="F70" s="44" t="s">
        <v>42</v>
      </c>
      <c r="G70" s="133" t="s">
        <v>42</v>
      </c>
      <c r="H70" s="56" t="s">
        <v>43</v>
      </c>
      <c r="I70" s="66" t="s">
        <v>327</v>
      </c>
      <c r="J70" s="12"/>
      <c r="K70" s="12"/>
      <c r="L70" s="12"/>
      <c r="M70" s="12"/>
      <c r="N70" s="118"/>
      <c r="O70" s="118"/>
      <c r="P70" s="118"/>
    </row>
    <row r="71" spans="1:16" ht="63.75">
      <c r="A71" s="41">
        <v>114</v>
      </c>
      <c r="B71" s="66" t="s">
        <v>329</v>
      </c>
      <c r="C71" s="66" t="s">
        <v>330</v>
      </c>
      <c r="D71" s="66" t="s">
        <v>331</v>
      </c>
      <c r="E71" s="43" t="s">
        <v>42</v>
      </c>
      <c r="F71" s="44" t="s">
        <v>42</v>
      </c>
      <c r="G71" s="133" t="s">
        <v>42</v>
      </c>
      <c r="H71" s="56" t="s">
        <v>43</v>
      </c>
      <c r="I71" s="54" t="s">
        <v>1994</v>
      </c>
      <c r="J71" s="12"/>
      <c r="K71" s="12"/>
      <c r="L71" s="12"/>
      <c r="M71" s="12"/>
      <c r="N71" s="118"/>
      <c r="O71" s="118"/>
      <c r="P71" s="118"/>
    </row>
    <row r="72" spans="1:16" ht="25.5">
      <c r="A72" s="41">
        <v>116</v>
      </c>
      <c r="B72" s="66" t="s">
        <v>334</v>
      </c>
      <c r="C72" s="66" t="s">
        <v>335</v>
      </c>
      <c r="D72" s="66" t="s">
        <v>336</v>
      </c>
      <c r="E72" s="43" t="s">
        <v>42</v>
      </c>
      <c r="F72" s="44" t="s">
        <v>42</v>
      </c>
      <c r="G72" s="133" t="s">
        <v>42</v>
      </c>
      <c r="H72" s="56" t="s">
        <v>43</v>
      </c>
      <c r="I72" s="54" t="s">
        <v>1995</v>
      </c>
      <c r="J72" s="12"/>
      <c r="K72" s="12"/>
      <c r="L72" s="12"/>
      <c r="M72" s="12"/>
      <c r="N72" s="118"/>
      <c r="O72" s="118"/>
      <c r="P72" s="118"/>
    </row>
    <row r="73" spans="1:16" ht="76.5">
      <c r="A73" s="41">
        <v>117</v>
      </c>
      <c r="B73" s="66" t="s">
        <v>339</v>
      </c>
      <c r="C73" s="66" t="s">
        <v>340</v>
      </c>
      <c r="D73" s="66" t="s">
        <v>341</v>
      </c>
      <c r="E73" s="43" t="s">
        <v>42</v>
      </c>
      <c r="F73" s="44" t="s">
        <v>42</v>
      </c>
      <c r="G73" s="133" t="s">
        <v>42</v>
      </c>
      <c r="H73" s="56" t="s">
        <v>43</v>
      </c>
      <c r="I73" s="66" t="s">
        <v>343</v>
      </c>
      <c r="J73" s="12"/>
      <c r="K73" s="12"/>
      <c r="L73" s="12"/>
      <c r="M73" s="12"/>
      <c r="N73" s="118"/>
      <c r="O73" s="118"/>
      <c r="P73" s="118"/>
    </row>
    <row r="74" spans="1:16" ht="89.25">
      <c r="A74" s="41">
        <v>119</v>
      </c>
      <c r="B74" s="66" t="s">
        <v>345</v>
      </c>
      <c r="C74" s="66" t="s">
        <v>346</v>
      </c>
      <c r="D74" s="42" t="s">
        <v>347</v>
      </c>
      <c r="E74" s="43" t="s">
        <v>74</v>
      </c>
      <c r="F74" s="44" t="s">
        <v>74</v>
      </c>
      <c r="G74" s="133" t="s">
        <v>74</v>
      </c>
      <c r="H74" s="56" t="s">
        <v>43</v>
      </c>
      <c r="I74" s="66" t="s">
        <v>1996</v>
      </c>
      <c r="J74" s="12"/>
      <c r="K74" s="12"/>
      <c r="L74" s="12"/>
      <c r="M74" s="12"/>
      <c r="N74" s="118"/>
      <c r="O74" s="118"/>
      <c r="P74" s="118"/>
    </row>
    <row r="75" spans="1:16" ht="63.75">
      <c r="A75" s="41">
        <v>121</v>
      </c>
      <c r="B75" s="66" t="s">
        <v>350</v>
      </c>
      <c r="C75" s="66" t="s">
        <v>351</v>
      </c>
      <c r="D75" s="42" t="s">
        <v>1997</v>
      </c>
      <c r="E75" s="43" t="s">
        <v>74</v>
      </c>
      <c r="F75" s="44" t="s">
        <v>74</v>
      </c>
      <c r="G75" s="133" t="s">
        <v>74</v>
      </c>
      <c r="H75" s="56" t="s">
        <v>43</v>
      </c>
      <c r="I75" s="66" t="s">
        <v>353</v>
      </c>
      <c r="J75" s="12"/>
      <c r="K75" s="12"/>
      <c r="L75" s="12"/>
      <c r="M75" s="12"/>
      <c r="N75" s="118"/>
      <c r="O75" s="118"/>
      <c r="P75" s="118"/>
    </row>
    <row r="76" spans="1:16" ht="76.5">
      <c r="A76" s="41">
        <v>122</v>
      </c>
      <c r="B76" s="66" t="s">
        <v>355</v>
      </c>
      <c r="C76" s="66" t="s">
        <v>356</v>
      </c>
      <c r="D76" s="66" t="s">
        <v>357</v>
      </c>
      <c r="E76" s="43" t="s">
        <v>42</v>
      </c>
      <c r="F76" s="44" t="s">
        <v>42</v>
      </c>
      <c r="G76" s="133" t="s">
        <v>42</v>
      </c>
      <c r="H76" s="56" t="s">
        <v>43</v>
      </c>
      <c r="I76" s="54" t="s">
        <v>358</v>
      </c>
      <c r="J76" s="12"/>
      <c r="K76" s="12"/>
      <c r="L76" s="12"/>
      <c r="M76" s="12"/>
      <c r="N76" s="118"/>
      <c r="O76" s="118"/>
      <c r="P76" s="118"/>
    </row>
    <row r="77" spans="1:16" ht="140.25">
      <c r="A77" s="41">
        <v>123</v>
      </c>
      <c r="B77" s="66" t="s">
        <v>360</v>
      </c>
      <c r="C77" s="66" t="s">
        <v>361</v>
      </c>
      <c r="D77" s="42" t="s">
        <v>362</v>
      </c>
      <c r="E77" s="43" t="s">
        <v>42</v>
      </c>
      <c r="F77" s="44" t="s">
        <v>42</v>
      </c>
      <c r="G77" s="45" t="s">
        <v>42</v>
      </c>
      <c r="H77" s="56" t="s">
        <v>43</v>
      </c>
      <c r="I77" s="54" t="s">
        <v>363</v>
      </c>
      <c r="J77" s="12"/>
      <c r="K77" s="12"/>
      <c r="L77" s="12"/>
      <c r="M77" s="12"/>
      <c r="N77" s="118"/>
      <c r="O77" s="118"/>
      <c r="P77" s="118"/>
    </row>
    <row r="78" spans="1:16" ht="409.6">
      <c r="A78" s="41">
        <v>124</v>
      </c>
      <c r="B78" s="66" t="s">
        <v>365</v>
      </c>
      <c r="C78" s="66" t="s">
        <v>366</v>
      </c>
      <c r="D78" s="66" t="s">
        <v>367</v>
      </c>
      <c r="E78" s="43" t="s">
        <v>42</v>
      </c>
      <c r="F78" s="44" t="s">
        <v>42</v>
      </c>
      <c r="G78" s="133"/>
      <c r="H78" s="56" t="s">
        <v>43</v>
      </c>
      <c r="I78" s="66"/>
      <c r="J78" s="12"/>
      <c r="K78" s="12"/>
      <c r="L78" s="12"/>
      <c r="M78" s="12"/>
      <c r="N78" s="118"/>
      <c r="O78" s="118"/>
      <c r="P78" s="118"/>
    </row>
    <row r="79" spans="1:16" ht="38.25">
      <c r="A79" s="41">
        <v>125</v>
      </c>
      <c r="B79" s="66" t="s">
        <v>368</v>
      </c>
      <c r="C79" s="66" t="s">
        <v>369</v>
      </c>
      <c r="D79" s="66" t="s">
        <v>370</v>
      </c>
      <c r="E79" s="43" t="s">
        <v>42</v>
      </c>
      <c r="F79" s="44" t="s">
        <v>42</v>
      </c>
      <c r="G79" s="133"/>
      <c r="H79" s="69" t="s">
        <v>43</v>
      </c>
      <c r="I79" s="66" t="s">
        <v>1998</v>
      </c>
      <c r="J79" s="12"/>
      <c r="K79" s="12"/>
      <c r="L79" s="12"/>
      <c r="M79" s="12"/>
      <c r="N79" s="118"/>
      <c r="O79" s="118"/>
      <c r="P79" s="118"/>
    </row>
    <row r="80" spans="1:16" ht="51">
      <c r="A80" s="41">
        <v>126</v>
      </c>
      <c r="B80" s="66" t="s">
        <v>372</v>
      </c>
      <c r="C80" s="66" t="s">
        <v>373</v>
      </c>
      <c r="D80" s="66" t="s">
        <v>374</v>
      </c>
      <c r="E80" s="43" t="s">
        <v>42</v>
      </c>
      <c r="F80" s="44" t="s">
        <v>42</v>
      </c>
      <c r="G80" s="133"/>
      <c r="H80" s="69" t="s">
        <v>43</v>
      </c>
      <c r="I80" s="66" t="s">
        <v>375</v>
      </c>
      <c r="J80" s="12"/>
      <c r="K80" s="12"/>
      <c r="L80" s="12"/>
      <c r="M80" s="12"/>
      <c r="N80" s="118"/>
      <c r="O80" s="118"/>
      <c r="P80" s="118"/>
    </row>
    <row r="81" spans="1:16" ht="38.25">
      <c r="A81" s="41">
        <v>127</v>
      </c>
      <c r="B81" s="66" t="s">
        <v>376</v>
      </c>
      <c r="C81" s="66" t="s">
        <v>377</v>
      </c>
      <c r="D81" s="42" t="s">
        <v>378</v>
      </c>
      <c r="E81" s="43" t="s">
        <v>42</v>
      </c>
      <c r="F81" s="44" t="s">
        <v>42</v>
      </c>
      <c r="G81" s="133"/>
      <c r="H81" s="56" t="s">
        <v>56</v>
      </c>
      <c r="I81" s="66" t="s">
        <v>379</v>
      </c>
      <c r="J81" s="12"/>
      <c r="K81" s="12"/>
      <c r="L81" s="12"/>
      <c r="M81" s="12"/>
      <c r="N81" s="118"/>
      <c r="O81" s="118"/>
      <c r="P81" s="118"/>
    </row>
    <row r="82" spans="1:16" ht="38.25">
      <c r="A82" s="41">
        <v>129</v>
      </c>
      <c r="B82" s="66" t="s">
        <v>380</v>
      </c>
      <c r="C82" s="66" t="s">
        <v>381</v>
      </c>
      <c r="D82" s="66" t="s">
        <v>382</v>
      </c>
      <c r="E82" s="43"/>
      <c r="F82" s="131"/>
      <c r="G82" s="133" t="s">
        <v>42</v>
      </c>
      <c r="H82" s="56" t="s">
        <v>43</v>
      </c>
      <c r="I82" s="66" t="s">
        <v>383</v>
      </c>
      <c r="J82" s="12"/>
      <c r="K82" s="12"/>
      <c r="L82" s="12"/>
      <c r="M82" s="12"/>
      <c r="N82" s="118"/>
      <c r="O82" s="118"/>
      <c r="P82" s="118"/>
    </row>
    <row r="83" spans="1:16" ht="25.5">
      <c r="A83" s="41">
        <v>130</v>
      </c>
      <c r="B83" s="66" t="s">
        <v>384</v>
      </c>
      <c r="C83" s="66" t="s">
        <v>385</v>
      </c>
      <c r="D83" s="42" t="s">
        <v>386</v>
      </c>
      <c r="E83" s="43" t="s">
        <v>74</v>
      </c>
      <c r="F83" s="131" t="s">
        <v>74</v>
      </c>
      <c r="G83" s="133" t="s">
        <v>74</v>
      </c>
      <c r="H83" s="56" t="s">
        <v>43</v>
      </c>
      <c r="I83" s="66" t="s">
        <v>387</v>
      </c>
      <c r="J83" s="12"/>
      <c r="K83" s="12"/>
      <c r="L83" s="12"/>
      <c r="M83" s="12"/>
      <c r="N83" s="118"/>
      <c r="O83" s="118"/>
      <c r="P83" s="118"/>
    </row>
    <row r="84" spans="1:16" ht="63.75">
      <c r="A84" s="41">
        <v>131</v>
      </c>
      <c r="B84" s="66" t="s">
        <v>388</v>
      </c>
      <c r="C84" s="66" t="s">
        <v>389</v>
      </c>
      <c r="D84" s="42" t="s">
        <v>390</v>
      </c>
      <c r="E84" s="43"/>
      <c r="F84" s="131"/>
      <c r="G84" s="133" t="s">
        <v>42</v>
      </c>
      <c r="H84" s="56" t="s">
        <v>207</v>
      </c>
      <c r="I84" s="66" t="s">
        <v>391</v>
      </c>
      <c r="J84" s="12"/>
      <c r="K84" s="12"/>
      <c r="L84" s="12"/>
      <c r="M84" s="12"/>
      <c r="N84" s="118"/>
      <c r="O84" s="118"/>
      <c r="P84" s="118"/>
    </row>
    <row r="85" spans="1:16" ht="51">
      <c r="A85" s="41">
        <v>132</v>
      </c>
      <c r="B85" s="66" t="s">
        <v>392</v>
      </c>
      <c r="C85" s="66" t="s">
        <v>393</v>
      </c>
      <c r="D85" s="42" t="s">
        <v>394</v>
      </c>
      <c r="E85" s="43"/>
      <c r="F85" s="131"/>
      <c r="G85" s="133" t="s">
        <v>74</v>
      </c>
      <c r="H85" s="56" t="s">
        <v>207</v>
      </c>
      <c r="I85" s="66" t="s">
        <v>395</v>
      </c>
      <c r="J85" s="12"/>
      <c r="K85" s="12"/>
      <c r="L85" s="12"/>
      <c r="M85" s="12"/>
      <c r="N85" s="118"/>
      <c r="O85" s="118"/>
      <c r="P85" s="118"/>
    </row>
    <row r="86" spans="1:16" ht="63.75">
      <c r="A86" s="41">
        <v>133</v>
      </c>
      <c r="B86" s="66" t="s">
        <v>396</v>
      </c>
      <c r="C86" s="66" t="s">
        <v>397</v>
      </c>
      <c r="D86" s="42" t="s">
        <v>398</v>
      </c>
      <c r="E86" s="43"/>
      <c r="F86" s="131"/>
      <c r="G86" s="133"/>
      <c r="H86" s="56" t="s">
        <v>43</v>
      </c>
      <c r="I86" s="66" t="s">
        <v>399</v>
      </c>
      <c r="J86" s="12"/>
      <c r="K86" s="12"/>
      <c r="L86" s="12"/>
      <c r="M86" s="12"/>
      <c r="N86" s="118"/>
      <c r="O86" s="118"/>
      <c r="P86" s="118"/>
    </row>
    <row r="87" spans="1:16" ht="63.75">
      <c r="A87" s="41">
        <v>136</v>
      </c>
      <c r="B87" s="66" t="s">
        <v>400</v>
      </c>
      <c r="C87" s="66" t="s">
        <v>401</v>
      </c>
      <c r="D87" s="42" t="s">
        <v>402</v>
      </c>
      <c r="E87" s="43" t="s">
        <v>42</v>
      </c>
      <c r="F87" s="44" t="s">
        <v>42</v>
      </c>
      <c r="G87" s="133"/>
      <c r="H87" s="56" t="s">
        <v>43</v>
      </c>
      <c r="I87" s="66" t="s">
        <v>1999</v>
      </c>
      <c r="J87" s="12"/>
      <c r="K87" s="12"/>
      <c r="L87" s="12"/>
      <c r="M87" s="12"/>
      <c r="N87" s="118"/>
      <c r="O87" s="118"/>
      <c r="P87" s="118"/>
    </row>
    <row r="88" spans="1:16" ht="38.25">
      <c r="A88" s="41">
        <v>137</v>
      </c>
      <c r="B88" s="66" t="s">
        <v>405</v>
      </c>
      <c r="C88" s="66" t="s">
        <v>406</v>
      </c>
      <c r="D88" s="66" t="s">
        <v>407</v>
      </c>
      <c r="E88" s="43" t="s">
        <v>42</v>
      </c>
      <c r="F88" s="131" t="s">
        <v>42</v>
      </c>
      <c r="G88" s="133"/>
      <c r="H88" s="69" t="s">
        <v>43</v>
      </c>
      <c r="I88" s="66" t="s">
        <v>408</v>
      </c>
      <c r="J88" s="12"/>
      <c r="K88" s="12"/>
      <c r="L88" s="12"/>
      <c r="M88" s="12"/>
      <c r="N88" s="118"/>
      <c r="O88" s="118"/>
      <c r="P88" s="118"/>
    </row>
    <row r="89" spans="1:16" ht="25.5">
      <c r="A89" s="41">
        <v>138</v>
      </c>
      <c r="B89" s="66" t="s">
        <v>409</v>
      </c>
      <c r="C89" s="66" t="s">
        <v>410</v>
      </c>
      <c r="D89" s="66" t="s">
        <v>411</v>
      </c>
      <c r="E89" s="43" t="s">
        <v>42</v>
      </c>
      <c r="F89" s="44" t="s">
        <v>42</v>
      </c>
      <c r="G89" s="133"/>
      <c r="H89" s="69" t="s">
        <v>43</v>
      </c>
      <c r="I89" s="66" t="s">
        <v>412</v>
      </c>
      <c r="J89" s="12"/>
      <c r="K89" s="12"/>
      <c r="L89" s="12"/>
      <c r="M89" s="12"/>
      <c r="N89" s="118"/>
      <c r="O89" s="118"/>
      <c r="P89" s="118"/>
    </row>
    <row r="90" spans="1:16" ht="25.5">
      <c r="A90" s="41">
        <v>139</v>
      </c>
      <c r="B90" s="66" t="s">
        <v>413</v>
      </c>
      <c r="C90" s="66" t="s">
        <v>414</v>
      </c>
      <c r="D90" s="66" t="s">
        <v>415</v>
      </c>
      <c r="E90" s="43" t="s">
        <v>74</v>
      </c>
      <c r="F90" s="131" t="s">
        <v>74</v>
      </c>
      <c r="G90" s="133"/>
      <c r="H90" s="69" t="s">
        <v>43</v>
      </c>
      <c r="I90" s="66" t="s">
        <v>416</v>
      </c>
      <c r="J90" s="12"/>
      <c r="K90" s="12"/>
      <c r="L90" s="12"/>
      <c r="M90" s="12"/>
      <c r="N90" s="118"/>
      <c r="O90" s="118"/>
      <c r="P90" s="118"/>
    </row>
    <row r="91" spans="1:16" ht="51">
      <c r="A91" s="41">
        <v>140</v>
      </c>
      <c r="B91" s="66" t="s">
        <v>417</v>
      </c>
      <c r="C91" s="66" t="s">
        <v>418</v>
      </c>
      <c r="D91" s="42" t="s">
        <v>419</v>
      </c>
      <c r="E91" s="43"/>
      <c r="F91" s="131"/>
      <c r="G91" s="133"/>
      <c r="H91" s="69" t="s">
        <v>43</v>
      </c>
      <c r="I91" s="66" t="s">
        <v>420</v>
      </c>
      <c r="J91" s="12"/>
      <c r="K91" s="12"/>
      <c r="L91" s="12"/>
      <c r="M91" s="12"/>
      <c r="N91" s="118"/>
      <c r="O91" s="118"/>
      <c r="P91" s="118"/>
    </row>
    <row r="92" spans="1:16" ht="63.75">
      <c r="A92" s="41">
        <v>141</v>
      </c>
      <c r="B92" s="66" t="s">
        <v>421</v>
      </c>
      <c r="C92" s="66" t="s">
        <v>422</v>
      </c>
      <c r="D92" s="66" t="s">
        <v>423</v>
      </c>
      <c r="E92" s="43"/>
      <c r="F92" s="131"/>
      <c r="G92" s="133"/>
      <c r="H92" s="56" t="s">
        <v>84</v>
      </c>
      <c r="I92" s="54" t="s">
        <v>424</v>
      </c>
      <c r="J92" s="12"/>
      <c r="K92" s="12"/>
      <c r="L92" s="12"/>
      <c r="M92" s="12"/>
      <c r="N92" s="118"/>
      <c r="O92" s="118"/>
      <c r="P92" s="118"/>
    </row>
    <row r="93" spans="1:16" ht="25.5">
      <c r="A93" s="41">
        <v>142</v>
      </c>
      <c r="B93" s="66" t="s">
        <v>426</v>
      </c>
      <c r="C93" s="66" t="s">
        <v>427</v>
      </c>
      <c r="D93" s="42" t="s">
        <v>428</v>
      </c>
      <c r="E93" s="43"/>
      <c r="F93" s="131"/>
      <c r="G93" s="133"/>
      <c r="H93" s="56" t="s">
        <v>43</v>
      </c>
      <c r="I93" s="66" t="s">
        <v>429</v>
      </c>
      <c r="J93" s="12"/>
      <c r="K93" s="12"/>
      <c r="L93" s="12"/>
      <c r="M93" s="12"/>
      <c r="N93" s="118"/>
      <c r="O93" s="118"/>
      <c r="P93" s="118"/>
    </row>
    <row r="94" spans="1:16" ht="38.25">
      <c r="A94" s="41">
        <v>143</v>
      </c>
      <c r="B94" s="66" t="s">
        <v>430</v>
      </c>
      <c r="C94" s="66" t="s">
        <v>431</v>
      </c>
      <c r="D94" s="66" t="s">
        <v>432</v>
      </c>
      <c r="E94" s="43"/>
      <c r="F94" s="131"/>
      <c r="G94" s="133"/>
      <c r="H94" s="69" t="s">
        <v>56</v>
      </c>
      <c r="I94" s="66" t="s">
        <v>433</v>
      </c>
      <c r="J94" s="12"/>
      <c r="K94" s="12"/>
      <c r="L94" s="12"/>
      <c r="M94" s="12"/>
      <c r="N94" s="118"/>
      <c r="O94" s="118"/>
      <c r="P94" s="118"/>
    </row>
    <row r="95" spans="1:16" ht="51">
      <c r="A95" s="41">
        <v>144</v>
      </c>
      <c r="B95" s="66" t="s">
        <v>434</v>
      </c>
      <c r="C95" s="66" t="s">
        <v>435</v>
      </c>
      <c r="D95" s="66" t="s">
        <v>436</v>
      </c>
      <c r="E95" s="43"/>
      <c r="F95" s="131"/>
      <c r="G95" s="133"/>
      <c r="H95" s="56" t="s">
        <v>437</v>
      </c>
      <c r="I95" s="66"/>
      <c r="J95" s="12"/>
      <c r="K95" s="12"/>
      <c r="L95" s="12"/>
      <c r="M95" s="12"/>
      <c r="N95" s="118"/>
      <c r="O95" s="118"/>
      <c r="P95" s="118"/>
    </row>
    <row r="96" spans="1:16" ht="51">
      <c r="A96" s="41">
        <v>145</v>
      </c>
      <c r="B96" s="66" t="s">
        <v>438</v>
      </c>
      <c r="C96" s="66" t="s">
        <v>439</v>
      </c>
      <c r="D96" s="66" t="s">
        <v>440</v>
      </c>
      <c r="E96" s="43" t="s">
        <v>74</v>
      </c>
      <c r="F96" s="64" t="s">
        <v>74</v>
      </c>
      <c r="G96" s="133"/>
      <c r="H96" s="69" t="s">
        <v>43</v>
      </c>
      <c r="I96" s="66" t="s">
        <v>441</v>
      </c>
      <c r="J96" s="12"/>
      <c r="K96" s="12"/>
      <c r="L96" s="12"/>
      <c r="M96" s="12"/>
      <c r="N96" s="118"/>
      <c r="O96" s="118"/>
      <c r="P96" s="118"/>
    </row>
    <row r="97" spans="1:16" ht="63.75">
      <c r="A97" s="41">
        <v>146</v>
      </c>
      <c r="B97" s="66" t="s">
        <v>443</v>
      </c>
      <c r="C97" s="66" t="s">
        <v>444</v>
      </c>
      <c r="D97" s="66" t="s">
        <v>445</v>
      </c>
      <c r="E97" s="43" t="s">
        <v>42</v>
      </c>
      <c r="F97" s="131" t="s">
        <v>42</v>
      </c>
      <c r="G97" s="133"/>
      <c r="H97" s="56" t="s">
        <v>43</v>
      </c>
      <c r="I97" s="54" t="s">
        <v>446</v>
      </c>
      <c r="J97" s="12"/>
      <c r="K97" s="12"/>
      <c r="L97" s="12"/>
      <c r="M97" s="12"/>
      <c r="N97" s="118"/>
      <c r="O97" s="118"/>
      <c r="P97" s="118"/>
    </row>
    <row r="98" spans="1:16" ht="25.5">
      <c r="A98" s="41">
        <v>147</v>
      </c>
      <c r="B98" s="66" t="s">
        <v>447</v>
      </c>
      <c r="C98" s="66" t="s">
        <v>448</v>
      </c>
      <c r="D98" s="42" t="s">
        <v>449</v>
      </c>
      <c r="E98" s="43" t="s">
        <v>42</v>
      </c>
      <c r="F98" s="131" t="s">
        <v>42</v>
      </c>
      <c r="G98" s="133"/>
      <c r="H98" s="56" t="s">
        <v>43</v>
      </c>
      <c r="I98" s="66" t="s">
        <v>446</v>
      </c>
      <c r="J98" s="12"/>
      <c r="K98" s="12"/>
      <c r="L98" s="12"/>
      <c r="M98" s="12"/>
      <c r="N98" s="118"/>
      <c r="O98" s="118"/>
      <c r="P98" s="118"/>
    </row>
    <row r="99" spans="1:16" ht="25.5">
      <c r="A99" s="41">
        <v>148</v>
      </c>
      <c r="B99" s="66" t="s">
        <v>450</v>
      </c>
      <c r="C99" s="66" t="s">
        <v>451</v>
      </c>
      <c r="D99" s="42" t="s">
        <v>452</v>
      </c>
      <c r="E99" s="43"/>
      <c r="F99" s="131"/>
      <c r="G99" s="133"/>
      <c r="H99" s="56" t="s">
        <v>43</v>
      </c>
      <c r="I99" s="66" t="s">
        <v>453</v>
      </c>
      <c r="J99" s="12"/>
      <c r="K99" s="12"/>
      <c r="L99" s="12"/>
      <c r="M99" s="12"/>
      <c r="N99" s="118"/>
      <c r="O99" s="118"/>
      <c r="P99" s="118"/>
    </row>
    <row r="100" spans="1:16" ht="89.25">
      <c r="A100" s="41">
        <v>149</v>
      </c>
      <c r="B100" s="66" t="s">
        <v>454</v>
      </c>
      <c r="C100" s="66" t="s">
        <v>455</v>
      </c>
      <c r="D100" s="66" t="s">
        <v>456</v>
      </c>
      <c r="E100" s="43"/>
      <c r="F100" s="131" t="s">
        <v>42</v>
      </c>
      <c r="G100" s="133"/>
      <c r="H100" s="56" t="s">
        <v>457</v>
      </c>
      <c r="I100" s="54" t="s">
        <v>458</v>
      </c>
      <c r="J100" s="12"/>
      <c r="K100" s="12"/>
      <c r="L100" s="12"/>
      <c r="M100" s="12"/>
      <c r="N100" s="118"/>
      <c r="O100" s="118"/>
      <c r="P100" s="118"/>
    </row>
    <row r="101" spans="1:16" ht="89.25">
      <c r="A101" s="41">
        <v>150</v>
      </c>
      <c r="B101" s="66" t="s">
        <v>459</v>
      </c>
      <c r="C101" s="66" t="s">
        <v>460</v>
      </c>
      <c r="D101" s="66" t="s">
        <v>461</v>
      </c>
      <c r="E101" s="43"/>
      <c r="F101" s="131" t="s">
        <v>42</v>
      </c>
      <c r="G101" s="133"/>
      <c r="H101" s="56" t="s">
        <v>457</v>
      </c>
      <c r="I101" s="66" t="s">
        <v>2000</v>
      </c>
      <c r="J101" s="12"/>
      <c r="K101" s="12"/>
      <c r="L101" s="12"/>
      <c r="M101" s="12"/>
      <c r="N101" s="118"/>
      <c r="O101" s="118"/>
      <c r="P101" s="118"/>
    </row>
    <row r="102" spans="1:16" ht="25.5">
      <c r="A102" s="41">
        <v>152</v>
      </c>
      <c r="B102" s="66" t="s">
        <v>463</v>
      </c>
      <c r="C102" s="66" t="s">
        <v>464</v>
      </c>
      <c r="D102" s="66" t="s">
        <v>465</v>
      </c>
      <c r="E102" s="43" t="s">
        <v>42</v>
      </c>
      <c r="F102" s="44" t="s">
        <v>42</v>
      </c>
      <c r="G102" s="133" t="s">
        <v>42</v>
      </c>
      <c r="H102" s="69" t="s">
        <v>43</v>
      </c>
      <c r="I102" s="66" t="s">
        <v>466</v>
      </c>
      <c r="J102" s="12"/>
      <c r="K102" s="12"/>
      <c r="L102" s="12"/>
      <c r="M102" s="12"/>
      <c r="N102" s="118"/>
      <c r="O102" s="118"/>
      <c r="P102" s="118"/>
    </row>
    <row r="103" spans="1:16" ht="51">
      <c r="A103" s="41">
        <v>154</v>
      </c>
      <c r="B103" s="66" t="s">
        <v>467</v>
      </c>
      <c r="C103" s="66" t="s">
        <v>468</v>
      </c>
      <c r="D103" s="66" t="s">
        <v>469</v>
      </c>
      <c r="E103" s="43"/>
      <c r="F103" s="131"/>
      <c r="G103" s="133"/>
      <c r="H103" s="69" t="s">
        <v>43</v>
      </c>
      <c r="I103" s="66" t="s">
        <v>470</v>
      </c>
      <c r="J103" s="12"/>
      <c r="K103" s="12"/>
      <c r="L103" s="12"/>
      <c r="M103" s="12"/>
      <c r="N103" s="118"/>
      <c r="O103" s="118"/>
      <c r="P103" s="118"/>
    </row>
    <row r="104" spans="1:16" ht="25.5">
      <c r="A104" s="41">
        <v>156</v>
      </c>
      <c r="B104" s="66" t="s">
        <v>471</v>
      </c>
      <c r="C104" s="66" t="s">
        <v>472</v>
      </c>
      <c r="D104" s="42" t="s">
        <v>473</v>
      </c>
      <c r="E104" s="43" t="s">
        <v>42</v>
      </c>
      <c r="F104" s="131" t="s">
        <v>42</v>
      </c>
      <c r="G104" s="133"/>
      <c r="H104" s="56" t="s">
        <v>207</v>
      </c>
      <c r="I104" s="66" t="s">
        <v>474</v>
      </c>
      <c r="J104" s="12"/>
      <c r="K104" s="12"/>
      <c r="L104" s="12"/>
      <c r="M104" s="12"/>
      <c r="N104" s="118"/>
      <c r="O104" s="118"/>
      <c r="P104" s="118"/>
    </row>
    <row r="105" spans="1:16" ht="25.5">
      <c r="A105" s="41">
        <v>158</v>
      </c>
      <c r="B105" s="66" t="s">
        <v>475</v>
      </c>
      <c r="C105" s="66" t="s">
        <v>476</v>
      </c>
      <c r="D105" s="42" t="s">
        <v>477</v>
      </c>
      <c r="E105" s="43"/>
      <c r="F105" s="131"/>
      <c r="G105" s="133"/>
      <c r="H105" s="56" t="s">
        <v>437</v>
      </c>
      <c r="I105" s="66" t="s">
        <v>478</v>
      </c>
      <c r="J105" s="12"/>
      <c r="K105" s="12"/>
      <c r="L105" s="12"/>
      <c r="M105" s="12"/>
      <c r="N105" s="118"/>
      <c r="O105" s="118"/>
      <c r="P105" s="118"/>
    </row>
    <row r="106" spans="1:16" ht="38.25">
      <c r="A106" s="41">
        <v>159</v>
      </c>
      <c r="B106" s="66" t="s">
        <v>479</v>
      </c>
      <c r="C106" s="66" t="s">
        <v>480</v>
      </c>
      <c r="D106" s="66" t="s">
        <v>481</v>
      </c>
      <c r="E106" s="43"/>
      <c r="F106" s="131" t="s">
        <v>74</v>
      </c>
      <c r="G106" s="133"/>
      <c r="H106" s="69" t="s">
        <v>43</v>
      </c>
      <c r="I106" s="66"/>
      <c r="J106" s="12"/>
      <c r="K106" s="12"/>
      <c r="L106" s="12"/>
      <c r="M106" s="12"/>
      <c r="N106" s="118"/>
      <c r="O106" s="118"/>
      <c r="P106" s="118"/>
    </row>
    <row r="107" spans="1:16" ht="76.5">
      <c r="A107" s="41">
        <v>164</v>
      </c>
      <c r="B107" s="66" t="s">
        <v>482</v>
      </c>
      <c r="C107" s="66" t="s">
        <v>483</v>
      </c>
      <c r="D107" s="66" t="s">
        <v>484</v>
      </c>
      <c r="E107" s="43"/>
      <c r="F107" s="131"/>
      <c r="G107" s="133" t="s">
        <v>42</v>
      </c>
      <c r="H107" s="69" t="s">
        <v>43</v>
      </c>
      <c r="I107" s="66" t="s">
        <v>485</v>
      </c>
      <c r="J107" s="12"/>
      <c r="K107" s="12"/>
      <c r="L107" s="12"/>
      <c r="M107" s="12"/>
      <c r="N107" s="118"/>
      <c r="O107" s="118"/>
      <c r="P107" s="118"/>
    </row>
    <row r="108" spans="1:16" ht="38.25">
      <c r="A108" s="41">
        <v>165</v>
      </c>
      <c r="B108" s="66" t="s">
        <v>486</v>
      </c>
      <c r="C108" s="66" t="s">
        <v>487</v>
      </c>
      <c r="D108" s="66" t="s">
        <v>488</v>
      </c>
      <c r="E108" s="43"/>
      <c r="F108" s="131"/>
      <c r="G108" s="133" t="s">
        <v>74</v>
      </c>
      <c r="H108" s="69" t="s">
        <v>43</v>
      </c>
      <c r="I108" s="66" t="s">
        <v>489</v>
      </c>
      <c r="J108" s="12"/>
      <c r="K108" s="12"/>
      <c r="L108" s="12"/>
      <c r="M108" s="12"/>
      <c r="N108" s="118"/>
      <c r="O108" s="118"/>
      <c r="P108" s="118"/>
    </row>
    <row r="109" spans="1:16" ht="89.25">
      <c r="A109" s="41">
        <v>166</v>
      </c>
      <c r="B109" s="66" t="s">
        <v>490</v>
      </c>
      <c r="C109" s="66" t="s">
        <v>491</v>
      </c>
      <c r="D109" s="42" t="s">
        <v>492</v>
      </c>
      <c r="E109" s="43" t="s">
        <v>42</v>
      </c>
      <c r="F109" s="131" t="s">
        <v>42</v>
      </c>
      <c r="G109" s="133"/>
      <c r="H109" s="56" t="s">
        <v>207</v>
      </c>
      <c r="I109" s="66" t="s">
        <v>2001</v>
      </c>
      <c r="J109" s="12"/>
      <c r="K109" s="12"/>
      <c r="L109" s="12"/>
      <c r="M109" s="12"/>
      <c r="N109" s="118"/>
      <c r="O109" s="118"/>
      <c r="P109" s="118"/>
    </row>
    <row r="110" spans="1:16" ht="38.25">
      <c r="A110" s="41">
        <v>167</v>
      </c>
      <c r="B110" s="66" t="s">
        <v>494</v>
      </c>
      <c r="C110" s="66" t="s">
        <v>495</v>
      </c>
      <c r="D110" s="42" t="s">
        <v>496</v>
      </c>
      <c r="E110" s="43"/>
      <c r="F110" s="131" t="s">
        <v>74</v>
      </c>
      <c r="G110" s="133"/>
      <c r="H110" s="56" t="s">
        <v>43</v>
      </c>
      <c r="I110" s="66" t="s">
        <v>497</v>
      </c>
      <c r="J110" s="12"/>
      <c r="K110" s="12"/>
      <c r="L110" s="12"/>
      <c r="M110" s="12"/>
      <c r="N110" s="118"/>
      <c r="O110" s="118"/>
      <c r="P110" s="118"/>
    </row>
    <row r="111" spans="1:16" ht="38.25">
      <c r="A111" s="41">
        <v>169</v>
      </c>
      <c r="B111" s="66" t="s">
        <v>498</v>
      </c>
      <c r="C111" s="66" t="s">
        <v>499</v>
      </c>
      <c r="D111" s="42" t="s">
        <v>500</v>
      </c>
      <c r="E111" s="43" t="s">
        <v>74</v>
      </c>
      <c r="F111" s="131" t="s">
        <v>74</v>
      </c>
      <c r="G111" s="133"/>
      <c r="H111" s="56" t="s">
        <v>43</v>
      </c>
      <c r="I111" s="66" t="s">
        <v>501</v>
      </c>
      <c r="J111" s="12"/>
      <c r="K111" s="12"/>
      <c r="L111" s="12"/>
      <c r="M111" s="12"/>
      <c r="N111" s="118"/>
      <c r="O111" s="118"/>
      <c r="P111" s="118"/>
    </row>
    <row r="112" spans="1:16" ht="25.5">
      <c r="A112" s="41">
        <v>173</v>
      </c>
      <c r="B112" s="66" t="s">
        <v>502</v>
      </c>
      <c r="C112" s="66" t="s">
        <v>503</v>
      </c>
      <c r="D112" s="66" t="s">
        <v>504</v>
      </c>
      <c r="E112" s="43" t="s">
        <v>74</v>
      </c>
      <c r="F112" s="64" t="s">
        <v>74</v>
      </c>
      <c r="G112" s="133"/>
      <c r="H112" s="56" t="s">
        <v>505</v>
      </c>
      <c r="I112" s="66" t="s">
        <v>506</v>
      </c>
      <c r="J112" s="12"/>
      <c r="K112" s="12"/>
      <c r="L112" s="12"/>
      <c r="M112" s="12"/>
      <c r="N112" s="118"/>
      <c r="O112" s="118"/>
      <c r="P112" s="118"/>
    </row>
    <row r="113" spans="1:16" ht="12.75">
      <c r="A113" s="41">
        <v>174</v>
      </c>
      <c r="B113" s="66" t="s">
        <v>507</v>
      </c>
      <c r="C113" s="66" t="s">
        <v>508</v>
      </c>
      <c r="D113" s="66" t="s">
        <v>509</v>
      </c>
      <c r="E113" s="43" t="s">
        <v>74</v>
      </c>
      <c r="F113" s="64" t="s">
        <v>74</v>
      </c>
      <c r="G113" s="133"/>
      <c r="H113" s="69" t="s">
        <v>43</v>
      </c>
      <c r="I113" s="66" t="s">
        <v>510</v>
      </c>
      <c r="J113" s="12"/>
      <c r="K113" s="12"/>
      <c r="L113" s="12"/>
      <c r="M113" s="12"/>
      <c r="N113" s="118"/>
      <c r="O113" s="118"/>
      <c r="P113" s="118"/>
    </row>
    <row r="114" spans="1:16" ht="25.5">
      <c r="A114" s="41">
        <v>175</v>
      </c>
      <c r="B114" s="66" t="s">
        <v>511</v>
      </c>
      <c r="C114" s="66" t="s">
        <v>512</v>
      </c>
      <c r="D114" s="66" t="s">
        <v>513</v>
      </c>
      <c r="E114" s="43" t="s">
        <v>74</v>
      </c>
      <c r="F114" s="131" t="s">
        <v>74</v>
      </c>
      <c r="G114" s="133"/>
      <c r="H114" s="69" t="s">
        <v>43</v>
      </c>
      <c r="I114" s="66" t="s">
        <v>514</v>
      </c>
      <c r="J114" s="12"/>
      <c r="K114" s="12"/>
      <c r="L114" s="12"/>
      <c r="M114" s="12"/>
      <c r="N114" s="118"/>
      <c r="O114" s="118"/>
      <c r="P114" s="118"/>
    </row>
    <row r="115" spans="1:16" ht="38.25">
      <c r="A115" s="41">
        <v>176</v>
      </c>
      <c r="B115" s="66" t="s">
        <v>515</v>
      </c>
      <c r="C115" s="66" t="s">
        <v>516</v>
      </c>
      <c r="D115" s="66" t="s">
        <v>517</v>
      </c>
      <c r="E115" s="43" t="s">
        <v>74</v>
      </c>
      <c r="F115" s="131"/>
      <c r="G115" s="133"/>
      <c r="H115" s="69" t="s">
        <v>84</v>
      </c>
      <c r="I115" s="66"/>
      <c r="J115" s="12"/>
      <c r="K115" s="12"/>
      <c r="L115" s="12"/>
      <c r="M115" s="12"/>
      <c r="N115" s="118"/>
      <c r="O115" s="118"/>
      <c r="P115" s="118"/>
    </row>
    <row r="116" spans="1:16" ht="38.25">
      <c r="A116" s="41">
        <v>178</v>
      </c>
      <c r="B116" s="66" t="s">
        <v>518</v>
      </c>
      <c r="C116" s="66" t="s">
        <v>519</v>
      </c>
      <c r="D116" s="42" t="s">
        <v>520</v>
      </c>
      <c r="E116" s="43"/>
      <c r="F116" s="131"/>
      <c r="G116" s="133"/>
      <c r="H116" s="56" t="s">
        <v>84</v>
      </c>
      <c r="I116" s="66"/>
      <c r="J116" s="12"/>
      <c r="K116" s="12"/>
      <c r="L116" s="12"/>
      <c r="M116" s="12"/>
      <c r="N116" s="118"/>
      <c r="O116" s="118"/>
      <c r="P116" s="118"/>
    </row>
    <row r="117" spans="1:16" ht="25.5">
      <c r="A117" s="41">
        <v>179</v>
      </c>
      <c r="B117" s="66" t="s">
        <v>521</v>
      </c>
      <c r="C117" s="66" t="s">
        <v>522</v>
      </c>
      <c r="D117" s="66" t="s">
        <v>523</v>
      </c>
      <c r="E117" s="43"/>
      <c r="F117" s="131"/>
      <c r="G117" s="133"/>
      <c r="H117" s="56" t="s">
        <v>84</v>
      </c>
      <c r="I117" s="66"/>
      <c r="J117" s="12"/>
      <c r="K117" s="12"/>
      <c r="L117" s="12"/>
      <c r="M117" s="12"/>
      <c r="N117" s="118"/>
      <c r="O117" s="118"/>
      <c r="P117" s="118"/>
    </row>
    <row r="118" spans="1:16" ht="38.25">
      <c r="A118" s="41">
        <v>180</v>
      </c>
      <c r="B118" s="66" t="s">
        <v>524</v>
      </c>
      <c r="C118" s="66" t="s">
        <v>525</v>
      </c>
      <c r="D118" s="42" t="s">
        <v>526</v>
      </c>
      <c r="E118" s="126"/>
      <c r="F118" s="131"/>
      <c r="G118" s="133"/>
      <c r="H118" s="56" t="s">
        <v>84</v>
      </c>
      <c r="I118" s="66"/>
      <c r="J118" s="12"/>
      <c r="K118" s="12"/>
      <c r="L118" s="12"/>
      <c r="M118" s="12"/>
      <c r="N118" s="118"/>
      <c r="O118" s="118"/>
      <c r="P118" s="118"/>
    </row>
    <row r="119" spans="1:16" ht="153">
      <c r="A119" s="41">
        <v>181</v>
      </c>
      <c r="B119" s="66" t="s">
        <v>527</v>
      </c>
      <c r="C119" s="66" t="s">
        <v>528</v>
      </c>
      <c r="D119" s="42" t="s">
        <v>529</v>
      </c>
      <c r="E119" s="43" t="s">
        <v>42</v>
      </c>
      <c r="F119" s="44" t="s">
        <v>42</v>
      </c>
      <c r="G119" s="133" t="s">
        <v>42</v>
      </c>
      <c r="H119" s="56" t="s">
        <v>43</v>
      </c>
      <c r="I119" s="54" t="s">
        <v>530</v>
      </c>
      <c r="J119" s="12"/>
      <c r="K119" s="12"/>
      <c r="L119" s="12"/>
      <c r="M119" s="12"/>
      <c r="N119" s="118"/>
      <c r="O119" s="118"/>
      <c r="P119" s="118"/>
    </row>
    <row r="120" spans="1:16" ht="229.5">
      <c r="A120" s="41">
        <v>182</v>
      </c>
      <c r="B120" s="66" t="s">
        <v>532</v>
      </c>
      <c r="C120" s="66" t="s">
        <v>533</v>
      </c>
      <c r="D120" s="66" t="s">
        <v>534</v>
      </c>
      <c r="E120" s="43" t="s">
        <v>42</v>
      </c>
      <c r="F120" s="44" t="s">
        <v>42</v>
      </c>
      <c r="G120" s="133" t="s">
        <v>42</v>
      </c>
      <c r="H120" s="56" t="s">
        <v>43</v>
      </c>
      <c r="I120" s="54" t="s">
        <v>535</v>
      </c>
      <c r="J120" s="12"/>
      <c r="K120" s="12"/>
      <c r="L120" s="12"/>
      <c r="M120" s="12"/>
      <c r="N120" s="118"/>
      <c r="O120" s="118"/>
      <c r="P120" s="118"/>
    </row>
    <row r="121" spans="1:16" ht="38.25">
      <c r="A121" s="41">
        <v>183</v>
      </c>
      <c r="B121" s="66" t="s">
        <v>537</v>
      </c>
      <c r="C121" s="66" t="s">
        <v>538</v>
      </c>
      <c r="D121" s="66" t="s">
        <v>539</v>
      </c>
      <c r="E121" s="43" t="s">
        <v>42</v>
      </c>
      <c r="F121" s="44" t="s">
        <v>42</v>
      </c>
      <c r="G121" s="133" t="s">
        <v>42</v>
      </c>
      <c r="H121" s="56" t="s">
        <v>43</v>
      </c>
      <c r="I121" s="54" t="s">
        <v>540</v>
      </c>
      <c r="J121" s="12"/>
      <c r="K121" s="12"/>
      <c r="L121" s="12"/>
      <c r="M121" s="12"/>
      <c r="N121" s="118"/>
      <c r="O121" s="118"/>
      <c r="P121" s="118"/>
    </row>
    <row r="122" spans="1:16" ht="76.5">
      <c r="A122" s="41">
        <v>184</v>
      </c>
      <c r="B122" s="66" t="s">
        <v>541</v>
      </c>
      <c r="C122" s="66" t="s">
        <v>542</v>
      </c>
      <c r="D122" s="66" t="s">
        <v>543</v>
      </c>
      <c r="E122" s="43"/>
      <c r="F122" s="44"/>
      <c r="G122" s="133"/>
      <c r="H122" s="56" t="s">
        <v>84</v>
      </c>
      <c r="I122" s="54" t="s">
        <v>544</v>
      </c>
      <c r="J122" s="12"/>
      <c r="K122" s="12"/>
      <c r="L122" s="12"/>
      <c r="M122" s="12"/>
      <c r="N122" s="118"/>
      <c r="O122" s="118"/>
      <c r="P122" s="118"/>
    </row>
    <row r="123" spans="1:16" ht="89.25">
      <c r="A123" s="41">
        <v>186</v>
      </c>
      <c r="B123" s="66" t="s">
        <v>545</v>
      </c>
      <c r="C123" s="66" t="s">
        <v>546</v>
      </c>
      <c r="D123" s="66" t="s">
        <v>547</v>
      </c>
      <c r="E123" s="43" t="s">
        <v>42</v>
      </c>
      <c r="F123" s="44" t="s">
        <v>42</v>
      </c>
      <c r="G123" s="133"/>
      <c r="H123" s="56" t="s">
        <v>86</v>
      </c>
      <c r="I123" s="54" t="s">
        <v>243</v>
      </c>
      <c r="J123" s="12"/>
      <c r="K123" s="12"/>
      <c r="L123" s="12"/>
      <c r="M123" s="12"/>
      <c r="N123" s="118"/>
      <c r="O123" s="118"/>
      <c r="P123" s="118"/>
    </row>
    <row r="124" spans="1:16" ht="38.25">
      <c r="A124" s="41">
        <v>187</v>
      </c>
      <c r="B124" s="66" t="s">
        <v>550</v>
      </c>
      <c r="C124" s="66" t="s">
        <v>551</v>
      </c>
      <c r="D124" s="42" t="s">
        <v>552</v>
      </c>
      <c r="E124" s="43" t="s">
        <v>74</v>
      </c>
      <c r="F124" s="131"/>
      <c r="G124" s="133"/>
      <c r="H124" s="56" t="s">
        <v>86</v>
      </c>
      <c r="I124" s="54" t="s">
        <v>243</v>
      </c>
      <c r="J124" s="12"/>
      <c r="K124" s="12"/>
      <c r="L124" s="12"/>
      <c r="M124" s="12"/>
      <c r="N124" s="118"/>
      <c r="O124" s="118"/>
      <c r="P124" s="118"/>
    </row>
    <row r="125" spans="1:16" ht="38.25">
      <c r="A125" s="41">
        <v>188</v>
      </c>
      <c r="B125" s="66" t="s">
        <v>553</v>
      </c>
      <c r="C125" s="66" t="s">
        <v>554</v>
      </c>
      <c r="D125" s="42" t="s">
        <v>555</v>
      </c>
      <c r="E125" s="126"/>
      <c r="F125" s="131"/>
      <c r="G125" s="133"/>
      <c r="H125" s="56" t="s">
        <v>86</v>
      </c>
      <c r="I125" s="54" t="s">
        <v>243</v>
      </c>
      <c r="J125" s="12"/>
      <c r="K125" s="12"/>
      <c r="L125" s="12"/>
      <c r="M125" s="12"/>
      <c r="N125" s="118"/>
      <c r="O125" s="118"/>
      <c r="P125" s="118"/>
    </row>
    <row r="126" spans="1:16" ht="38.25">
      <c r="A126" s="41">
        <v>191</v>
      </c>
      <c r="B126" s="66" t="s">
        <v>556</v>
      </c>
      <c r="C126" s="66" t="s">
        <v>557</v>
      </c>
      <c r="D126" s="66" t="s">
        <v>558</v>
      </c>
      <c r="E126" s="43" t="s">
        <v>42</v>
      </c>
      <c r="F126" s="131" t="s">
        <v>42</v>
      </c>
      <c r="G126" s="133"/>
      <c r="H126" s="56" t="s">
        <v>86</v>
      </c>
      <c r="I126" s="54" t="s">
        <v>243</v>
      </c>
      <c r="J126" s="12"/>
      <c r="K126" s="12"/>
      <c r="L126" s="12"/>
      <c r="M126" s="12"/>
      <c r="N126" s="118"/>
      <c r="O126" s="118"/>
      <c r="P126" s="118"/>
    </row>
    <row r="127" spans="1:16" ht="102">
      <c r="A127" s="41">
        <v>192</v>
      </c>
      <c r="B127" s="66" t="s">
        <v>559</v>
      </c>
      <c r="C127" s="66" t="s">
        <v>560</v>
      </c>
      <c r="D127" s="66" t="s">
        <v>561</v>
      </c>
      <c r="E127" s="43" t="s">
        <v>42</v>
      </c>
      <c r="F127" s="44" t="s">
        <v>42</v>
      </c>
      <c r="G127" s="133" t="s">
        <v>42</v>
      </c>
      <c r="H127" s="56" t="s">
        <v>43</v>
      </c>
      <c r="I127" s="54" t="s">
        <v>562</v>
      </c>
      <c r="J127" s="12"/>
      <c r="K127" s="12"/>
      <c r="L127" s="12"/>
      <c r="M127" s="12"/>
      <c r="N127" s="118"/>
      <c r="O127" s="118"/>
      <c r="P127" s="118"/>
    </row>
    <row r="128" spans="1:16" ht="140.25">
      <c r="A128" s="41">
        <v>194</v>
      </c>
      <c r="B128" s="66" t="s">
        <v>564</v>
      </c>
      <c r="C128" s="66" t="s">
        <v>565</v>
      </c>
      <c r="D128" s="66" t="s">
        <v>566</v>
      </c>
      <c r="E128" s="43" t="s">
        <v>42</v>
      </c>
      <c r="F128" s="44" t="s">
        <v>42</v>
      </c>
      <c r="G128" s="133" t="s">
        <v>42</v>
      </c>
      <c r="H128" s="56" t="s">
        <v>43</v>
      </c>
      <c r="I128" s="54" t="s">
        <v>567</v>
      </c>
      <c r="J128" s="12"/>
      <c r="K128" s="12"/>
      <c r="L128" s="12"/>
      <c r="M128" s="12"/>
      <c r="N128" s="118"/>
      <c r="O128" s="118"/>
      <c r="P128" s="118"/>
    </row>
    <row r="129" spans="1:16" ht="242.25">
      <c r="A129" s="41">
        <v>195</v>
      </c>
      <c r="B129" s="66" t="s">
        <v>569</v>
      </c>
      <c r="C129" s="66" t="s">
        <v>570</v>
      </c>
      <c r="D129" s="42" t="s">
        <v>571</v>
      </c>
      <c r="E129" s="43" t="s">
        <v>42</v>
      </c>
      <c r="F129" s="44" t="s">
        <v>42</v>
      </c>
      <c r="G129" s="133" t="s">
        <v>42</v>
      </c>
      <c r="H129" s="56" t="s">
        <v>43</v>
      </c>
      <c r="I129" s="54" t="s">
        <v>572</v>
      </c>
      <c r="J129" s="12"/>
      <c r="K129" s="12"/>
      <c r="L129" s="12"/>
      <c r="M129" s="12"/>
      <c r="N129" s="118"/>
      <c r="O129" s="118"/>
      <c r="P129" s="118"/>
    </row>
    <row r="130" spans="1:16" ht="38.25">
      <c r="A130" s="41">
        <v>196</v>
      </c>
      <c r="B130" s="66" t="s">
        <v>574</v>
      </c>
      <c r="C130" s="66" t="s">
        <v>575</v>
      </c>
      <c r="D130" s="42" t="s">
        <v>576</v>
      </c>
      <c r="E130" s="43" t="s">
        <v>42</v>
      </c>
      <c r="F130" s="44" t="s">
        <v>42</v>
      </c>
      <c r="G130" s="133" t="s">
        <v>42</v>
      </c>
      <c r="H130" s="56" t="s">
        <v>43</v>
      </c>
      <c r="I130" s="54" t="s">
        <v>577</v>
      </c>
      <c r="J130" s="12"/>
      <c r="K130" s="12"/>
      <c r="L130" s="12"/>
      <c r="M130" s="12"/>
      <c r="N130" s="118"/>
      <c r="O130" s="118"/>
      <c r="P130" s="118"/>
    </row>
    <row r="131" spans="1:16" ht="63.75">
      <c r="A131" s="41">
        <v>201</v>
      </c>
      <c r="B131" s="66" t="s">
        <v>578</v>
      </c>
      <c r="C131" s="66" t="s">
        <v>579</v>
      </c>
      <c r="D131" s="42" t="s">
        <v>580</v>
      </c>
      <c r="E131" s="43" t="s">
        <v>42</v>
      </c>
      <c r="F131" s="44" t="s">
        <v>42</v>
      </c>
      <c r="G131" s="133"/>
      <c r="H131" s="56" t="s">
        <v>43</v>
      </c>
      <c r="I131" s="54"/>
      <c r="J131" s="12"/>
      <c r="K131" s="12"/>
      <c r="L131" s="12"/>
      <c r="M131" s="12"/>
      <c r="N131" s="118"/>
      <c r="O131" s="118"/>
      <c r="P131" s="118"/>
    </row>
    <row r="132" spans="1:16" ht="140.25">
      <c r="A132" s="41">
        <v>203</v>
      </c>
      <c r="B132" s="66" t="s">
        <v>581</v>
      </c>
      <c r="C132" s="66" t="s">
        <v>582</v>
      </c>
      <c r="D132" s="42" t="s">
        <v>583</v>
      </c>
      <c r="E132" s="43" t="s">
        <v>42</v>
      </c>
      <c r="F132" s="44" t="s">
        <v>42</v>
      </c>
      <c r="G132" s="133"/>
      <c r="H132" s="56" t="s">
        <v>43</v>
      </c>
      <c r="I132" s="66" t="s">
        <v>584</v>
      </c>
      <c r="J132" s="12"/>
      <c r="K132" s="12"/>
      <c r="L132" s="12"/>
      <c r="M132" s="12"/>
      <c r="N132" s="118"/>
      <c r="O132" s="118"/>
      <c r="P132" s="118"/>
    </row>
    <row r="133" spans="1:16" ht="25.5">
      <c r="A133" s="41">
        <v>204</v>
      </c>
      <c r="B133" s="66" t="s">
        <v>586</v>
      </c>
      <c r="C133" s="66" t="s">
        <v>587</v>
      </c>
      <c r="D133" s="66" t="s">
        <v>588</v>
      </c>
      <c r="E133" s="43"/>
      <c r="F133" s="131" t="s">
        <v>42</v>
      </c>
      <c r="G133" s="133"/>
      <c r="H133" s="69" t="s">
        <v>43</v>
      </c>
      <c r="I133" s="66"/>
      <c r="J133" s="12"/>
      <c r="K133" s="12"/>
      <c r="L133" s="12"/>
      <c r="M133" s="12"/>
      <c r="N133" s="118"/>
      <c r="O133" s="118"/>
      <c r="P133" s="118"/>
    </row>
    <row r="134" spans="1:16" ht="89.25">
      <c r="A134" s="41">
        <v>205</v>
      </c>
      <c r="B134" s="66" t="s">
        <v>589</v>
      </c>
      <c r="C134" s="66" t="s">
        <v>369</v>
      </c>
      <c r="D134" s="66" t="s">
        <v>590</v>
      </c>
      <c r="E134" s="43"/>
      <c r="F134" s="131" t="s">
        <v>42</v>
      </c>
      <c r="G134" s="133"/>
      <c r="H134" s="56" t="s">
        <v>43</v>
      </c>
      <c r="I134" s="66" t="s">
        <v>591</v>
      </c>
      <c r="J134" s="12"/>
      <c r="K134" s="12"/>
      <c r="L134" s="12"/>
      <c r="M134" s="12"/>
      <c r="N134" s="118"/>
      <c r="O134" s="118"/>
      <c r="P134" s="118"/>
    </row>
    <row r="135" spans="1:16" ht="38.25">
      <c r="A135" s="41">
        <v>207</v>
      </c>
      <c r="B135" s="66" t="s">
        <v>592</v>
      </c>
      <c r="C135" s="66" t="s">
        <v>593</v>
      </c>
      <c r="D135" s="66" t="s">
        <v>594</v>
      </c>
      <c r="E135" s="43"/>
      <c r="F135" s="131" t="s">
        <v>42</v>
      </c>
      <c r="G135" s="133"/>
      <c r="H135" s="69" t="s">
        <v>43</v>
      </c>
      <c r="I135" s="66" t="s">
        <v>595</v>
      </c>
      <c r="J135" s="12"/>
      <c r="K135" s="12"/>
      <c r="L135" s="12"/>
      <c r="M135" s="12"/>
      <c r="N135" s="118"/>
      <c r="O135" s="118"/>
      <c r="P135" s="118"/>
    </row>
    <row r="136" spans="1:16" ht="89.25">
      <c r="A136" s="41">
        <v>209</v>
      </c>
      <c r="B136" s="66" t="s">
        <v>596</v>
      </c>
      <c r="C136" s="66" t="s">
        <v>597</v>
      </c>
      <c r="D136" s="66" t="s">
        <v>598</v>
      </c>
      <c r="E136" s="43"/>
      <c r="F136" s="131" t="s">
        <v>42</v>
      </c>
      <c r="G136" s="133"/>
      <c r="H136" s="56" t="s">
        <v>84</v>
      </c>
      <c r="I136" s="66" t="s">
        <v>599</v>
      </c>
      <c r="J136" s="12"/>
      <c r="K136" s="12"/>
      <c r="L136" s="12"/>
      <c r="M136" s="12"/>
      <c r="N136" s="118"/>
      <c r="O136" s="118"/>
      <c r="P136" s="118"/>
    </row>
    <row r="137" spans="1:16" ht="216.75">
      <c r="A137" s="41">
        <v>210</v>
      </c>
      <c r="B137" s="66" t="s">
        <v>601</v>
      </c>
      <c r="C137" s="66" t="s">
        <v>602</v>
      </c>
      <c r="D137" s="42" t="s">
        <v>603</v>
      </c>
      <c r="E137" s="43"/>
      <c r="F137" s="131" t="s">
        <v>42</v>
      </c>
      <c r="G137" s="133"/>
      <c r="H137" s="56" t="s">
        <v>43</v>
      </c>
      <c r="I137" s="66" t="s">
        <v>604</v>
      </c>
      <c r="J137" s="12"/>
      <c r="K137" s="12"/>
      <c r="L137" s="12"/>
      <c r="M137" s="12"/>
      <c r="N137" s="118"/>
      <c r="O137" s="118"/>
      <c r="P137" s="118"/>
    </row>
    <row r="138" spans="1:16" ht="51">
      <c r="A138" s="41">
        <v>212</v>
      </c>
      <c r="B138" s="66" t="s">
        <v>605</v>
      </c>
      <c r="C138" s="66" t="s">
        <v>606</v>
      </c>
      <c r="D138" s="66" t="s">
        <v>607</v>
      </c>
      <c r="E138" s="43"/>
      <c r="F138" s="131" t="s">
        <v>42</v>
      </c>
      <c r="G138" s="133"/>
      <c r="H138" s="69" t="s">
        <v>43</v>
      </c>
      <c r="I138" s="66" t="s">
        <v>608</v>
      </c>
      <c r="J138" s="12"/>
      <c r="K138" s="12"/>
      <c r="L138" s="12"/>
      <c r="M138" s="12"/>
      <c r="N138" s="118"/>
      <c r="O138" s="118"/>
      <c r="P138" s="118"/>
    </row>
    <row r="139" spans="1:16" ht="25.5">
      <c r="A139" s="41">
        <v>214</v>
      </c>
      <c r="B139" s="66" t="s">
        <v>609</v>
      </c>
      <c r="C139" s="66" t="s">
        <v>610</v>
      </c>
      <c r="D139" s="66" t="s">
        <v>611</v>
      </c>
      <c r="E139" s="43"/>
      <c r="F139" s="131" t="s">
        <v>74</v>
      </c>
      <c r="G139" s="133"/>
      <c r="H139" s="69" t="s">
        <v>43</v>
      </c>
      <c r="I139" s="66" t="s">
        <v>612</v>
      </c>
      <c r="J139" s="12"/>
      <c r="K139" s="12"/>
      <c r="L139" s="12"/>
      <c r="M139" s="12"/>
      <c r="N139" s="118"/>
      <c r="O139" s="118"/>
      <c r="P139" s="118"/>
    </row>
    <row r="140" spans="1:16" ht="38.25">
      <c r="A140" s="41">
        <v>216</v>
      </c>
      <c r="B140" s="66" t="s">
        <v>613</v>
      </c>
      <c r="C140" s="66" t="s">
        <v>614</v>
      </c>
      <c r="D140" s="66" t="s">
        <v>615</v>
      </c>
      <c r="E140" s="43"/>
      <c r="F140" s="131" t="s">
        <v>74</v>
      </c>
      <c r="G140" s="133"/>
      <c r="H140" s="69" t="s">
        <v>86</v>
      </c>
      <c r="I140" s="66" t="s">
        <v>616</v>
      </c>
      <c r="J140" s="12"/>
      <c r="K140" s="12"/>
      <c r="L140" s="12"/>
      <c r="M140" s="12"/>
      <c r="N140" s="118"/>
      <c r="O140" s="118"/>
      <c r="P140" s="118"/>
    </row>
    <row r="141" spans="1:16" ht="51">
      <c r="A141" s="41">
        <v>217</v>
      </c>
      <c r="B141" s="66" t="s">
        <v>617</v>
      </c>
      <c r="C141" s="66" t="s">
        <v>618</v>
      </c>
      <c r="D141" s="66" t="s">
        <v>619</v>
      </c>
      <c r="E141" s="43"/>
      <c r="F141" s="131" t="s">
        <v>42</v>
      </c>
      <c r="G141" s="133"/>
      <c r="H141" s="69" t="s">
        <v>43</v>
      </c>
      <c r="I141" s="66" t="s">
        <v>620</v>
      </c>
      <c r="J141" s="12"/>
      <c r="K141" s="12"/>
      <c r="L141" s="12"/>
      <c r="M141" s="12"/>
      <c r="N141" s="118"/>
      <c r="O141" s="118"/>
      <c r="P141" s="118"/>
    </row>
    <row r="142" spans="1:16" ht="51">
      <c r="A142" s="41">
        <v>218</v>
      </c>
      <c r="B142" s="66" t="s">
        <v>621</v>
      </c>
      <c r="C142" s="66" t="s">
        <v>622</v>
      </c>
      <c r="D142" s="66" t="s">
        <v>623</v>
      </c>
      <c r="E142" s="43"/>
      <c r="F142" s="131" t="s">
        <v>74</v>
      </c>
      <c r="G142" s="133"/>
      <c r="H142" s="69" t="s">
        <v>43</v>
      </c>
      <c r="I142" s="66" t="s">
        <v>624</v>
      </c>
      <c r="J142" s="12"/>
      <c r="K142" s="12"/>
      <c r="L142" s="12"/>
      <c r="M142" s="12"/>
      <c r="N142" s="118"/>
      <c r="O142" s="118"/>
      <c r="P142" s="118"/>
    </row>
    <row r="143" spans="1:16" ht="38.25">
      <c r="A143" s="41">
        <v>220</v>
      </c>
      <c r="B143" s="66" t="s">
        <v>625</v>
      </c>
      <c r="C143" s="66" t="s">
        <v>626</v>
      </c>
      <c r="D143" s="66" t="s">
        <v>627</v>
      </c>
      <c r="E143" s="43"/>
      <c r="F143" s="131" t="s">
        <v>42</v>
      </c>
      <c r="G143" s="133"/>
      <c r="H143" s="69" t="s">
        <v>43</v>
      </c>
      <c r="I143" s="66"/>
      <c r="J143" s="12"/>
      <c r="K143" s="12"/>
      <c r="L143" s="12"/>
      <c r="M143" s="12"/>
      <c r="N143" s="118"/>
      <c r="O143" s="118"/>
      <c r="P143" s="118"/>
    </row>
    <row r="144" spans="1:16" ht="51">
      <c r="A144" s="41">
        <v>221</v>
      </c>
      <c r="B144" s="66" t="s">
        <v>629</v>
      </c>
      <c r="C144" s="66" t="s">
        <v>630</v>
      </c>
      <c r="D144" s="66" t="s">
        <v>631</v>
      </c>
      <c r="E144" s="43"/>
      <c r="F144" s="131" t="s">
        <v>74</v>
      </c>
      <c r="G144" s="133"/>
      <c r="H144" s="69" t="s">
        <v>43</v>
      </c>
      <c r="I144" s="55" t="s">
        <v>632</v>
      </c>
      <c r="J144" s="12"/>
      <c r="K144" s="12"/>
      <c r="L144" s="12"/>
      <c r="M144" s="12"/>
      <c r="N144" s="118"/>
      <c r="O144" s="118"/>
      <c r="P144" s="118"/>
    </row>
    <row r="145" spans="1:16" ht="76.5">
      <c r="A145" s="41">
        <v>222</v>
      </c>
      <c r="B145" s="66" t="s">
        <v>633</v>
      </c>
      <c r="C145" s="66" t="s">
        <v>634</v>
      </c>
      <c r="D145" s="66" t="s">
        <v>635</v>
      </c>
      <c r="E145" s="43"/>
      <c r="F145" s="131" t="s">
        <v>74</v>
      </c>
      <c r="G145" s="133"/>
      <c r="H145" s="69" t="s">
        <v>43</v>
      </c>
      <c r="I145" s="66" t="s">
        <v>636</v>
      </c>
      <c r="J145" s="12"/>
      <c r="K145" s="12"/>
      <c r="L145" s="12"/>
      <c r="M145" s="12"/>
      <c r="N145" s="118"/>
      <c r="O145" s="118"/>
      <c r="P145" s="118"/>
    </row>
    <row r="146" spans="1:16" ht="63.75">
      <c r="A146" s="41">
        <v>225</v>
      </c>
      <c r="B146" s="66" t="s">
        <v>637</v>
      </c>
      <c r="C146" s="66" t="s">
        <v>638</v>
      </c>
      <c r="D146" s="66" t="s">
        <v>639</v>
      </c>
      <c r="E146" s="43"/>
      <c r="F146" s="131" t="s">
        <v>74</v>
      </c>
      <c r="G146" s="133"/>
      <c r="H146" s="56" t="s">
        <v>43</v>
      </c>
      <c r="I146" s="66" t="s">
        <v>640</v>
      </c>
      <c r="J146" s="12"/>
      <c r="K146" s="12"/>
      <c r="L146" s="12"/>
      <c r="M146" s="12"/>
      <c r="N146" s="118"/>
      <c r="O146" s="118"/>
      <c r="P146" s="118"/>
    </row>
    <row r="147" spans="1:16" ht="25.5">
      <c r="A147" s="41">
        <v>226</v>
      </c>
      <c r="B147" s="66" t="s">
        <v>641</v>
      </c>
      <c r="C147" s="66" t="s">
        <v>642</v>
      </c>
      <c r="D147" s="66" t="s">
        <v>643</v>
      </c>
      <c r="E147" s="43"/>
      <c r="F147" s="131" t="s">
        <v>74</v>
      </c>
      <c r="G147" s="133"/>
      <c r="H147" s="56" t="s">
        <v>43</v>
      </c>
      <c r="I147" s="66"/>
      <c r="J147" s="12"/>
      <c r="K147" s="12"/>
      <c r="L147" s="12"/>
      <c r="M147" s="12"/>
      <c r="N147" s="118"/>
      <c r="O147" s="118"/>
      <c r="P147" s="118"/>
    </row>
    <row r="148" spans="1:16" ht="204">
      <c r="A148" s="41">
        <v>227</v>
      </c>
      <c r="B148" s="66" t="s">
        <v>644</v>
      </c>
      <c r="C148" s="66" t="s">
        <v>645</v>
      </c>
      <c r="D148" s="42" t="s">
        <v>646</v>
      </c>
      <c r="E148" s="43"/>
      <c r="F148" s="131" t="s">
        <v>42</v>
      </c>
      <c r="G148" s="133"/>
      <c r="H148" s="56" t="s">
        <v>43</v>
      </c>
      <c r="I148" s="66"/>
      <c r="J148" s="12"/>
      <c r="K148" s="12"/>
      <c r="L148" s="12"/>
      <c r="M148" s="12"/>
      <c r="N148" s="118"/>
      <c r="O148" s="118"/>
      <c r="P148" s="118"/>
    </row>
    <row r="149" spans="1:16" ht="51">
      <c r="A149" s="41">
        <v>228</v>
      </c>
      <c r="B149" s="66" t="s">
        <v>647</v>
      </c>
      <c r="C149" s="66" t="s">
        <v>648</v>
      </c>
      <c r="D149" s="42" t="s">
        <v>649</v>
      </c>
      <c r="E149" s="43"/>
      <c r="F149" s="131" t="s">
        <v>74</v>
      </c>
      <c r="G149" s="133"/>
      <c r="H149" s="56" t="s">
        <v>207</v>
      </c>
      <c r="I149" s="66"/>
      <c r="J149" s="12"/>
      <c r="K149" s="12"/>
      <c r="L149" s="12"/>
      <c r="M149" s="12"/>
      <c r="N149" s="118"/>
      <c r="O149" s="118"/>
      <c r="P149" s="118"/>
    </row>
    <row r="150" spans="1:16" ht="127.5">
      <c r="A150" s="41">
        <v>230</v>
      </c>
      <c r="B150" s="66" t="s">
        <v>650</v>
      </c>
      <c r="C150" s="66" t="s">
        <v>651</v>
      </c>
      <c r="D150" s="42" t="s">
        <v>652</v>
      </c>
      <c r="E150" s="43" t="s">
        <v>42</v>
      </c>
      <c r="F150" s="44" t="s">
        <v>42</v>
      </c>
      <c r="G150" s="133"/>
      <c r="H150" s="56" t="s">
        <v>43</v>
      </c>
      <c r="I150" s="66"/>
      <c r="J150" s="12"/>
      <c r="K150" s="12"/>
      <c r="L150" s="12"/>
      <c r="M150" s="12"/>
      <c r="N150" s="118"/>
      <c r="O150" s="118"/>
      <c r="P150" s="118"/>
    </row>
    <row r="151" spans="1:16" ht="76.5">
      <c r="A151" s="41">
        <v>231</v>
      </c>
      <c r="B151" s="66" t="s">
        <v>653</v>
      </c>
      <c r="C151" s="66" t="s">
        <v>654</v>
      </c>
      <c r="D151" s="66" t="s">
        <v>655</v>
      </c>
      <c r="E151" s="43" t="s">
        <v>42</v>
      </c>
      <c r="F151" s="44" t="s">
        <v>42</v>
      </c>
      <c r="G151" s="133"/>
      <c r="H151" s="56" t="s">
        <v>43</v>
      </c>
      <c r="I151" s="66"/>
      <c r="J151" s="12"/>
      <c r="K151" s="12"/>
      <c r="L151" s="12"/>
      <c r="M151" s="12"/>
      <c r="N151" s="118"/>
      <c r="O151" s="118"/>
      <c r="P151" s="118"/>
    </row>
    <row r="152" spans="1:16" ht="63.75">
      <c r="A152" s="41">
        <v>232</v>
      </c>
      <c r="B152" s="66" t="s">
        <v>656</v>
      </c>
      <c r="C152" s="66" t="s">
        <v>657</v>
      </c>
      <c r="D152" s="42" t="s">
        <v>658</v>
      </c>
      <c r="E152" s="43" t="s">
        <v>42</v>
      </c>
      <c r="F152" s="44" t="s">
        <v>42</v>
      </c>
      <c r="G152" s="133"/>
      <c r="H152" s="56"/>
      <c r="I152" s="66"/>
      <c r="J152" s="12"/>
      <c r="K152" s="12"/>
      <c r="L152" s="12"/>
      <c r="M152" s="12"/>
      <c r="N152" s="118"/>
      <c r="O152" s="118"/>
      <c r="P152" s="118"/>
    </row>
    <row r="153" spans="1:16" ht="25.5">
      <c r="A153" s="41">
        <v>233</v>
      </c>
      <c r="B153" s="66" t="s">
        <v>659</v>
      </c>
      <c r="C153" s="66" t="s">
        <v>660</v>
      </c>
      <c r="D153" s="42" t="s">
        <v>661</v>
      </c>
      <c r="E153" s="43" t="s">
        <v>74</v>
      </c>
      <c r="F153" s="44" t="s">
        <v>74</v>
      </c>
      <c r="G153" s="133"/>
      <c r="H153" s="56" t="s">
        <v>43</v>
      </c>
      <c r="I153" s="66" t="s">
        <v>662</v>
      </c>
      <c r="J153" s="12"/>
      <c r="K153" s="12"/>
      <c r="L153" s="12"/>
      <c r="M153" s="12"/>
      <c r="N153" s="118"/>
      <c r="O153" s="118"/>
      <c r="P153" s="118"/>
    </row>
    <row r="154" spans="1:16" ht="102">
      <c r="A154" s="41">
        <v>235</v>
      </c>
      <c r="B154" s="66" t="s">
        <v>663</v>
      </c>
      <c r="C154" s="66" t="s">
        <v>664</v>
      </c>
      <c r="D154" s="42" t="s">
        <v>665</v>
      </c>
      <c r="E154" s="43" t="s">
        <v>74</v>
      </c>
      <c r="F154" s="44" t="s">
        <v>74</v>
      </c>
      <c r="G154" s="133"/>
      <c r="H154" s="56"/>
      <c r="I154" s="66" t="s">
        <v>666</v>
      </c>
      <c r="J154" s="12"/>
      <c r="K154" s="12"/>
      <c r="L154" s="12"/>
      <c r="M154" s="12"/>
      <c r="N154" s="118"/>
      <c r="O154" s="118"/>
      <c r="P154" s="118"/>
    </row>
    <row r="155" spans="1:16" ht="178.5">
      <c r="A155" s="41">
        <v>236</v>
      </c>
      <c r="B155" s="66" t="s">
        <v>667</v>
      </c>
      <c r="C155" s="66" t="s">
        <v>668</v>
      </c>
      <c r="D155" s="66" t="s">
        <v>669</v>
      </c>
      <c r="E155" s="43"/>
      <c r="F155" s="131" t="s">
        <v>42</v>
      </c>
      <c r="G155" s="133"/>
      <c r="H155" s="56" t="s">
        <v>43</v>
      </c>
      <c r="I155" s="54" t="s">
        <v>670</v>
      </c>
      <c r="J155" s="12"/>
      <c r="K155" s="12"/>
      <c r="L155" s="12"/>
      <c r="M155" s="12"/>
      <c r="N155" s="118"/>
      <c r="O155" s="118"/>
      <c r="P155" s="118"/>
    </row>
    <row r="156" spans="1:16" ht="38.25">
      <c r="A156" s="41">
        <v>237</v>
      </c>
      <c r="B156" s="66" t="s">
        <v>672</v>
      </c>
      <c r="C156" s="66" t="s">
        <v>673</v>
      </c>
      <c r="D156" s="66" t="s">
        <v>674</v>
      </c>
      <c r="E156" s="43"/>
      <c r="F156" s="131" t="s">
        <v>42</v>
      </c>
      <c r="G156" s="133"/>
      <c r="H156" s="69" t="s">
        <v>43</v>
      </c>
      <c r="I156" s="66" t="s">
        <v>675</v>
      </c>
      <c r="J156" s="12"/>
      <c r="K156" s="12"/>
      <c r="L156" s="12"/>
      <c r="M156" s="12"/>
      <c r="N156" s="118"/>
      <c r="O156" s="118"/>
      <c r="P156" s="118"/>
    </row>
    <row r="157" spans="1:16" ht="38.25">
      <c r="A157" s="41">
        <v>238</v>
      </c>
      <c r="B157" s="66" t="s">
        <v>676</v>
      </c>
      <c r="C157" s="66" t="s">
        <v>677</v>
      </c>
      <c r="D157" s="66" t="s">
        <v>678</v>
      </c>
      <c r="E157" s="43"/>
      <c r="F157" s="131" t="s">
        <v>74</v>
      </c>
      <c r="G157" s="133"/>
      <c r="H157" s="69" t="s">
        <v>43</v>
      </c>
      <c r="I157" s="66"/>
      <c r="J157" s="12"/>
      <c r="K157" s="12"/>
      <c r="L157" s="12"/>
      <c r="M157" s="12"/>
      <c r="N157" s="118"/>
      <c r="O157" s="118"/>
      <c r="P157" s="118"/>
    </row>
    <row r="158" spans="1:16" ht="102">
      <c r="A158" s="41">
        <v>239</v>
      </c>
      <c r="B158" s="66" t="s">
        <v>679</v>
      </c>
      <c r="C158" s="66" t="s">
        <v>680</v>
      </c>
      <c r="D158" s="42" t="s">
        <v>681</v>
      </c>
      <c r="E158" s="43"/>
      <c r="F158" s="131" t="s">
        <v>42</v>
      </c>
      <c r="G158" s="133"/>
      <c r="H158" s="56" t="s">
        <v>43</v>
      </c>
      <c r="I158" s="66" t="s">
        <v>682</v>
      </c>
      <c r="J158" s="12"/>
      <c r="K158" s="12"/>
      <c r="L158" s="12"/>
      <c r="M158" s="12"/>
      <c r="N158" s="118"/>
      <c r="O158" s="118"/>
      <c r="P158" s="118"/>
    </row>
    <row r="159" spans="1:16" ht="38.25">
      <c r="A159" s="41">
        <v>241</v>
      </c>
      <c r="B159" s="66" t="s">
        <v>683</v>
      </c>
      <c r="C159" s="66" t="s">
        <v>684</v>
      </c>
      <c r="D159" s="66" t="s">
        <v>685</v>
      </c>
      <c r="E159" s="43"/>
      <c r="F159" s="131" t="s">
        <v>42</v>
      </c>
      <c r="G159" s="133"/>
      <c r="H159" s="69" t="s">
        <v>43</v>
      </c>
      <c r="I159" s="66"/>
      <c r="J159" s="12"/>
      <c r="K159" s="12"/>
      <c r="L159" s="12"/>
      <c r="M159" s="12"/>
      <c r="N159" s="118"/>
      <c r="O159" s="118"/>
      <c r="P159" s="118"/>
    </row>
    <row r="160" spans="1:16" ht="178.5">
      <c r="A160" s="41">
        <v>246</v>
      </c>
      <c r="B160" s="66" t="s">
        <v>686</v>
      </c>
      <c r="C160" s="66" t="s">
        <v>687</v>
      </c>
      <c r="D160" s="66" t="s">
        <v>688</v>
      </c>
      <c r="E160" s="43"/>
      <c r="F160" s="131" t="s">
        <v>42</v>
      </c>
      <c r="G160" s="133"/>
      <c r="H160" s="56" t="s">
        <v>43</v>
      </c>
      <c r="I160" s="66" t="s">
        <v>689</v>
      </c>
      <c r="J160" s="12"/>
      <c r="K160" s="12"/>
      <c r="L160" s="12"/>
      <c r="M160" s="12"/>
      <c r="N160" s="118"/>
      <c r="O160" s="118"/>
      <c r="P160" s="118"/>
    </row>
    <row r="161" spans="1:16" ht="140.25">
      <c r="A161" s="41">
        <v>248</v>
      </c>
      <c r="B161" s="66" t="s">
        <v>691</v>
      </c>
      <c r="C161" s="66" t="s">
        <v>692</v>
      </c>
      <c r="D161" s="66" t="s">
        <v>693</v>
      </c>
      <c r="E161" s="43"/>
      <c r="F161" s="131" t="s">
        <v>42</v>
      </c>
      <c r="G161" s="133"/>
      <c r="H161" s="56" t="s">
        <v>43</v>
      </c>
      <c r="I161" s="66" t="s">
        <v>694</v>
      </c>
      <c r="J161" s="12"/>
      <c r="K161" s="12"/>
      <c r="L161" s="12"/>
      <c r="M161" s="12"/>
      <c r="N161" s="118"/>
      <c r="O161" s="118"/>
      <c r="P161" s="118"/>
    </row>
    <row r="162" spans="1:16" ht="38.25">
      <c r="A162" s="41">
        <v>249</v>
      </c>
      <c r="B162" s="66" t="s">
        <v>695</v>
      </c>
      <c r="C162" s="66" t="s">
        <v>696</v>
      </c>
      <c r="D162" s="42" t="s">
        <v>697</v>
      </c>
      <c r="E162" s="43"/>
      <c r="F162" s="131" t="s">
        <v>74</v>
      </c>
      <c r="G162" s="133"/>
      <c r="H162" s="56" t="s">
        <v>43</v>
      </c>
      <c r="I162" s="66"/>
      <c r="J162" s="12"/>
      <c r="K162" s="12"/>
      <c r="L162" s="12"/>
      <c r="M162" s="12"/>
      <c r="N162" s="118"/>
      <c r="O162" s="118"/>
      <c r="P162" s="118"/>
    </row>
    <row r="163" spans="1:16" ht="76.5">
      <c r="A163" s="41">
        <v>250</v>
      </c>
      <c r="B163" s="66" t="s">
        <v>698</v>
      </c>
      <c r="C163" s="66" t="s">
        <v>699</v>
      </c>
      <c r="D163" s="42" t="s">
        <v>700</v>
      </c>
      <c r="E163" s="43" t="s">
        <v>42</v>
      </c>
      <c r="F163" s="131" t="s">
        <v>42</v>
      </c>
      <c r="G163" s="133"/>
      <c r="H163" s="56" t="s">
        <v>43</v>
      </c>
      <c r="I163" s="66" t="s">
        <v>701</v>
      </c>
      <c r="J163" s="12"/>
      <c r="K163" s="12"/>
      <c r="L163" s="12"/>
      <c r="M163" s="12"/>
      <c r="N163" s="118"/>
      <c r="O163" s="118"/>
      <c r="P163" s="118"/>
    </row>
    <row r="164" spans="1:16" ht="51">
      <c r="A164" s="41">
        <v>252</v>
      </c>
      <c r="B164" s="66" t="s">
        <v>702</v>
      </c>
      <c r="C164" s="66" t="s">
        <v>703</v>
      </c>
      <c r="D164" s="66" t="s">
        <v>704</v>
      </c>
      <c r="E164" s="126" t="s">
        <v>74</v>
      </c>
      <c r="F164" s="131" t="s">
        <v>74</v>
      </c>
      <c r="G164" s="133"/>
      <c r="H164" s="69" t="s">
        <v>43</v>
      </c>
      <c r="I164" s="75" t="s">
        <v>705</v>
      </c>
      <c r="J164" s="12"/>
      <c r="K164" s="12"/>
      <c r="L164" s="12"/>
      <c r="M164" s="12"/>
      <c r="N164" s="118"/>
      <c r="O164" s="118"/>
      <c r="P164" s="118"/>
    </row>
    <row r="165" spans="1:16" ht="140.25">
      <c r="A165" s="41">
        <v>253</v>
      </c>
      <c r="B165" s="66" t="s">
        <v>706</v>
      </c>
      <c r="C165" s="66" t="s">
        <v>707</v>
      </c>
      <c r="D165" s="42" t="s">
        <v>708</v>
      </c>
      <c r="E165" s="43" t="s">
        <v>42</v>
      </c>
      <c r="F165" s="44" t="s">
        <v>42</v>
      </c>
      <c r="G165" s="45" t="s">
        <v>42</v>
      </c>
      <c r="H165" s="56" t="s">
        <v>43</v>
      </c>
      <c r="I165" s="66" t="s">
        <v>709</v>
      </c>
      <c r="J165" s="12"/>
      <c r="K165" s="12"/>
      <c r="L165" s="12"/>
      <c r="M165" s="12"/>
      <c r="N165" s="118"/>
      <c r="O165" s="118"/>
      <c r="P165" s="118"/>
    </row>
    <row r="166" spans="1:16" ht="369.75">
      <c r="A166" s="41">
        <v>254</v>
      </c>
      <c r="B166" s="66" t="s">
        <v>711</v>
      </c>
      <c r="C166" s="66" t="s">
        <v>712</v>
      </c>
      <c r="D166" s="42" t="s">
        <v>713</v>
      </c>
      <c r="E166" s="43"/>
      <c r="F166" s="131"/>
      <c r="G166" s="133" t="s">
        <v>42</v>
      </c>
      <c r="H166" s="56" t="s">
        <v>43</v>
      </c>
      <c r="I166" s="66" t="s">
        <v>714</v>
      </c>
      <c r="J166" s="12"/>
      <c r="K166" s="12"/>
      <c r="L166" s="12"/>
      <c r="M166" s="12"/>
      <c r="N166" s="118"/>
      <c r="O166" s="118"/>
      <c r="P166" s="118"/>
    </row>
    <row r="167" spans="1:16" ht="25.5">
      <c r="A167" s="41">
        <v>255</v>
      </c>
      <c r="B167" s="66" t="s">
        <v>716</v>
      </c>
      <c r="C167" s="66" t="s">
        <v>717</v>
      </c>
      <c r="D167" s="66" t="s">
        <v>718</v>
      </c>
      <c r="E167" s="43"/>
      <c r="F167" s="131"/>
      <c r="G167" s="133" t="s">
        <v>42</v>
      </c>
      <c r="H167" s="69" t="s">
        <v>43</v>
      </c>
      <c r="I167" s="54" t="s">
        <v>719</v>
      </c>
      <c r="J167" s="12"/>
      <c r="K167" s="12"/>
      <c r="L167" s="12"/>
      <c r="M167" s="12"/>
      <c r="N167" s="118"/>
      <c r="O167" s="118"/>
      <c r="P167" s="118"/>
    </row>
    <row r="168" spans="1:16" ht="38.25">
      <c r="A168" s="41">
        <v>257</v>
      </c>
      <c r="B168" s="66" t="s">
        <v>720</v>
      </c>
      <c r="C168" s="66" t="s">
        <v>721</v>
      </c>
      <c r="D168" s="66" t="s">
        <v>722</v>
      </c>
      <c r="E168" s="43"/>
      <c r="F168" s="131"/>
      <c r="G168" s="133" t="s">
        <v>42</v>
      </c>
      <c r="H168" s="69" t="s">
        <v>43</v>
      </c>
      <c r="I168" s="66"/>
      <c r="J168" s="12"/>
      <c r="K168" s="12"/>
      <c r="L168" s="12"/>
      <c r="M168" s="12"/>
      <c r="N168" s="118"/>
      <c r="O168" s="118"/>
      <c r="P168" s="118"/>
    </row>
    <row r="169" spans="1:16" ht="38.25">
      <c r="A169" s="41">
        <v>262</v>
      </c>
      <c r="B169" s="66" t="s">
        <v>723</v>
      </c>
      <c r="C169" s="66" t="s">
        <v>724</v>
      </c>
      <c r="D169" s="66" t="s">
        <v>725</v>
      </c>
      <c r="E169" s="43"/>
      <c r="F169" s="131"/>
      <c r="G169" s="133" t="s">
        <v>42</v>
      </c>
      <c r="H169" s="69" t="s">
        <v>43</v>
      </c>
      <c r="I169" s="55" t="s">
        <v>726</v>
      </c>
      <c r="J169" s="12"/>
      <c r="K169" s="12"/>
      <c r="L169" s="12"/>
      <c r="M169" s="12"/>
      <c r="N169" s="118"/>
      <c r="O169" s="118"/>
      <c r="P169" s="118"/>
    </row>
    <row r="170" spans="1:16" ht="76.5">
      <c r="A170" s="41">
        <v>263</v>
      </c>
      <c r="B170" s="66" t="s">
        <v>727</v>
      </c>
      <c r="C170" s="66" t="s">
        <v>728</v>
      </c>
      <c r="D170" s="66" t="s">
        <v>729</v>
      </c>
      <c r="E170" s="43"/>
      <c r="F170" s="131"/>
      <c r="G170" s="133" t="s">
        <v>42</v>
      </c>
      <c r="H170" s="56" t="s">
        <v>43</v>
      </c>
      <c r="I170" s="66"/>
      <c r="J170" s="12"/>
      <c r="K170" s="12"/>
      <c r="L170" s="12"/>
      <c r="M170" s="12"/>
      <c r="N170" s="118"/>
      <c r="O170" s="118"/>
      <c r="P170" s="118"/>
    </row>
    <row r="171" spans="1:16" ht="89.25">
      <c r="A171" s="41">
        <v>266</v>
      </c>
      <c r="B171" s="66" t="s">
        <v>730</v>
      </c>
      <c r="C171" s="66" t="s">
        <v>731</v>
      </c>
      <c r="D171" s="66" t="s">
        <v>732</v>
      </c>
      <c r="E171" s="43"/>
      <c r="F171" s="131"/>
      <c r="G171" s="133" t="s">
        <v>42</v>
      </c>
      <c r="H171" s="56" t="s">
        <v>43</v>
      </c>
      <c r="I171" s="66"/>
      <c r="J171" s="12"/>
      <c r="K171" s="12"/>
      <c r="L171" s="12"/>
      <c r="M171" s="12"/>
      <c r="N171" s="118"/>
      <c r="O171" s="118"/>
      <c r="P171" s="118"/>
    </row>
    <row r="172" spans="1:16" ht="25.5">
      <c r="A172" s="41">
        <v>267</v>
      </c>
      <c r="B172" s="66" t="s">
        <v>734</v>
      </c>
      <c r="C172" s="66" t="s">
        <v>717</v>
      </c>
      <c r="D172" s="66" t="s">
        <v>735</v>
      </c>
      <c r="E172" s="43"/>
      <c r="F172" s="131"/>
      <c r="G172" s="133" t="s">
        <v>42</v>
      </c>
      <c r="H172" s="69" t="s">
        <v>43</v>
      </c>
      <c r="I172" s="66" t="s">
        <v>736</v>
      </c>
      <c r="J172" s="12"/>
      <c r="K172" s="12"/>
      <c r="L172" s="12"/>
      <c r="M172" s="12"/>
      <c r="N172" s="118"/>
      <c r="O172" s="118"/>
      <c r="P172" s="118"/>
    </row>
    <row r="173" spans="1:16" ht="76.5">
      <c r="A173" s="41">
        <v>271</v>
      </c>
      <c r="B173" s="66" t="s">
        <v>737</v>
      </c>
      <c r="C173" s="66" t="s">
        <v>738</v>
      </c>
      <c r="D173" s="66" t="s">
        <v>739</v>
      </c>
      <c r="E173" s="43"/>
      <c r="F173" s="131"/>
      <c r="G173" s="133" t="s">
        <v>42</v>
      </c>
      <c r="H173" s="56" t="s">
        <v>86</v>
      </c>
      <c r="I173" s="54" t="s">
        <v>740</v>
      </c>
      <c r="J173" s="12"/>
      <c r="K173" s="12"/>
      <c r="L173" s="12"/>
      <c r="M173" s="12"/>
      <c r="N173" s="118"/>
      <c r="O173" s="118"/>
      <c r="P173" s="118"/>
    </row>
    <row r="174" spans="1:16" ht="25.5">
      <c r="A174" s="41">
        <v>272</v>
      </c>
      <c r="B174" s="66" t="s">
        <v>742</v>
      </c>
      <c r="C174" s="66" t="s">
        <v>743</v>
      </c>
      <c r="D174" s="66" t="s">
        <v>744</v>
      </c>
      <c r="E174" s="43"/>
      <c r="F174" s="131"/>
      <c r="G174" s="133" t="s">
        <v>42</v>
      </c>
      <c r="H174" s="56" t="s">
        <v>86</v>
      </c>
      <c r="I174" s="54" t="s">
        <v>740</v>
      </c>
      <c r="J174" s="12"/>
      <c r="K174" s="12"/>
      <c r="L174" s="12"/>
      <c r="M174" s="12"/>
      <c r="N174" s="118"/>
      <c r="O174" s="118"/>
      <c r="P174" s="118"/>
    </row>
    <row r="175" spans="1:16" ht="38.25">
      <c r="A175" s="41">
        <v>274</v>
      </c>
      <c r="B175" s="66" t="s">
        <v>745</v>
      </c>
      <c r="C175" s="66" t="s">
        <v>746</v>
      </c>
      <c r="D175" s="66" t="s">
        <v>747</v>
      </c>
      <c r="E175" s="43"/>
      <c r="F175" s="131"/>
      <c r="G175" s="133" t="s">
        <v>42</v>
      </c>
      <c r="H175" s="56" t="s">
        <v>86</v>
      </c>
      <c r="I175" s="54" t="s">
        <v>740</v>
      </c>
      <c r="J175" s="12"/>
      <c r="K175" s="12"/>
      <c r="L175" s="12"/>
      <c r="M175" s="12"/>
      <c r="N175" s="118"/>
      <c r="O175" s="118"/>
      <c r="P175" s="118"/>
    </row>
    <row r="176" spans="1:16" ht="153">
      <c r="A176" s="41">
        <v>275</v>
      </c>
      <c r="B176" s="66" t="s">
        <v>748</v>
      </c>
      <c r="C176" s="66" t="s">
        <v>749</v>
      </c>
      <c r="D176" s="66" t="s">
        <v>750</v>
      </c>
      <c r="E176" s="43" t="s">
        <v>42</v>
      </c>
      <c r="F176" s="131" t="s">
        <v>42</v>
      </c>
      <c r="G176" s="133" t="s">
        <v>42</v>
      </c>
      <c r="H176" s="56" t="s">
        <v>86</v>
      </c>
      <c r="I176" s="54" t="s">
        <v>740</v>
      </c>
      <c r="J176" s="12"/>
      <c r="K176" s="12"/>
      <c r="L176" s="12"/>
      <c r="M176" s="12"/>
      <c r="N176" s="118"/>
      <c r="O176" s="118"/>
      <c r="P176" s="118"/>
    </row>
    <row r="177" spans="1:16" ht="25.5">
      <c r="A177" s="41">
        <v>276</v>
      </c>
      <c r="B177" s="66" t="s">
        <v>752</v>
      </c>
      <c r="C177" s="66" t="s">
        <v>743</v>
      </c>
      <c r="D177" s="66" t="s">
        <v>753</v>
      </c>
      <c r="E177" s="43"/>
      <c r="F177" s="131"/>
      <c r="G177" s="133" t="s">
        <v>42</v>
      </c>
      <c r="H177" s="56" t="s">
        <v>86</v>
      </c>
      <c r="I177" s="54" t="s">
        <v>740</v>
      </c>
      <c r="J177" s="12"/>
      <c r="K177" s="12"/>
      <c r="L177" s="12"/>
      <c r="M177" s="12"/>
      <c r="N177" s="118"/>
      <c r="O177" s="118"/>
      <c r="P177" s="118"/>
    </row>
    <row r="178" spans="1:16" ht="38.25">
      <c r="A178" s="41">
        <v>277</v>
      </c>
      <c r="B178" s="66" t="s">
        <v>754</v>
      </c>
      <c r="C178" s="66" t="s">
        <v>746</v>
      </c>
      <c r="D178" s="66" t="s">
        <v>755</v>
      </c>
      <c r="E178" s="43"/>
      <c r="F178" s="131"/>
      <c r="G178" s="133" t="s">
        <v>42</v>
      </c>
      <c r="H178" s="56" t="s">
        <v>86</v>
      </c>
      <c r="I178" s="54" t="s">
        <v>740</v>
      </c>
      <c r="J178" s="12"/>
      <c r="K178" s="12"/>
      <c r="L178" s="12"/>
      <c r="M178" s="12"/>
      <c r="N178" s="118"/>
      <c r="O178" s="118"/>
      <c r="P178" s="118"/>
    </row>
    <row r="179" spans="1:16" ht="38.25">
      <c r="A179" s="41">
        <v>278</v>
      </c>
      <c r="B179" s="66" t="s">
        <v>756</v>
      </c>
      <c r="C179" s="66" t="s">
        <v>757</v>
      </c>
      <c r="D179" s="66" t="s">
        <v>758</v>
      </c>
      <c r="E179" s="43"/>
      <c r="F179" s="131"/>
      <c r="G179" s="133" t="s">
        <v>42</v>
      </c>
      <c r="H179" s="56" t="s">
        <v>86</v>
      </c>
      <c r="I179" s="54" t="s">
        <v>740</v>
      </c>
      <c r="J179" s="12"/>
      <c r="K179" s="12"/>
      <c r="L179" s="12"/>
      <c r="M179" s="12"/>
      <c r="N179" s="118"/>
      <c r="O179" s="118"/>
      <c r="P179" s="118"/>
    </row>
    <row r="180" spans="1:16" ht="76.5">
      <c r="A180" s="41">
        <v>281</v>
      </c>
      <c r="B180" s="66" t="s">
        <v>759</v>
      </c>
      <c r="C180" s="66" t="s">
        <v>760</v>
      </c>
      <c r="D180" s="66" t="s">
        <v>761</v>
      </c>
      <c r="E180" s="43"/>
      <c r="F180" s="131"/>
      <c r="G180" s="133" t="s">
        <v>42</v>
      </c>
      <c r="H180" s="56" t="s">
        <v>86</v>
      </c>
      <c r="I180" s="54" t="s">
        <v>740</v>
      </c>
      <c r="J180" s="12"/>
      <c r="K180" s="12"/>
      <c r="L180" s="12"/>
      <c r="M180" s="12"/>
      <c r="N180" s="118"/>
      <c r="O180" s="118"/>
      <c r="P180" s="118"/>
    </row>
    <row r="181" spans="1:16" ht="102">
      <c r="A181" s="41">
        <v>282</v>
      </c>
      <c r="B181" s="66" t="s">
        <v>762</v>
      </c>
      <c r="C181" s="66" t="s">
        <v>763</v>
      </c>
      <c r="D181" s="66" t="s">
        <v>764</v>
      </c>
      <c r="E181" s="43"/>
      <c r="F181" s="131"/>
      <c r="G181" s="133" t="s">
        <v>42</v>
      </c>
      <c r="H181" s="56" t="s">
        <v>86</v>
      </c>
      <c r="I181" s="54" t="s">
        <v>740</v>
      </c>
      <c r="J181" s="12"/>
      <c r="K181" s="12"/>
      <c r="L181" s="12"/>
      <c r="M181" s="12"/>
      <c r="N181" s="118"/>
      <c r="O181" s="118"/>
      <c r="P181" s="118"/>
    </row>
    <row r="182" spans="1:16" ht="38.25">
      <c r="A182" s="41">
        <v>283</v>
      </c>
      <c r="B182" s="66" t="s">
        <v>765</v>
      </c>
      <c r="C182" s="66" t="s">
        <v>766</v>
      </c>
      <c r="D182" s="66" t="s">
        <v>767</v>
      </c>
      <c r="E182" s="43"/>
      <c r="F182" s="131"/>
      <c r="G182" s="133" t="s">
        <v>42</v>
      </c>
      <c r="H182" s="56" t="s">
        <v>437</v>
      </c>
      <c r="I182" s="54" t="s">
        <v>768</v>
      </c>
      <c r="J182" s="12"/>
      <c r="K182" s="12"/>
      <c r="L182" s="12"/>
      <c r="M182" s="12"/>
      <c r="N182" s="118"/>
      <c r="O182" s="118"/>
      <c r="P182" s="118"/>
    </row>
    <row r="183" spans="1:16" ht="127.5">
      <c r="A183" s="41">
        <v>287</v>
      </c>
      <c r="B183" s="66" t="s">
        <v>769</v>
      </c>
      <c r="C183" s="66" t="s">
        <v>770</v>
      </c>
      <c r="D183" s="66" t="s">
        <v>771</v>
      </c>
      <c r="E183" s="43" t="s">
        <v>42</v>
      </c>
      <c r="F183" s="44" t="s">
        <v>42</v>
      </c>
      <c r="G183" s="133" t="s">
        <v>42</v>
      </c>
      <c r="H183" s="56" t="s">
        <v>86</v>
      </c>
      <c r="I183" s="54" t="s">
        <v>243</v>
      </c>
      <c r="J183" s="12"/>
      <c r="K183" s="12"/>
      <c r="L183" s="12"/>
      <c r="M183" s="12"/>
      <c r="N183" s="118"/>
      <c r="O183" s="118"/>
      <c r="P183" s="118"/>
    </row>
    <row r="184" spans="1:16" ht="38.25">
      <c r="A184" s="41">
        <v>288</v>
      </c>
      <c r="B184" s="66" t="s">
        <v>772</v>
      </c>
      <c r="C184" s="66" t="s">
        <v>773</v>
      </c>
      <c r="D184" s="66" t="s">
        <v>774</v>
      </c>
      <c r="E184" s="43"/>
      <c r="F184" s="44" t="s">
        <v>42</v>
      </c>
      <c r="G184" s="133" t="s">
        <v>42</v>
      </c>
      <c r="H184" s="69" t="s">
        <v>86</v>
      </c>
      <c r="I184" s="54" t="s">
        <v>243</v>
      </c>
      <c r="J184" s="12"/>
      <c r="K184" s="12"/>
      <c r="L184" s="12"/>
      <c r="M184" s="12"/>
      <c r="N184" s="118"/>
      <c r="O184" s="118"/>
      <c r="P184" s="118"/>
    </row>
    <row r="185" spans="1:16" ht="38.25">
      <c r="A185" s="41">
        <v>291</v>
      </c>
      <c r="B185" s="66" t="s">
        <v>775</v>
      </c>
      <c r="C185" s="66" t="s">
        <v>776</v>
      </c>
      <c r="D185" s="66" t="s">
        <v>777</v>
      </c>
      <c r="E185" s="43"/>
      <c r="F185" s="131"/>
      <c r="G185" s="133" t="s">
        <v>74</v>
      </c>
      <c r="H185" s="56" t="s">
        <v>86</v>
      </c>
      <c r="I185" s="54" t="s">
        <v>243</v>
      </c>
      <c r="J185" s="12"/>
      <c r="K185" s="12"/>
      <c r="L185" s="12"/>
      <c r="M185" s="12"/>
      <c r="N185" s="118"/>
      <c r="O185" s="118"/>
      <c r="P185" s="118"/>
    </row>
    <row r="186" spans="1:16" ht="63.75">
      <c r="A186" s="41">
        <v>294</v>
      </c>
      <c r="B186" s="66" t="s">
        <v>778</v>
      </c>
      <c r="C186" s="66" t="s">
        <v>779</v>
      </c>
      <c r="D186" s="66" t="s">
        <v>780</v>
      </c>
      <c r="E186" s="43"/>
      <c r="F186" s="131"/>
      <c r="G186" s="133" t="s">
        <v>42</v>
      </c>
      <c r="H186" s="69" t="s">
        <v>43</v>
      </c>
      <c r="I186" s="54" t="s">
        <v>781</v>
      </c>
      <c r="J186" s="12"/>
      <c r="K186" s="12"/>
      <c r="L186" s="12"/>
      <c r="M186" s="12"/>
      <c r="N186" s="118"/>
      <c r="O186" s="118"/>
      <c r="P186" s="118"/>
    </row>
    <row r="187" spans="1:16" ht="38.25">
      <c r="A187" s="41">
        <v>295</v>
      </c>
      <c r="B187" s="66" t="s">
        <v>782</v>
      </c>
      <c r="C187" s="66" t="s">
        <v>783</v>
      </c>
      <c r="D187" s="66" t="s">
        <v>784</v>
      </c>
      <c r="E187" s="43"/>
      <c r="F187" s="131" t="s">
        <v>42</v>
      </c>
      <c r="G187" s="133" t="s">
        <v>42</v>
      </c>
      <c r="H187" s="56" t="s">
        <v>86</v>
      </c>
      <c r="I187" s="66" t="s">
        <v>785</v>
      </c>
      <c r="J187" s="12"/>
      <c r="K187" s="12"/>
      <c r="L187" s="12"/>
      <c r="M187" s="12"/>
      <c r="N187" s="118"/>
      <c r="O187" s="118"/>
      <c r="P187" s="118"/>
    </row>
    <row r="188" spans="1:16" ht="153">
      <c r="A188" s="41">
        <v>301</v>
      </c>
      <c r="B188" s="66" t="s">
        <v>786</v>
      </c>
      <c r="C188" s="66" t="s">
        <v>787</v>
      </c>
      <c r="D188" s="42" t="s">
        <v>788</v>
      </c>
      <c r="E188" s="43" t="s">
        <v>42</v>
      </c>
      <c r="F188" s="44" t="s">
        <v>42</v>
      </c>
      <c r="G188" s="133"/>
      <c r="H188" s="56" t="s">
        <v>43</v>
      </c>
      <c r="I188" s="54" t="s">
        <v>789</v>
      </c>
      <c r="J188" s="12"/>
      <c r="K188" s="12"/>
      <c r="L188" s="12"/>
      <c r="M188" s="12"/>
      <c r="N188" s="118"/>
      <c r="O188" s="118"/>
      <c r="P188" s="118"/>
    </row>
    <row r="189" spans="1:16" ht="89.25">
      <c r="A189" s="41">
        <v>302</v>
      </c>
      <c r="B189" s="66" t="s">
        <v>791</v>
      </c>
      <c r="C189" s="66" t="s">
        <v>792</v>
      </c>
      <c r="D189" s="66" t="s">
        <v>793</v>
      </c>
      <c r="E189" s="43" t="s">
        <v>42</v>
      </c>
      <c r="F189" s="44" t="s">
        <v>42</v>
      </c>
      <c r="G189" s="133"/>
      <c r="H189" s="56" t="s">
        <v>43</v>
      </c>
      <c r="I189" s="54" t="s">
        <v>794</v>
      </c>
      <c r="J189" s="12"/>
      <c r="K189" s="12"/>
      <c r="L189" s="12"/>
      <c r="M189" s="12"/>
      <c r="N189" s="118"/>
      <c r="O189" s="118"/>
      <c r="P189" s="118"/>
    </row>
    <row r="190" spans="1:16" ht="25.5">
      <c r="A190" s="41">
        <v>303</v>
      </c>
      <c r="B190" s="66" t="s">
        <v>796</v>
      </c>
      <c r="C190" s="66" t="s">
        <v>797</v>
      </c>
      <c r="D190" s="66" t="s">
        <v>798</v>
      </c>
      <c r="E190" s="43" t="s">
        <v>42</v>
      </c>
      <c r="F190" s="44" t="s">
        <v>42</v>
      </c>
      <c r="G190" s="133"/>
      <c r="H190" s="56" t="s">
        <v>84</v>
      </c>
      <c r="I190" s="54" t="s">
        <v>799</v>
      </c>
      <c r="J190" s="12"/>
      <c r="K190" s="12"/>
      <c r="L190" s="12"/>
      <c r="M190" s="12"/>
      <c r="N190" s="118"/>
      <c r="O190" s="118"/>
      <c r="P190" s="118"/>
    </row>
    <row r="191" spans="1:16" ht="38.25">
      <c r="A191" s="41">
        <v>304</v>
      </c>
      <c r="B191" s="66" t="s">
        <v>800</v>
      </c>
      <c r="C191" s="66" t="s">
        <v>801</v>
      </c>
      <c r="D191" s="66" t="s">
        <v>802</v>
      </c>
      <c r="E191" s="43" t="s">
        <v>42</v>
      </c>
      <c r="F191" s="44" t="s">
        <v>42</v>
      </c>
      <c r="G191" s="133"/>
      <c r="H191" s="56" t="s">
        <v>84</v>
      </c>
      <c r="I191" s="54" t="s">
        <v>799</v>
      </c>
      <c r="J191" s="12"/>
      <c r="K191" s="12"/>
      <c r="L191" s="12"/>
      <c r="M191" s="12"/>
      <c r="N191" s="118"/>
      <c r="O191" s="118"/>
      <c r="P191" s="118"/>
    </row>
    <row r="192" spans="1:16" ht="25.5">
      <c r="A192" s="41">
        <v>305</v>
      </c>
      <c r="B192" s="66" t="s">
        <v>803</v>
      </c>
      <c r="C192" s="66" t="s">
        <v>804</v>
      </c>
      <c r="D192" s="66" t="s">
        <v>805</v>
      </c>
      <c r="E192" s="43" t="s">
        <v>42</v>
      </c>
      <c r="F192" s="44" t="s">
        <v>42</v>
      </c>
      <c r="G192" s="133"/>
      <c r="H192" s="56" t="s">
        <v>84</v>
      </c>
      <c r="I192" s="54" t="s">
        <v>799</v>
      </c>
      <c r="J192" s="12"/>
      <c r="K192" s="12"/>
      <c r="L192" s="12"/>
      <c r="M192" s="12"/>
      <c r="N192" s="118"/>
      <c r="O192" s="118"/>
      <c r="P192" s="118"/>
    </row>
    <row r="193" spans="1:16" ht="38.25">
      <c r="A193" s="41">
        <v>306</v>
      </c>
      <c r="B193" s="66" t="s">
        <v>806</v>
      </c>
      <c r="C193" s="66" t="s">
        <v>807</v>
      </c>
      <c r="D193" s="66" t="s">
        <v>808</v>
      </c>
      <c r="E193" s="43" t="s">
        <v>74</v>
      </c>
      <c r="F193" s="44" t="s">
        <v>74</v>
      </c>
      <c r="G193" s="133"/>
      <c r="H193" s="56" t="s">
        <v>84</v>
      </c>
      <c r="I193" s="54" t="s">
        <v>799</v>
      </c>
      <c r="J193" s="12"/>
      <c r="K193" s="12"/>
      <c r="L193" s="12"/>
      <c r="M193" s="12"/>
      <c r="N193" s="118"/>
      <c r="O193" s="118"/>
      <c r="P193" s="118"/>
    </row>
    <row r="194" spans="1:16" ht="25.5">
      <c r="A194" s="41">
        <v>307</v>
      </c>
      <c r="B194" s="66" t="s">
        <v>809</v>
      </c>
      <c r="C194" s="66" t="s">
        <v>810</v>
      </c>
      <c r="D194" s="66" t="s">
        <v>811</v>
      </c>
      <c r="E194" s="43" t="s">
        <v>74</v>
      </c>
      <c r="F194" s="44" t="s">
        <v>74</v>
      </c>
      <c r="G194" s="133"/>
      <c r="H194" s="56" t="s">
        <v>43</v>
      </c>
      <c r="I194" s="54" t="s">
        <v>812</v>
      </c>
      <c r="J194" s="12"/>
      <c r="K194" s="12"/>
      <c r="L194" s="12"/>
      <c r="M194" s="12"/>
      <c r="N194" s="118"/>
      <c r="O194" s="118"/>
      <c r="P194" s="118"/>
    </row>
    <row r="195" spans="1:16" ht="38.25">
      <c r="A195" s="41">
        <v>310</v>
      </c>
      <c r="B195" s="66" t="s">
        <v>813</v>
      </c>
      <c r="C195" s="66" t="s">
        <v>814</v>
      </c>
      <c r="D195" s="66" t="s">
        <v>815</v>
      </c>
      <c r="E195" s="43" t="s">
        <v>42</v>
      </c>
      <c r="F195" s="44" t="s">
        <v>42</v>
      </c>
      <c r="G195" s="133"/>
      <c r="H195" s="56" t="s">
        <v>43</v>
      </c>
      <c r="I195" s="54" t="s">
        <v>816</v>
      </c>
      <c r="J195" s="12"/>
      <c r="K195" s="12"/>
      <c r="L195" s="12"/>
      <c r="M195" s="12"/>
      <c r="N195" s="118"/>
      <c r="O195" s="118"/>
      <c r="P195" s="118"/>
    </row>
    <row r="196" spans="1:16" ht="51">
      <c r="A196" s="41">
        <v>311</v>
      </c>
      <c r="B196" s="66" t="s">
        <v>817</v>
      </c>
      <c r="C196" s="66" t="s">
        <v>818</v>
      </c>
      <c r="D196" s="66" t="s">
        <v>819</v>
      </c>
      <c r="E196" s="43" t="s">
        <v>74</v>
      </c>
      <c r="F196" s="44" t="s">
        <v>74</v>
      </c>
      <c r="G196" s="133"/>
      <c r="H196" s="56" t="s">
        <v>43</v>
      </c>
      <c r="I196" s="54" t="s">
        <v>816</v>
      </c>
      <c r="J196" s="12"/>
      <c r="K196" s="12"/>
      <c r="L196" s="12"/>
      <c r="M196" s="12"/>
      <c r="N196" s="118"/>
      <c r="O196" s="118"/>
      <c r="P196" s="118"/>
    </row>
    <row r="197" spans="1:16" ht="51">
      <c r="A197" s="41">
        <v>313</v>
      </c>
      <c r="B197" s="66" t="s">
        <v>820</v>
      </c>
      <c r="C197" s="66" t="s">
        <v>821</v>
      </c>
      <c r="D197" s="42" t="s">
        <v>822</v>
      </c>
      <c r="E197" s="43" t="s">
        <v>42</v>
      </c>
      <c r="F197" s="44" t="s">
        <v>42</v>
      </c>
      <c r="G197" s="133"/>
      <c r="H197" s="56" t="s">
        <v>207</v>
      </c>
      <c r="I197" s="54" t="s">
        <v>823</v>
      </c>
      <c r="J197" s="12"/>
      <c r="K197" s="12"/>
      <c r="L197" s="12"/>
      <c r="M197" s="12"/>
      <c r="N197" s="118"/>
      <c r="O197" s="118"/>
      <c r="P197" s="118"/>
    </row>
    <row r="198" spans="1:16" ht="25.5">
      <c r="A198" s="41">
        <v>314</v>
      </c>
      <c r="B198" s="66" t="s">
        <v>824</v>
      </c>
      <c r="C198" s="66" t="s">
        <v>825</v>
      </c>
      <c r="D198" s="66" t="s">
        <v>826</v>
      </c>
      <c r="E198" s="43" t="s">
        <v>42</v>
      </c>
      <c r="F198" s="44" t="s">
        <v>42</v>
      </c>
      <c r="G198" s="133"/>
      <c r="H198" s="56" t="s">
        <v>84</v>
      </c>
      <c r="I198" s="54" t="s">
        <v>827</v>
      </c>
      <c r="J198" s="12"/>
      <c r="K198" s="12"/>
      <c r="L198" s="12"/>
      <c r="M198" s="12"/>
      <c r="N198" s="118"/>
      <c r="O198" s="118"/>
      <c r="P198" s="118"/>
    </row>
    <row r="199" spans="1:16" ht="25.5">
      <c r="A199" s="41">
        <v>316</v>
      </c>
      <c r="B199" s="66" t="s">
        <v>828</v>
      </c>
      <c r="C199" s="66" t="s">
        <v>829</v>
      </c>
      <c r="D199" s="66" t="s">
        <v>830</v>
      </c>
      <c r="E199" s="43" t="s">
        <v>42</v>
      </c>
      <c r="F199" s="44" t="s">
        <v>42</v>
      </c>
      <c r="G199" s="133"/>
      <c r="H199" s="56" t="s">
        <v>437</v>
      </c>
      <c r="I199" s="54" t="s">
        <v>831</v>
      </c>
      <c r="J199" s="12"/>
      <c r="K199" s="12"/>
      <c r="L199" s="12"/>
      <c r="M199" s="12"/>
      <c r="N199" s="118"/>
      <c r="O199" s="118"/>
      <c r="P199" s="118"/>
    </row>
    <row r="200" spans="1:16" ht="38.25">
      <c r="A200" s="41">
        <v>317</v>
      </c>
      <c r="B200" s="66" t="s">
        <v>833</v>
      </c>
      <c r="C200" s="66" t="s">
        <v>834</v>
      </c>
      <c r="D200" s="42" t="s">
        <v>835</v>
      </c>
      <c r="E200" s="43" t="s">
        <v>74</v>
      </c>
      <c r="F200" s="44" t="s">
        <v>74</v>
      </c>
      <c r="G200" s="133"/>
      <c r="H200" s="56" t="s">
        <v>437</v>
      </c>
      <c r="I200" s="54" t="s">
        <v>836</v>
      </c>
      <c r="J200" s="12"/>
      <c r="K200" s="12"/>
      <c r="L200" s="12"/>
      <c r="M200" s="12"/>
      <c r="N200" s="118"/>
      <c r="O200" s="118"/>
      <c r="P200" s="118"/>
    </row>
    <row r="201" spans="1:16" ht="140.25">
      <c r="A201" s="41">
        <v>320</v>
      </c>
      <c r="B201" s="66" t="s">
        <v>837</v>
      </c>
      <c r="C201" s="66" t="s">
        <v>838</v>
      </c>
      <c r="D201" s="42" t="s">
        <v>839</v>
      </c>
      <c r="E201" s="43" t="s">
        <v>42</v>
      </c>
      <c r="F201" s="44" t="s">
        <v>42</v>
      </c>
      <c r="G201" s="133"/>
      <c r="H201" s="56" t="s">
        <v>43</v>
      </c>
      <c r="I201" s="66"/>
      <c r="J201" s="12"/>
      <c r="K201" s="12"/>
      <c r="L201" s="12"/>
      <c r="M201" s="12"/>
      <c r="N201" s="118"/>
      <c r="O201" s="118"/>
      <c r="P201" s="118"/>
    </row>
    <row r="202" spans="1:16" ht="38.25">
      <c r="A202" s="41">
        <v>324</v>
      </c>
      <c r="B202" s="66" t="s">
        <v>840</v>
      </c>
      <c r="C202" s="66" t="s">
        <v>841</v>
      </c>
      <c r="D202" s="66" t="s">
        <v>842</v>
      </c>
      <c r="E202" s="43" t="s">
        <v>74</v>
      </c>
      <c r="F202" s="44" t="s">
        <v>74</v>
      </c>
      <c r="G202" s="133"/>
      <c r="H202" s="56" t="s">
        <v>43</v>
      </c>
      <c r="I202" s="66"/>
      <c r="J202" s="12"/>
      <c r="K202" s="12"/>
      <c r="L202" s="12"/>
      <c r="M202" s="12"/>
      <c r="N202" s="118"/>
      <c r="O202" s="118"/>
      <c r="P202" s="118"/>
    </row>
    <row r="203" spans="1:16" ht="293.25">
      <c r="A203" s="41">
        <v>328</v>
      </c>
      <c r="B203" s="66" t="s">
        <v>844</v>
      </c>
      <c r="C203" s="66" t="s">
        <v>845</v>
      </c>
      <c r="D203" s="66" t="s">
        <v>846</v>
      </c>
      <c r="E203" s="43" t="s">
        <v>42</v>
      </c>
      <c r="F203" s="44" t="s">
        <v>42</v>
      </c>
      <c r="G203" s="133"/>
      <c r="H203" s="56" t="s">
        <v>43</v>
      </c>
      <c r="I203" s="66"/>
      <c r="J203" s="12"/>
      <c r="K203" s="12"/>
      <c r="L203" s="12"/>
      <c r="M203" s="12"/>
      <c r="N203" s="118"/>
      <c r="O203" s="118"/>
      <c r="P203" s="118"/>
    </row>
    <row r="204" spans="1:16" ht="267.75">
      <c r="A204" s="41">
        <v>329</v>
      </c>
      <c r="B204" s="66" t="s">
        <v>848</v>
      </c>
      <c r="C204" s="66" t="s">
        <v>849</v>
      </c>
      <c r="D204" s="66" t="s">
        <v>850</v>
      </c>
      <c r="E204" s="43" t="s">
        <v>42</v>
      </c>
      <c r="F204" s="44" t="s">
        <v>42</v>
      </c>
      <c r="G204" s="133"/>
      <c r="H204" s="56" t="s">
        <v>43</v>
      </c>
      <c r="I204" s="66" t="s">
        <v>851</v>
      </c>
      <c r="J204" s="12"/>
      <c r="K204" s="12"/>
      <c r="L204" s="12"/>
      <c r="M204" s="12"/>
      <c r="N204" s="118"/>
      <c r="O204" s="118"/>
      <c r="P204" s="118"/>
    </row>
    <row r="205" spans="1:16" ht="114.75">
      <c r="A205" s="41">
        <v>330</v>
      </c>
      <c r="B205" s="66" t="s">
        <v>853</v>
      </c>
      <c r="C205" s="66" t="s">
        <v>854</v>
      </c>
      <c r="D205" s="66" t="s">
        <v>855</v>
      </c>
      <c r="E205" s="43" t="s">
        <v>42</v>
      </c>
      <c r="F205" s="44" t="s">
        <v>42</v>
      </c>
      <c r="G205" s="133"/>
      <c r="H205" s="56" t="s">
        <v>84</v>
      </c>
      <c r="I205" s="66" t="s">
        <v>856</v>
      </c>
      <c r="J205" s="12"/>
      <c r="K205" s="12"/>
      <c r="L205" s="12"/>
      <c r="M205" s="12"/>
      <c r="N205" s="118"/>
      <c r="O205" s="118"/>
      <c r="P205" s="118"/>
    </row>
    <row r="206" spans="1:16" ht="38.25">
      <c r="A206" s="41">
        <v>331</v>
      </c>
      <c r="B206" s="66" t="s">
        <v>858</v>
      </c>
      <c r="C206" s="66" t="s">
        <v>859</v>
      </c>
      <c r="D206" s="42" t="s">
        <v>860</v>
      </c>
      <c r="E206" s="43"/>
      <c r="F206" s="131" t="s">
        <v>42</v>
      </c>
      <c r="G206" s="133"/>
      <c r="H206" s="56" t="s">
        <v>43</v>
      </c>
      <c r="I206" s="66"/>
      <c r="J206" s="12"/>
      <c r="K206" s="12"/>
      <c r="L206" s="12"/>
      <c r="M206" s="12"/>
      <c r="N206" s="118"/>
      <c r="O206" s="118"/>
      <c r="P206" s="118"/>
    </row>
    <row r="207" spans="1:16" ht="51">
      <c r="A207" s="41">
        <v>332</v>
      </c>
      <c r="B207" s="66" t="s">
        <v>862</v>
      </c>
      <c r="C207" s="66" t="s">
        <v>863</v>
      </c>
      <c r="D207" s="66" t="s">
        <v>864</v>
      </c>
      <c r="E207" s="43" t="s">
        <v>74</v>
      </c>
      <c r="F207" s="44" t="s">
        <v>74</v>
      </c>
      <c r="G207" s="133"/>
      <c r="H207" s="56" t="s">
        <v>43</v>
      </c>
      <c r="I207" s="66" t="s">
        <v>865</v>
      </c>
      <c r="J207" s="12"/>
      <c r="K207" s="12"/>
      <c r="L207" s="12"/>
      <c r="M207" s="12"/>
      <c r="N207" s="118"/>
      <c r="O207" s="118"/>
      <c r="P207" s="118"/>
    </row>
    <row r="208" spans="1:16" ht="38.25">
      <c r="A208" s="41">
        <v>335</v>
      </c>
      <c r="B208" s="66" t="s">
        <v>867</v>
      </c>
      <c r="C208" s="66" t="s">
        <v>868</v>
      </c>
      <c r="D208" s="66" t="s">
        <v>869</v>
      </c>
      <c r="E208" s="43" t="s">
        <v>74</v>
      </c>
      <c r="F208" s="131"/>
      <c r="G208" s="133"/>
      <c r="H208" s="56" t="s">
        <v>56</v>
      </c>
      <c r="I208" s="66"/>
      <c r="J208" s="12"/>
      <c r="K208" s="12"/>
      <c r="L208" s="12"/>
      <c r="M208" s="12"/>
      <c r="N208" s="118"/>
      <c r="O208" s="118"/>
      <c r="P208" s="118"/>
    </row>
    <row r="209" spans="1:16" ht="89.25">
      <c r="A209" s="41">
        <v>336</v>
      </c>
      <c r="B209" s="66" t="s">
        <v>870</v>
      </c>
      <c r="C209" s="66" t="s">
        <v>871</v>
      </c>
      <c r="D209" s="66" t="s">
        <v>872</v>
      </c>
      <c r="E209" s="43" t="s">
        <v>74</v>
      </c>
      <c r="F209" s="44" t="s">
        <v>74</v>
      </c>
      <c r="G209" s="133"/>
      <c r="H209" s="56" t="s">
        <v>43</v>
      </c>
      <c r="I209" s="66"/>
      <c r="J209" s="12"/>
      <c r="K209" s="12"/>
      <c r="L209" s="12"/>
      <c r="M209" s="12"/>
      <c r="N209" s="118"/>
      <c r="O209" s="118"/>
      <c r="P209" s="118"/>
    </row>
    <row r="210" spans="1:16" ht="51">
      <c r="A210" s="41">
        <v>339</v>
      </c>
      <c r="B210" s="66" t="s">
        <v>874</v>
      </c>
      <c r="C210" s="66" t="s">
        <v>875</v>
      </c>
      <c r="D210" s="42" t="s">
        <v>876</v>
      </c>
      <c r="E210" s="43"/>
      <c r="F210" s="44" t="s">
        <v>42</v>
      </c>
      <c r="G210" s="133"/>
      <c r="H210" s="56" t="s">
        <v>437</v>
      </c>
      <c r="I210" s="66" t="s">
        <v>877</v>
      </c>
      <c r="J210" s="12"/>
      <c r="K210" s="12"/>
      <c r="L210" s="12"/>
      <c r="M210" s="12"/>
      <c r="N210" s="118"/>
      <c r="O210" s="118"/>
      <c r="P210" s="118"/>
    </row>
    <row r="211" spans="1:16" ht="38.25">
      <c r="A211" s="41">
        <v>341</v>
      </c>
      <c r="B211" s="66" t="s">
        <v>878</v>
      </c>
      <c r="C211" s="66" t="s">
        <v>879</v>
      </c>
      <c r="D211" s="66" t="s">
        <v>880</v>
      </c>
      <c r="E211" s="43" t="s">
        <v>74</v>
      </c>
      <c r="F211" s="44" t="s">
        <v>74</v>
      </c>
      <c r="G211" s="133"/>
      <c r="H211" s="56" t="s">
        <v>43</v>
      </c>
      <c r="I211" s="66"/>
      <c r="J211" s="12"/>
      <c r="K211" s="12"/>
      <c r="L211" s="12"/>
      <c r="M211" s="12"/>
      <c r="N211" s="118"/>
      <c r="O211" s="118"/>
      <c r="P211" s="118"/>
    </row>
    <row r="212" spans="1:16" ht="51">
      <c r="A212" s="41">
        <v>342</v>
      </c>
      <c r="B212" s="66" t="s">
        <v>881</v>
      </c>
      <c r="C212" s="66" t="s">
        <v>882</v>
      </c>
      <c r="D212" s="66" t="s">
        <v>883</v>
      </c>
      <c r="E212" s="43" t="s">
        <v>74</v>
      </c>
      <c r="F212" s="44" t="s">
        <v>74</v>
      </c>
      <c r="G212" s="133"/>
      <c r="H212" s="56" t="s">
        <v>84</v>
      </c>
      <c r="I212" s="66" t="s">
        <v>856</v>
      </c>
      <c r="J212" s="12"/>
      <c r="K212" s="12"/>
      <c r="L212" s="12"/>
      <c r="M212" s="12"/>
      <c r="N212" s="118"/>
      <c r="O212" s="118"/>
      <c r="P212" s="118"/>
    </row>
    <row r="213" spans="1:16" ht="38.25">
      <c r="A213" s="41">
        <v>344</v>
      </c>
      <c r="B213" s="66" t="s">
        <v>884</v>
      </c>
      <c r="C213" s="66" t="s">
        <v>885</v>
      </c>
      <c r="D213" s="66" t="s">
        <v>886</v>
      </c>
      <c r="E213" s="43" t="s">
        <v>42</v>
      </c>
      <c r="F213" s="131"/>
      <c r="G213" s="133"/>
      <c r="H213" s="56" t="s">
        <v>43</v>
      </c>
      <c r="I213" s="66"/>
      <c r="J213" s="12"/>
      <c r="K213" s="12"/>
      <c r="L213" s="12"/>
      <c r="M213" s="12"/>
      <c r="N213" s="118"/>
      <c r="O213" s="118"/>
      <c r="P213" s="118"/>
    </row>
    <row r="214" spans="1:16" ht="51">
      <c r="A214" s="41">
        <v>345</v>
      </c>
      <c r="B214" s="66" t="s">
        <v>888</v>
      </c>
      <c r="C214" s="66" t="s">
        <v>889</v>
      </c>
      <c r="D214" s="66" t="s">
        <v>890</v>
      </c>
      <c r="E214" s="43" t="s">
        <v>42</v>
      </c>
      <c r="F214" s="44" t="s">
        <v>42</v>
      </c>
      <c r="G214" s="133"/>
      <c r="H214" s="56" t="s">
        <v>86</v>
      </c>
      <c r="I214" s="54" t="s">
        <v>891</v>
      </c>
      <c r="J214" s="12"/>
      <c r="K214" s="12"/>
      <c r="L214" s="12"/>
      <c r="M214" s="12"/>
      <c r="N214" s="118"/>
      <c r="O214" s="118"/>
      <c r="P214" s="118"/>
    </row>
    <row r="215" spans="1:16" ht="51">
      <c r="A215" s="41">
        <v>346</v>
      </c>
      <c r="B215" s="66" t="s">
        <v>892</v>
      </c>
      <c r="C215" s="66" t="s">
        <v>893</v>
      </c>
      <c r="D215" s="66" t="s">
        <v>894</v>
      </c>
      <c r="E215" s="43" t="s">
        <v>42</v>
      </c>
      <c r="F215" s="44" t="s">
        <v>42</v>
      </c>
      <c r="G215" s="133"/>
      <c r="H215" s="56" t="s">
        <v>43</v>
      </c>
      <c r="I215" s="66"/>
      <c r="J215" s="12"/>
      <c r="K215" s="12"/>
      <c r="L215" s="12"/>
      <c r="M215" s="12"/>
      <c r="N215" s="118"/>
      <c r="O215" s="118"/>
      <c r="P215" s="118"/>
    </row>
    <row r="216" spans="1:16" ht="38.25">
      <c r="A216" s="41">
        <v>347</v>
      </c>
      <c r="B216" s="66" t="s">
        <v>895</v>
      </c>
      <c r="C216" s="66" t="s">
        <v>896</v>
      </c>
      <c r="D216" s="66" t="s">
        <v>897</v>
      </c>
      <c r="E216" s="43" t="s">
        <v>42</v>
      </c>
      <c r="F216" s="44" t="s">
        <v>42</v>
      </c>
      <c r="G216" s="133"/>
      <c r="H216" s="56" t="s">
        <v>43</v>
      </c>
      <c r="I216" s="66"/>
      <c r="J216" s="12"/>
      <c r="K216" s="12"/>
      <c r="L216" s="12"/>
      <c r="M216" s="12"/>
      <c r="N216" s="118"/>
      <c r="O216" s="118"/>
      <c r="P216" s="118"/>
    </row>
    <row r="217" spans="1:16" ht="38.25">
      <c r="A217" s="41">
        <v>348</v>
      </c>
      <c r="B217" s="66" t="s">
        <v>898</v>
      </c>
      <c r="C217" s="66" t="s">
        <v>899</v>
      </c>
      <c r="D217" s="66" t="s">
        <v>900</v>
      </c>
      <c r="E217" s="43"/>
      <c r="F217" s="44" t="s">
        <v>42</v>
      </c>
      <c r="G217" s="133"/>
      <c r="H217" s="56" t="s">
        <v>84</v>
      </c>
      <c r="I217" s="54" t="s">
        <v>243</v>
      </c>
      <c r="J217" s="12"/>
      <c r="K217" s="12"/>
      <c r="L217" s="12"/>
      <c r="M217" s="12"/>
      <c r="N217" s="118"/>
      <c r="O217" s="118"/>
      <c r="P217" s="118"/>
    </row>
    <row r="218" spans="1:16" ht="38.25">
      <c r="A218" s="41">
        <v>349</v>
      </c>
      <c r="B218" s="66" t="s">
        <v>901</v>
      </c>
      <c r="C218" s="66" t="s">
        <v>902</v>
      </c>
      <c r="D218" s="66" t="s">
        <v>903</v>
      </c>
      <c r="E218" s="43"/>
      <c r="F218" s="44" t="s">
        <v>42</v>
      </c>
      <c r="G218" s="133"/>
      <c r="H218" s="56" t="s">
        <v>84</v>
      </c>
      <c r="I218" s="54" t="s">
        <v>243</v>
      </c>
      <c r="J218" s="12"/>
      <c r="K218" s="12"/>
      <c r="L218" s="12"/>
      <c r="M218" s="12"/>
      <c r="N218" s="118"/>
      <c r="O218" s="118"/>
      <c r="P218" s="118"/>
    </row>
    <row r="219" spans="1:16" ht="25.5">
      <c r="A219" s="41">
        <v>350</v>
      </c>
      <c r="B219" s="66" t="s">
        <v>904</v>
      </c>
      <c r="C219" s="66" t="s">
        <v>905</v>
      </c>
      <c r="D219" s="66" t="s">
        <v>906</v>
      </c>
      <c r="E219" s="43"/>
      <c r="F219" s="44" t="s">
        <v>42</v>
      </c>
      <c r="G219" s="133"/>
      <c r="H219" s="56" t="s">
        <v>84</v>
      </c>
      <c r="I219" s="54" t="s">
        <v>243</v>
      </c>
      <c r="J219" s="12"/>
      <c r="K219" s="12"/>
      <c r="L219" s="12"/>
      <c r="M219" s="12"/>
      <c r="N219" s="118"/>
      <c r="O219" s="118"/>
      <c r="P219" s="118"/>
    </row>
    <row r="220" spans="1:16" ht="140.25">
      <c r="A220" s="41">
        <v>357</v>
      </c>
      <c r="B220" s="66" t="s">
        <v>907</v>
      </c>
      <c r="C220" s="66" t="s">
        <v>908</v>
      </c>
      <c r="D220" s="42" t="s">
        <v>909</v>
      </c>
      <c r="E220" s="43" t="s">
        <v>42</v>
      </c>
      <c r="F220" s="44" t="s">
        <v>42</v>
      </c>
      <c r="G220" s="45" t="s">
        <v>42</v>
      </c>
      <c r="H220" s="56" t="s">
        <v>43</v>
      </c>
      <c r="I220" s="54" t="s">
        <v>910</v>
      </c>
      <c r="J220" s="12"/>
      <c r="K220" s="12"/>
      <c r="L220" s="12"/>
      <c r="M220" s="12"/>
      <c r="N220" s="118"/>
      <c r="O220" s="118"/>
      <c r="P220" s="118"/>
    </row>
    <row r="221" spans="1:16" ht="153">
      <c r="A221" s="41">
        <v>358</v>
      </c>
      <c r="B221" s="66" t="s">
        <v>912</v>
      </c>
      <c r="C221" s="66" t="s">
        <v>913</v>
      </c>
      <c r="D221" s="66" t="s">
        <v>914</v>
      </c>
      <c r="E221" s="43" t="s">
        <v>42</v>
      </c>
      <c r="F221" s="44" t="s">
        <v>42</v>
      </c>
      <c r="G221" s="45" t="s">
        <v>42</v>
      </c>
      <c r="H221" s="56" t="s">
        <v>43</v>
      </c>
      <c r="I221" s="54" t="s">
        <v>915</v>
      </c>
      <c r="J221" s="12"/>
      <c r="K221" s="12"/>
      <c r="L221" s="12"/>
      <c r="M221" s="12"/>
      <c r="N221" s="118"/>
      <c r="O221" s="118"/>
      <c r="P221" s="118"/>
    </row>
    <row r="222" spans="1:16" ht="51">
      <c r="A222" s="41">
        <v>361</v>
      </c>
      <c r="B222" s="66" t="s">
        <v>917</v>
      </c>
      <c r="C222" s="66" t="s">
        <v>918</v>
      </c>
      <c r="D222" s="42" t="s">
        <v>919</v>
      </c>
      <c r="E222" s="43" t="s">
        <v>42</v>
      </c>
      <c r="F222" s="44" t="s">
        <v>42</v>
      </c>
      <c r="G222" s="133" t="s">
        <v>42</v>
      </c>
      <c r="H222" s="56" t="s">
        <v>43</v>
      </c>
      <c r="I222" s="66" t="s">
        <v>920</v>
      </c>
      <c r="J222" s="12"/>
      <c r="K222" s="12"/>
      <c r="L222" s="12"/>
      <c r="M222" s="12"/>
      <c r="N222" s="118"/>
      <c r="O222" s="118"/>
      <c r="P222" s="118"/>
    </row>
    <row r="223" spans="1:16" ht="25.5">
      <c r="A223" s="41">
        <v>363</v>
      </c>
      <c r="B223" s="66" t="s">
        <v>922</v>
      </c>
      <c r="C223" s="66" t="s">
        <v>923</v>
      </c>
      <c r="D223" s="66" t="s">
        <v>924</v>
      </c>
      <c r="E223" s="43" t="s">
        <v>42</v>
      </c>
      <c r="F223" s="44" t="s">
        <v>42</v>
      </c>
      <c r="G223" s="133" t="s">
        <v>42</v>
      </c>
      <c r="H223" s="56" t="s">
        <v>43</v>
      </c>
      <c r="I223" s="66" t="s">
        <v>925</v>
      </c>
      <c r="J223" s="12"/>
      <c r="K223" s="12"/>
      <c r="L223" s="12"/>
      <c r="M223" s="12"/>
      <c r="N223" s="118"/>
      <c r="O223" s="118"/>
      <c r="P223" s="118"/>
    </row>
    <row r="224" spans="1:16" ht="153">
      <c r="A224" s="41">
        <v>364</v>
      </c>
      <c r="B224" s="66" t="s">
        <v>926</v>
      </c>
      <c r="C224" s="66" t="s">
        <v>927</v>
      </c>
      <c r="D224" s="66" t="s">
        <v>928</v>
      </c>
      <c r="E224" s="43" t="s">
        <v>42</v>
      </c>
      <c r="F224" s="44" t="s">
        <v>42</v>
      </c>
      <c r="G224" s="133" t="s">
        <v>42</v>
      </c>
      <c r="H224" s="56" t="s">
        <v>43</v>
      </c>
      <c r="I224" s="66" t="s">
        <v>929</v>
      </c>
      <c r="J224" s="12"/>
      <c r="K224" s="12"/>
      <c r="L224" s="12"/>
      <c r="M224" s="12"/>
      <c r="N224" s="118"/>
      <c r="O224" s="118"/>
      <c r="P224" s="118"/>
    </row>
    <row r="225" spans="1:16" ht="25.5">
      <c r="A225" s="41">
        <v>365</v>
      </c>
      <c r="B225" s="66" t="s">
        <v>931</v>
      </c>
      <c r="C225" s="66" t="s">
        <v>932</v>
      </c>
      <c r="D225" s="66" t="s">
        <v>933</v>
      </c>
      <c r="E225" s="43" t="s">
        <v>42</v>
      </c>
      <c r="F225" s="44" t="s">
        <v>42</v>
      </c>
      <c r="G225" s="133" t="s">
        <v>42</v>
      </c>
      <c r="H225" s="56" t="s">
        <v>437</v>
      </c>
      <c r="I225" s="66"/>
      <c r="J225" s="12"/>
      <c r="K225" s="12"/>
      <c r="L225" s="12"/>
      <c r="M225" s="12"/>
      <c r="N225" s="118"/>
      <c r="O225" s="118"/>
      <c r="P225" s="118"/>
    </row>
    <row r="226" spans="1:16" ht="63.75">
      <c r="A226" s="41">
        <v>367</v>
      </c>
      <c r="B226" s="66" t="s">
        <v>934</v>
      </c>
      <c r="C226" s="66" t="s">
        <v>935</v>
      </c>
      <c r="D226" s="42" t="s">
        <v>936</v>
      </c>
      <c r="E226" s="43" t="s">
        <v>74</v>
      </c>
      <c r="F226" s="44" t="s">
        <v>74</v>
      </c>
      <c r="G226" s="133" t="s">
        <v>74</v>
      </c>
      <c r="H226" s="56" t="s">
        <v>43</v>
      </c>
      <c r="I226" s="66" t="s">
        <v>937</v>
      </c>
      <c r="J226" s="12"/>
      <c r="K226" s="12"/>
      <c r="L226" s="12"/>
      <c r="M226" s="12"/>
      <c r="N226" s="118"/>
      <c r="O226" s="118"/>
      <c r="P226" s="118"/>
    </row>
    <row r="227" spans="1:16" ht="38.25">
      <c r="A227" s="41">
        <v>368</v>
      </c>
      <c r="B227" s="66" t="s">
        <v>938</v>
      </c>
      <c r="C227" s="66" t="s">
        <v>939</v>
      </c>
      <c r="D227" s="66" t="s">
        <v>940</v>
      </c>
      <c r="E227" s="43" t="s">
        <v>74</v>
      </c>
      <c r="F227" s="44" t="s">
        <v>74</v>
      </c>
      <c r="G227" s="133" t="s">
        <v>74</v>
      </c>
      <c r="H227" s="56" t="s">
        <v>43</v>
      </c>
      <c r="I227" s="66"/>
      <c r="J227" s="12"/>
      <c r="K227" s="12"/>
      <c r="L227" s="12"/>
      <c r="M227" s="12"/>
      <c r="N227" s="118"/>
      <c r="O227" s="118"/>
      <c r="P227" s="118"/>
    </row>
    <row r="228" spans="1:16" ht="25.5">
      <c r="A228" s="41">
        <v>370</v>
      </c>
      <c r="B228" s="66" t="s">
        <v>942</v>
      </c>
      <c r="C228" s="66" t="s">
        <v>943</v>
      </c>
      <c r="D228" s="66" t="s">
        <v>944</v>
      </c>
      <c r="E228" s="43" t="s">
        <v>74</v>
      </c>
      <c r="F228" s="44" t="s">
        <v>74</v>
      </c>
      <c r="G228" s="133" t="s">
        <v>74</v>
      </c>
      <c r="H228" s="56" t="s">
        <v>43</v>
      </c>
      <c r="I228" s="66" t="s">
        <v>945</v>
      </c>
      <c r="J228" s="12"/>
      <c r="K228" s="12"/>
      <c r="L228" s="12"/>
      <c r="M228" s="12"/>
      <c r="N228" s="118"/>
      <c r="O228" s="118"/>
      <c r="P228" s="118"/>
    </row>
    <row r="229" spans="1:16" ht="38.25">
      <c r="A229" s="41">
        <v>371</v>
      </c>
      <c r="B229" s="66" t="s">
        <v>947</v>
      </c>
      <c r="C229" s="66" t="s">
        <v>948</v>
      </c>
      <c r="D229" s="42" t="s">
        <v>949</v>
      </c>
      <c r="E229" s="43" t="s">
        <v>74</v>
      </c>
      <c r="F229" s="44" t="s">
        <v>74</v>
      </c>
      <c r="G229" s="133" t="s">
        <v>74</v>
      </c>
      <c r="H229" s="56" t="s">
        <v>43</v>
      </c>
      <c r="I229" s="66" t="s">
        <v>950</v>
      </c>
      <c r="J229" s="12"/>
      <c r="K229" s="12"/>
      <c r="L229" s="12"/>
      <c r="M229" s="12"/>
      <c r="N229" s="118"/>
      <c r="O229" s="118"/>
      <c r="P229" s="118"/>
    </row>
    <row r="230" spans="1:16" ht="51">
      <c r="A230" s="41">
        <v>372</v>
      </c>
      <c r="B230" s="66" t="s">
        <v>952</v>
      </c>
      <c r="C230" s="66" t="s">
        <v>953</v>
      </c>
      <c r="D230" s="42" t="s">
        <v>954</v>
      </c>
      <c r="E230" s="43" t="s">
        <v>74</v>
      </c>
      <c r="F230" s="44" t="s">
        <v>74</v>
      </c>
      <c r="G230" s="133" t="s">
        <v>74</v>
      </c>
      <c r="H230" s="56" t="s">
        <v>43</v>
      </c>
      <c r="I230" s="66" t="s">
        <v>955</v>
      </c>
      <c r="J230" s="12"/>
      <c r="K230" s="12"/>
      <c r="L230" s="12"/>
      <c r="M230" s="12"/>
      <c r="N230" s="118"/>
      <c r="O230" s="118"/>
      <c r="P230" s="118"/>
    </row>
    <row r="231" spans="1:16" ht="25.5">
      <c r="A231" s="41">
        <v>374</v>
      </c>
      <c r="B231" s="66" t="s">
        <v>957</v>
      </c>
      <c r="C231" s="66" t="s">
        <v>958</v>
      </c>
      <c r="D231" s="66" t="s">
        <v>959</v>
      </c>
      <c r="E231" s="43"/>
      <c r="F231" s="44"/>
      <c r="G231" s="133"/>
      <c r="H231" s="56" t="s">
        <v>43</v>
      </c>
      <c r="I231" s="66" t="s">
        <v>960</v>
      </c>
      <c r="J231" s="12"/>
      <c r="K231" s="12"/>
      <c r="L231" s="12"/>
      <c r="M231" s="12"/>
      <c r="N231" s="118"/>
      <c r="O231" s="118"/>
      <c r="P231" s="118"/>
    </row>
    <row r="232" spans="1:16" ht="25.5">
      <c r="A232" s="41">
        <v>375</v>
      </c>
      <c r="B232" s="66" t="s">
        <v>961</v>
      </c>
      <c r="C232" s="66" t="s">
        <v>962</v>
      </c>
      <c r="D232" s="66" t="s">
        <v>963</v>
      </c>
      <c r="E232" s="43" t="s">
        <v>42</v>
      </c>
      <c r="F232" s="44" t="s">
        <v>42</v>
      </c>
      <c r="G232" s="133" t="s">
        <v>42</v>
      </c>
      <c r="H232" s="56" t="s">
        <v>43</v>
      </c>
      <c r="I232" s="66" t="s">
        <v>964</v>
      </c>
      <c r="J232" s="12"/>
      <c r="K232" s="12"/>
      <c r="L232" s="12"/>
      <c r="M232" s="12"/>
      <c r="N232" s="118"/>
      <c r="O232" s="118"/>
      <c r="P232" s="118"/>
    </row>
    <row r="233" spans="1:16" ht="51">
      <c r="A233" s="41">
        <v>376</v>
      </c>
      <c r="B233" s="66" t="s">
        <v>966</v>
      </c>
      <c r="C233" s="66" t="s">
        <v>967</v>
      </c>
      <c r="D233" s="66" t="s">
        <v>968</v>
      </c>
      <c r="E233" s="43"/>
      <c r="F233" s="131"/>
      <c r="G233" s="133"/>
      <c r="H233" s="56" t="s">
        <v>56</v>
      </c>
      <c r="I233" s="66" t="s">
        <v>969</v>
      </c>
      <c r="J233" s="12"/>
      <c r="K233" s="12"/>
      <c r="L233" s="12"/>
      <c r="M233" s="12"/>
      <c r="N233" s="118"/>
      <c r="O233" s="118"/>
      <c r="P233" s="118"/>
    </row>
    <row r="234" spans="1:16" ht="76.5">
      <c r="A234" s="41">
        <v>377</v>
      </c>
      <c r="B234" s="66" t="s">
        <v>970</v>
      </c>
      <c r="C234" s="66" t="s">
        <v>971</v>
      </c>
      <c r="D234" s="66" t="s">
        <v>972</v>
      </c>
      <c r="E234" s="43" t="s">
        <v>42</v>
      </c>
      <c r="F234" s="44" t="s">
        <v>42</v>
      </c>
      <c r="G234" s="133" t="s">
        <v>42</v>
      </c>
      <c r="H234" s="56" t="s">
        <v>43</v>
      </c>
      <c r="I234" s="66" t="s">
        <v>973</v>
      </c>
      <c r="J234" s="12"/>
      <c r="K234" s="12"/>
      <c r="L234" s="12"/>
      <c r="M234" s="12"/>
      <c r="N234" s="118"/>
      <c r="O234" s="118"/>
      <c r="P234" s="118"/>
    </row>
    <row r="235" spans="1:16" ht="25.5">
      <c r="A235" s="41">
        <v>378</v>
      </c>
      <c r="B235" s="66" t="s">
        <v>975</v>
      </c>
      <c r="C235" s="66" t="s">
        <v>976</v>
      </c>
      <c r="D235" s="66" t="s">
        <v>977</v>
      </c>
      <c r="E235" s="43" t="s">
        <v>42</v>
      </c>
      <c r="F235" s="44" t="s">
        <v>42</v>
      </c>
      <c r="G235" s="133" t="s">
        <v>42</v>
      </c>
      <c r="H235" s="56" t="s">
        <v>56</v>
      </c>
      <c r="I235" s="66" t="s">
        <v>978</v>
      </c>
      <c r="J235" s="12"/>
      <c r="K235" s="12"/>
      <c r="L235" s="12"/>
      <c r="M235" s="12"/>
      <c r="N235" s="118"/>
      <c r="O235" s="118"/>
      <c r="P235" s="118"/>
    </row>
    <row r="236" spans="1:16" ht="63.75">
      <c r="A236" s="41">
        <v>379</v>
      </c>
      <c r="B236" s="66" t="s">
        <v>979</v>
      </c>
      <c r="C236" s="66" t="s">
        <v>980</v>
      </c>
      <c r="D236" s="42" t="s">
        <v>981</v>
      </c>
      <c r="E236" s="43" t="s">
        <v>74</v>
      </c>
      <c r="F236" s="44" t="s">
        <v>74</v>
      </c>
      <c r="G236" s="133" t="s">
        <v>74</v>
      </c>
      <c r="H236" s="56" t="s">
        <v>43</v>
      </c>
      <c r="I236" s="66" t="s">
        <v>982</v>
      </c>
      <c r="J236" s="12"/>
      <c r="K236" s="12"/>
      <c r="L236" s="12"/>
      <c r="M236" s="12"/>
      <c r="N236" s="118"/>
      <c r="O236" s="118"/>
      <c r="P236" s="118"/>
    </row>
    <row r="237" spans="1:16" ht="51">
      <c r="A237" s="41">
        <v>381</v>
      </c>
      <c r="B237" s="66" t="s">
        <v>984</v>
      </c>
      <c r="C237" s="66" t="s">
        <v>985</v>
      </c>
      <c r="D237" s="66" t="s">
        <v>986</v>
      </c>
      <c r="E237" s="43" t="s">
        <v>42</v>
      </c>
      <c r="F237" s="44" t="s">
        <v>42</v>
      </c>
      <c r="G237" s="133" t="s">
        <v>42</v>
      </c>
      <c r="H237" s="56" t="s">
        <v>437</v>
      </c>
      <c r="I237" s="66" t="s">
        <v>987</v>
      </c>
      <c r="J237" s="12"/>
      <c r="K237" s="12"/>
      <c r="L237" s="12"/>
      <c r="M237" s="12"/>
      <c r="N237" s="118"/>
      <c r="O237" s="118"/>
      <c r="P237" s="118"/>
    </row>
    <row r="238" spans="1:16" ht="51">
      <c r="A238" s="41">
        <v>382</v>
      </c>
      <c r="B238" s="66" t="s">
        <v>989</v>
      </c>
      <c r="C238" s="66" t="s">
        <v>990</v>
      </c>
      <c r="D238" s="66" t="s">
        <v>991</v>
      </c>
      <c r="E238" s="43" t="s">
        <v>42</v>
      </c>
      <c r="F238" s="44" t="s">
        <v>42</v>
      </c>
      <c r="G238" s="133" t="s">
        <v>42</v>
      </c>
      <c r="H238" s="56" t="s">
        <v>437</v>
      </c>
      <c r="I238" s="75" t="s">
        <v>992</v>
      </c>
      <c r="J238" s="12"/>
      <c r="K238" s="12"/>
      <c r="L238" s="12"/>
      <c r="M238" s="12"/>
      <c r="N238" s="118"/>
      <c r="O238" s="118"/>
      <c r="P238" s="118"/>
    </row>
    <row r="239" spans="1:16" ht="76.5">
      <c r="A239" s="41">
        <v>383</v>
      </c>
      <c r="B239" s="66" t="s">
        <v>993</v>
      </c>
      <c r="C239" s="66" t="s">
        <v>994</v>
      </c>
      <c r="D239" s="66" t="s">
        <v>995</v>
      </c>
      <c r="E239" s="43" t="s">
        <v>74</v>
      </c>
      <c r="F239" s="44" t="s">
        <v>74</v>
      </c>
      <c r="G239" s="133" t="s">
        <v>74</v>
      </c>
      <c r="H239" s="56" t="s">
        <v>84</v>
      </c>
      <c r="I239" s="66"/>
      <c r="J239" s="12"/>
      <c r="K239" s="12"/>
      <c r="L239" s="12"/>
      <c r="M239" s="12"/>
      <c r="N239" s="118"/>
      <c r="O239" s="118"/>
      <c r="P239" s="118"/>
    </row>
    <row r="240" spans="1:16" ht="357">
      <c r="A240" s="41">
        <v>384</v>
      </c>
      <c r="B240" s="66" t="s">
        <v>996</v>
      </c>
      <c r="C240" s="66" t="s">
        <v>997</v>
      </c>
      <c r="D240" s="42" t="s">
        <v>998</v>
      </c>
      <c r="E240" s="43" t="s">
        <v>42</v>
      </c>
      <c r="F240" s="44" t="s">
        <v>42</v>
      </c>
      <c r="G240" s="133" t="s">
        <v>42</v>
      </c>
      <c r="H240" s="56" t="s">
        <v>43</v>
      </c>
      <c r="I240" s="76" t="s">
        <v>999</v>
      </c>
      <c r="J240" s="12"/>
      <c r="K240" s="12"/>
      <c r="L240" s="12"/>
      <c r="M240" s="12"/>
      <c r="N240" s="118"/>
      <c r="O240" s="118"/>
      <c r="P240" s="118"/>
    </row>
    <row r="241" spans="1:16" ht="255">
      <c r="A241" s="41">
        <v>385</v>
      </c>
      <c r="B241" s="66" t="s">
        <v>1001</v>
      </c>
      <c r="C241" s="66" t="s">
        <v>1002</v>
      </c>
      <c r="D241" s="42" t="s">
        <v>1003</v>
      </c>
      <c r="E241" s="43" t="s">
        <v>74</v>
      </c>
      <c r="F241" s="44"/>
      <c r="G241" s="133"/>
      <c r="H241" s="56" t="s">
        <v>43</v>
      </c>
      <c r="I241" s="76" t="s">
        <v>1004</v>
      </c>
      <c r="J241" s="12"/>
      <c r="K241" s="12"/>
      <c r="L241" s="12"/>
      <c r="M241" s="12"/>
      <c r="N241" s="118"/>
      <c r="O241" s="118"/>
      <c r="P241" s="118"/>
    </row>
    <row r="242" spans="1:16" ht="76.5">
      <c r="A242" s="41">
        <v>386</v>
      </c>
      <c r="B242" s="66" t="s">
        <v>1006</v>
      </c>
      <c r="C242" s="66" t="s">
        <v>1007</v>
      </c>
      <c r="D242" s="42" t="s">
        <v>1008</v>
      </c>
      <c r="E242" s="43" t="s">
        <v>74</v>
      </c>
      <c r="F242" s="44"/>
      <c r="G242" s="133"/>
      <c r="H242" s="56" t="s">
        <v>43</v>
      </c>
      <c r="I242" s="66" t="s">
        <v>1009</v>
      </c>
      <c r="J242" s="12"/>
      <c r="K242" s="12"/>
      <c r="L242" s="12"/>
      <c r="M242" s="12"/>
      <c r="N242" s="118"/>
      <c r="O242" s="118"/>
      <c r="P242" s="118"/>
    </row>
    <row r="243" spans="1:16" ht="38.25">
      <c r="A243" s="41">
        <v>387</v>
      </c>
      <c r="B243" s="66" t="s">
        <v>1011</v>
      </c>
      <c r="C243" s="66" t="s">
        <v>1012</v>
      </c>
      <c r="D243" s="66" t="s">
        <v>1013</v>
      </c>
      <c r="E243" s="43" t="s">
        <v>74</v>
      </c>
      <c r="F243" s="44"/>
      <c r="G243" s="133"/>
      <c r="H243" s="56" t="s">
        <v>43</v>
      </c>
      <c r="I243" s="66" t="s">
        <v>1014</v>
      </c>
      <c r="J243" s="12"/>
      <c r="K243" s="12"/>
      <c r="L243" s="12"/>
      <c r="M243" s="12"/>
      <c r="N243" s="118"/>
      <c r="O243" s="118"/>
      <c r="P243" s="118"/>
    </row>
    <row r="244" spans="1:16" ht="51">
      <c r="A244" s="41">
        <v>388</v>
      </c>
      <c r="B244" s="66" t="s">
        <v>1016</v>
      </c>
      <c r="C244" s="66" t="s">
        <v>1017</v>
      </c>
      <c r="D244" s="66" t="s">
        <v>1018</v>
      </c>
      <c r="E244" s="43"/>
      <c r="F244" s="44"/>
      <c r="G244" s="133" t="s">
        <v>74</v>
      </c>
      <c r="H244" s="56" t="s">
        <v>43</v>
      </c>
      <c r="I244" s="66" t="s">
        <v>1019</v>
      </c>
      <c r="J244" s="12"/>
      <c r="K244" s="12"/>
      <c r="L244" s="12"/>
      <c r="M244" s="12"/>
      <c r="N244" s="118"/>
      <c r="O244" s="118"/>
      <c r="P244" s="118"/>
    </row>
    <row r="245" spans="1:16" ht="38.25">
      <c r="A245" s="41">
        <v>389</v>
      </c>
      <c r="B245" s="66" t="s">
        <v>1021</v>
      </c>
      <c r="C245" s="66" t="s">
        <v>1022</v>
      </c>
      <c r="D245" s="42" t="s">
        <v>1023</v>
      </c>
      <c r="E245" s="43" t="s">
        <v>74</v>
      </c>
      <c r="F245" s="44"/>
      <c r="G245" s="133"/>
      <c r="H245" s="56" t="s">
        <v>43</v>
      </c>
      <c r="I245" s="66" t="s">
        <v>1024</v>
      </c>
      <c r="J245" s="12"/>
      <c r="K245" s="12"/>
      <c r="L245" s="12"/>
      <c r="M245" s="12"/>
      <c r="N245" s="118"/>
      <c r="O245" s="118"/>
      <c r="P245" s="118"/>
    </row>
    <row r="246" spans="1:16" ht="25.5">
      <c r="A246" s="41">
        <v>390</v>
      </c>
      <c r="B246" s="66" t="s">
        <v>1026</v>
      </c>
      <c r="C246" s="66" t="s">
        <v>1027</v>
      </c>
      <c r="D246" s="66" t="s">
        <v>1028</v>
      </c>
      <c r="E246" s="43" t="s">
        <v>74</v>
      </c>
      <c r="F246" s="44" t="s">
        <v>74</v>
      </c>
      <c r="G246" s="45" t="s">
        <v>74</v>
      </c>
      <c r="H246" s="56" t="s">
        <v>437</v>
      </c>
      <c r="I246" s="66" t="s">
        <v>1029</v>
      </c>
      <c r="J246" s="12"/>
      <c r="K246" s="12"/>
      <c r="L246" s="12"/>
      <c r="M246" s="12"/>
      <c r="N246" s="118"/>
      <c r="O246" s="118"/>
      <c r="P246" s="118"/>
    </row>
    <row r="247" spans="1:16" ht="140.25">
      <c r="A247" s="41">
        <v>391</v>
      </c>
      <c r="B247" s="66" t="s">
        <v>1031</v>
      </c>
      <c r="C247" s="66" t="s">
        <v>1032</v>
      </c>
      <c r="D247" s="42" t="s">
        <v>1033</v>
      </c>
      <c r="E247" s="43" t="s">
        <v>42</v>
      </c>
      <c r="F247" s="44" t="s">
        <v>42</v>
      </c>
      <c r="G247" s="45" t="s">
        <v>42</v>
      </c>
      <c r="H247" s="56" t="s">
        <v>43</v>
      </c>
      <c r="I247" s="54" t="s">
        <v>1034</v>
      </c>
      <c r="J247" s="12"/>
      <c r="K247" s="12"/>
      <c r="L247" s="12"/>
      <c r="M247" s="12"/>
      <c r="N247" s="118"/>
      <c r="O247" s="118"/>
      <c r="P247" s="118"/>
    </row>
    <row r="248" spans="1:16" ht="306">
      <c r="A248" s="41">
        <v>392</v>
      </c>
      <c r="B248" s="66" t="s">
        <v>1036</v>
      </c>
      <c r="C248" s="66" t="s">
        <v>1037</v>
      </c>
      <c r="D248" s="42" t="s">
        <v>1038</v>
      </c>
      <c r="E248" s="43" t="s">
        <v>42</v>
      </c>
      <c r="F248" s="44" t="s">
        <v>42</v>
      </c>
      <c r="G248" s="133" t="s">
        <v>42</v>
      </c>
      <c r="H248" s="56" t="s">
        <v>43</v>
      </c>
      <c r="I248" s="54" t="s">
        <v>1039</v>
      </c>
      <c r="J248" s="12"/>
      <c r="K248" s="12"/>
      <c r="L248" s="12"/>
      <c r="M248" s="12"/>
      <c r="N248" s="118"/>
      <c r="O248" s="118"/>
      <c r="P248" s="118"/>
    </row>
    <row r="249" spans="1:16" ht="25.5">
      <c r="A249" s="41">
        <v>394</v>
      </c>
      <c r="B249" s="66" t="s">
        <v>1041</v>
      </c>
      <c r="C249" s="66" t="s">
        <v>1042</v>
      </c>
      <c r="D249" s="66" t="s">
        <v>1043</v>
      </c>
      <c r="E249" s="43"/>
      <c r="F249" s="44" t="s">
        <v>42</v>
      </c>
      <c r="G249" s="133"/>
      <c r="H249" s="56" t="s">
        <v>86</v>
      </c>
      <c r="I249" s="54" t="s">
        <v>1044</v>
      </c>
      <c r="J249" s="12"/>
      <c r="K249" s="12"/>
      <c r="L249" s="12"/>
      <c r="M249" s="12"/>
      <c r="N249" s="118"/>
      <c r="O249" s="118"/>
      <c r="P249" s="118"/>
    </row>
    <row r="250" spans="1:16" ht="25.5">
      <c r="A250" s="41">
        <v>395</v>
      </c>
      <c r="B250" s="66" t="s">
        <v>1046</v>
      </c>
      <c r="C250" s="66" t="s">
        <v>1047</v>
      </c>
      <c r="D250" s="66" t="s">
        <v>1048</v>
      </c>
      <c r="E250" s="43"/>
      <c r="F250" s="44" t="s">
        <v>42</v>
      </c>
      <c r="G250" s="133"/>
      <c r="H250" s="56" t="s">
        <v>86</v>
      </c>
      <c r="I250" s="54" t="s">
        <v>1044</v>
      </c>
      <c r="J250" s="12"/>
      <c r="K250" s="12"/>
      <c r="L250" s="12"/>
      <c r="M250" s="12"/>
      <c r="N250" s="118"/>
      <c r="O250" s="118"/>
      <c r="P250" s="118"/>
    </row>
    <row r="251" spans="1:16" ht="25.5">
      <c r="A251" s="41">
        <v>396</v>
      </c>
      <c r="B251" s="66" t="s">
        <v>1050</v>
      </c>
      <c r="C251" s="66" t="s">
        <v>1051</v>
      </c>
      <c r="D251" s="66" t="s">
        <v>1052</v>
      </c>
      <c r="E251" s="43"/>
      <c r="F251" s="44" t="s">
        <v>42</v>
      </c>
      <c r="G251" s="133"/>
      <c r="H251" s="56" t="s">
        <v>86</v>
      </c>
      <c r="I251" s="54" t="s">
        <v>1044</v>
      </c>
      <c r="J251" s="12"/>
      <c r="K251" s="12"/>
      <c r="L251" s="12"/>
      <c r="M251" s="12"/>
      <c r="N251" s="118"/>
      <c r="O251" s="118"/>
      <c r="P251" s="118"/>
    </row>
    <row r="252" spans="1:16" ht="102">
      <c r="A252" s="41">
        <v>397</v>
      </c>
      <c r="B252" s="66" t="s">
        <v>1054</v>
      </c>
      <c r="C252" s="66" t="s">
        <v>1055</v>
      </c>
      <c r="D252" s="66" t="s">
        <v>1056</v>
      </c>
      <c r="E252" s="43" t="s">
        <v>74</v>
      </c>
      <c r="F252" s="44"/>
      <c r="G252" s="133"/>
      <c r="H252" s="56" t="s">
        <v>86</v>
      </c>
      <c r="I252" s="54" t="s">
        <v>1044</v>
      </c>
      <c r="J252" s="12"/>
      <c r="K252" s="12"/>
      <c r="L252" s="12"/>
      <c r="M252" s="12"/>
      <c r="N252" s="118"/>
      <c r="O252" s="118"/>
      <c r="P252" s="118"/>
    </row>
    <row r="253" spans="1:16" ht="25.5">
      <c r="A253" s="41">
        <v>398</v>
      </c>
      <c r="B253" s="66" t="s">
        <v>1058</v>
      </c>
      <c r="C253" s="66" t="s">
        <v>1059</v>
      </c>
      <c r="D253" s="66" t="s">
        <v>1060</v>
      </c>
      <c r="E253" s="43"/>
      <c r="F253" s="44"/>
      <c r="G253" s="133"/>
      <c r="H253" s="56" t="s">
        <v>86</v>
      </c>
      <c r="I253" s="54" t="s">
        <v>1044</v>
      </c>
      <c r="J253" s="12"/>
      <c r="K253" s="12"/>
      <c r="L253" s="12"/>
      <c r="M253" s="12"/>
      <c r="N253" s="118"/>
      <c r="O253" s="118"/>
      <c r="P253" s="118"/>
    </row>
    <row r="254" spans="1:16" ht="242.25">
      <c r="A254" s="41">
        <v>399</v>
      </c>
      <c r="B254" s="66" t="s">
        <v>1062</v>
      </c>
      <c r="C254" s="66" t="s">
        <v>1063</v>
      </c>
      <c r="D254" s="66" t="s">
        <v>1064</v>
      </c>
      <c r="E254" s="43"/>
      <c r="F254" s="44" t="s">
        <v>42</v>
      </c>
      <c r="G254" s="133"/>
      <c r="H254" s="56" t="s">
        <v>43</v>
      </c>
      <c r="I254" s="54" t="s">
        <v>1065</v>
      </c>
      <c r="J254" s="12"/>
      <c r="K254" s="12"/>
      <c r="L254" s="12"/>
      <c r="M254" s="12"/>
      <c r="N254" s="118"/>
      <c r="O254" s="118"/>
      <c r="P254" s="118"/>
    </row>
    <row r="255" spans="1:16" ht="51">
      <c r="A255" s="41">
        <v>400</v>
      </c>
      <c r="B255" s="66" t="s">
        <v>1067</v>
      </c>
      <c r="C255" s="66" t="s">
        <v>1068</v>
      </c>
      <c r="D255" s="66" t="s">
        <v>1069</v>
      </c>
      <c r="E255" s="43"/>
      <c r="F255" s="44" t="s">
        <v>74</v>
      </c>
      <c r="G255" s="133"/>
      <c r="H255" s="56" t="s">
        <v>43</v>
      </c>
      <c r="I255" s="54" t="s">
        <v>1070</v>
      </c>
      <c r="J255" s="12"/>
      <c r="K255" s="12"/>
      <c r="L255" s="12"/>
      <c r="M255" s="12"/>
      <c r="N255" s="118"/>
      <c r="O255" s="118"/>
      <c r="P255" s="118"/>
    </row>
    <row r="256" spans="1:16" ht="51">
      <c r="A256" s="41">
        <v>401</v>
      </c>
      <c r="B256" s="66" t="s">
        <v>1072</v>
      </c>
      <c r="C256" s="66" t="s">
        <v>1073</v>
      </c>
      <c r="D256" s="66" t="s">
        <v>1074</v>
      </c>
      <c r="E256" s="43"/>
      <c r="F256" s="131" t="s">
        <v>42</v>
      </c>
      <c r="G256" s="133"/>
      <c r="H256" s="56" t="s">
        <v>43</v>
      </c>
      <c r="I256" s="54" t="s">
        <v>1075</v>
      </c>
      <c r="J256" s="12"/>
      <c r="K256" s="12"/>
      <c r="L256" s="12"/>
      <c r="M256" s="12"/>
      <c r="N256" s="118"/>
      <c r="O256" s="118"/>
      <c r="P256" s="118"/>
    </row>
    <row r="257" spans="1:16" ht="127.5">
      <c r="A257" s="41">
        <v>402</v>
      </c>
      <c r="B257" s="66" t="s">
        <v>1077</v>
      </c>
      <c r="C257" s="66" t="s">
        <v>1078</v>
      </c>
      <c r="D257" s="66" t="s">
        <v>1079</v>
      </c>
      <c r="E257" s="43" t="s">
        <v>74</v>
      </c>
      <c r="F257" s="44" t="s">
        <v>74</v>
      </c>
      <c r="G257" s="133"/>
      <c r="H257" s="56" t="s">
        <v>457</v>
      </c>
      <c r="I257" s="54" t="s">
        <v>1080</v>
      </c>
      <c r="J257" s="12"/>
      <c r="K257" s="12"/>
      <c r="L257" s="12"/>
      <c r="M257" s="12"/>
      <c r="N257" s="118"/>
      <c r="O257" s="118"/>
      <c r="P257" s="118"/>
    </row>
    <row r="258" spans="1:16" ht="76.5">
      <c r="A258" s="41">
        <v>403</v>
      </c>
      <c r="B258" s="66" t="s">
        <v>1082</v>
      </c>
      <c r="C258" s="66" t="s">
        <v>1083</v>
      </c>
      <c r="D258" s="42" t="s">
        <v>1084</v>
      </c>
      <c r="E258" s="43"/>
      <c r="F258" s="131"/>
      <c r="G258" s="133"/>
      <c r="H258" s="56" t="s">
        <v>86</v>
      </c>
      <c r="I258" s="54" t="s">
        <v>1085</v>
      </c>
      <c r="J258" s="12"/>
      <c r="K258" s="12"/>
      <c r="L258" s="12"/>
      <c r="M258" s="12"/>
      <c r="N258" s="118"/>
      <c r="O258" s="118"/>
      <c r="P258" s="118"/>
    </row>
    <row r="259" spans="1:16" ht="114.75">
      <c r="A259" s="41">
        <v>404</v>
      </c>
      <c r="B259" s="66" t="s">
        <v>1086</v>
      </c>
      <c r="C259" s="66" t="s">
        <v>1087</v>
      </c>
      <c r="D259" s="42" t="s">
        <v>1088</v>
      </c>
      <c r="E259" s="43"/>
      <c r="F259" s="131"/>
      <c r="G259" s="133"/>
      <c r="H259" s="56" t="s">
        <v>43</v>
      </c>
      <c r="I259" s="54" t="s">
        <v>1089</v>
      </c>
      <c r="J259" s="12"/>
      <c r="K259" s="12"/>
      <c r="L259" s="12"/>
      <c r="M259" s="12"/>
      <c r="N259" s="118"/>
      <c r="O259" s="118"/>
      <c r="P259" s="118"/>
    </row>
    <row r="260" spans="1:16" ht="38.25">
      <c r="A260" s="41">
        <v>405</v>
      </c>
      <c r="B260" s="66" t="s">
        <v>1091</v>
      </c>
      <c r="C260" s="66" t="s">
        <v>1092</v>
      </c>
      <c r="D260" s="66" t="s">
        <v>1093</v>
      </c>
      <c r="E260" s="43" t="s">
        <v>74</v>
      </c>
      <c r="F260" s="64" t="s">
        <v>74</v>
      </c>
      <c r="G260" s="133"/>
      <c r="H260" s="56" t="s">
        <v>86</v>
      </c>
      <c r="I260" s="54" t="s">
        <v>1085</v>
      </c>
      <c r="J260" s="12"/>
      <c r="K260" s="12"/>
      <c r="L260" s="12"/>
      <c r="M260" s="12"/>
      <c r="N260" s="118"/>
      <c r="O260" s="118"/>
      <c r="P260" s="118"/>
    </row>
    <row r="261" spans="1:16" ht="63.75">
      <c r="A261" s="41">
        <v>406</v>
      </c>
      <c r="B261" s="66" t="s">
        <v>1094</v>
      </c>
      <c r="C261" s="66" t="s">
        <v>1095</v>
      </c>
      <c r="D261" s="66" t="s">
        <v>1096</v>
      </c>
      <c r="E261" s="43"/>
      <c r="F261" s="44" t="s">
        <v>74</v>
      </c>
      <c r="G261" s="133"/>
      <c r="H261" s="56" t="s">
        <v>43</v>
      </c>
      <c r="I261" s="54" t="s">
        <v>1097</v>
      </c>
      <c r="J261" s="12"/>
      <c r="K261" s="12"/>
      <c r="L261" s="12"/>
      <c r="M261" s="12"/>
      <c r="N261" s="118"/>
      <c r="O261" s="118"/>
      <c r="P261" s="118"/>
    </row>
    <row r="262" spans="1:16" ht="102">
      <c r="A262" s="41">
        <v>407</v>
      </c>
      <c r="B262" s="66" t="s">
        <v>1099</v>
      </c>
      <c r="C262" s="66" t="s">
        <v>1100</v>
      </c>
      <c r="D262" s="66" t="s">
        <v>1101</v>
      </c>
      <c r="E262" s="43" t="s">
        <v>42</v>
      </c>
      <c r="F262" s="44" t="s">
        <v>42</v>
      </c>
      <c r="G262" s="133" t="s">
        <v>42</v>
      </c>
      <c r="H262" s="56" t="s">
        <v>43</v>
      </c>
      <c r="I262" s="54" t="s">
        <v>1102</v>
      </c>
      <c r="J262" s="12"/>
      <c r="K262" s="12"/>
      <c r="L262" s="12"/>
      <c r="M262" s="12"/>
      <c r="N262" s="118"/>
      <c r="O262" s="118"/>
      <c r="P262" s="118"/>
    </row>
    <row r="263" spans="1:16" ht="216.75">
      <c r="A263" s="41">
        <v>408</v>
      </c>
      <c r="B263" s="66" t="s">
        <v>1104</v>
      </c>
      <c r="C263" s="66" t="s">
        <v>1105</v>
      </c>
      <c r="D263" s="66" t="s">
        <v>1106</v>
      </c>
      <c r="E263" s="126"/>
      <c r="F263" s="131"/>
      <c r="G263" s="133"/>
      <c r="H263" s="56" t="s">
        <v>457</v>
      </c>
      <c r="I263" s="54" t="s">
        <v>1108</v>
      </c>
      <c r="J263" s="12"/>
      <c r="K263" s="12"/>
      <c r="L263" s="12"/>
      <c r="M263" s="12"/>
      <c r="N263" s="118"/>
      <c r="O263" s="118"/>
      <c r="P263" s="118"/>
    </row>
    <row r="264" spans="1:16" ht="63.75">
      <c r="A264" s="41">
        <v>409</v>
      </c>
      <c r="B264" s="66" t="s">
        <v>1110</v>
      </c>
      <c r="C264" s="66" t="s">
        <v>1111</v>
      </c>
      <c r="D264" s="66" t="s">
        <v>1112</v>
      </c>
      <c r="E264" s="43"/>
      <c r="F264" s="44"/>
      <c r="G264" s="133"/>
      <c r="H264" s="56" t="s">
        <v>43</v>
      </c>
      <c r="I264" s="54" t="s">
        <v>1113</v>
      </c>
      <c r="J264" s="12"/>
      <c r="K264" s="12"/>
      <c r="L264" s="12"/>
      <c r="M264" s="12"/>
      <c r="N264" s="118"/>
      <c r="O264" s="118"/>
      <c r="P264" s="118"/>
    </row>
    <row r="265" spans="1:16" ht="127.5">
      <c r="A265" s="41">
        <v>411</v>
      </c>
      <c r="B265" s="66" t="s">
        <v>1115</v>
      </c>
      <c r="C265" s="66" t="s">
        <v>1116</v>
      </c>
      <c r="D265" s="66" t="s">
        <v>1117</v>
      </c>
      <c r="E265" s="43"/>
      <c r="F265" s="44"/>
      <c r="G265" s="133"/>
      <c r="H265" s="56" t="s">
        <v>43</v>
      </c>
      <c r="I265" s="54" t="s">
        <v>1118</v>
      </c>
      <c r="J265" s="12"/>
      <c r="K265" s="12"/>
      <c r="L265" s="12"/>
      <c r="M265" s="12"/>
      <c r="N265" s="118"/>
      <c r="O265" s="118"/>
      <c r="P265" s="118"/>
    </row>
    <row r="266" spans="1:16" ht="51">
      <c r="A266" s="41">
        <v>412</v>
      </c>
      <c r="B266" s="66" t="s">
        <v>1120</v>
      </c>
      <c r="C266" s="66" t="s">
        <v>1121</v>
      </c>
      <c r="D266" s="66" t="s">
        <v>1122</v>
      </c>
      <c r="E266" s="43"/>
      <c r="F266" s="44"/>
      <c r="G266" s="133"/>
      <c r="H266" s="56" t="s">
        <v>86</v>
      </c>
      <c r="I266" s="54" t="s">
        <v>1085</v>
      </c>
      <c r="J266" s="12"/>
      <c r="K266" s="12"/>
      <c r="L266" s="12"/>
      <c r="M266" s="12"/>
      <c r="N266" s="118"/>
      <c r="O266" s="118"/>
      <c r="P266" s="118"/>
    </row>
    <row r="267" spans="1:16" ht="38.25">
      <c r="A267" s="41">
        <v>413</v>
      </c>
      <c r="B267" s="66" t="s">
        <v>1124</v>
      </c>
      <c r="C267" s="66" t="s">
        <v>1125</v>
      </c>
      <c r="D267" s="66" t="s">
        <v>1126</v>
      </c>
      <c r="E267" s="43"/>
      <c r="F267" s="44"/>
      <c r="G267" s="133" t="s">
        <v>42</v>
      </c>
      <c r="H267" s="56" t="s">
        <v>86</v>
      </c>
      <c r="I267" s="54" t="s">
        <v>1127</v>
      </c>
      <c r="J267" s="12"/>
      <c r="K267" s="12"/>
      <c r="L267" s="12"/>
      <c r="M267" s="12"/>
      <c r="N267" s="118"/>
      <c r="O267" s="118"/>
      <c r="P267" s="118"/>
    </row>
    <row r="268" spans="1:16" ht="140.25">
      <c r="A268" s="41">
        <v>417</v>
      </c>
      <c r="B268" s="66" t="s">
        <v>1128</v>
      </c>
      <c r="C268" s="66" t="s">
        <v>1129</v>
      </c>
      <c r="D268" s="42" t="s">
        <v>1130</v>
      </c>
      <c r="E268" s="43" t="s">
        <v>42</v>
      </c>
      <c r="F268" s="44" t="s">
        <v>42</v>
      </c>
      <c r="G268" s="133"/>
      <c r="H268" s="56" t="s">
        <v>84</v>
      </c>
      <c r="I268" s="66" t="s">
        <v>1131</v>
      </c>
      <c r="J268" s="12"/>
      <c r="K268" s="12"/>
      <c r="L268" s="12"/>
      <c r="M268" s="12"/>
      <c r="N268" s="118"/>
      <c r="O268" s="118"/>
      <c r="P268" s="118"/>
    </row>
    <row r="269" spans="1:16" ht="25.5">
      <c r="A269" s="41">
        <v>418</v>
      </c>
      <c r="B269" s="66" t="s">
        <v>1133</v>
      </c>
      <c r="C269" s="66" t="s">
        <v>1134</v>
      </c>
      <c r="D269" s="42" t="s">
        <v>1135</v>
      </c>
      <c r="E269" s="43" t="s">
        <v>42</v>
      </c>
      <c r="F269" s="131" t="s">
        <v>42</v>
      </c>
      <c r="G269" s="133"/>
      <c r="H269" s="56" t="s">
        <v>84</v>
      </c>
      <c r="I269" s="66" t="s">
        <v>1131</v>
      </c>
      <c r="J269" s="12"/>
      <c r="K269" s="12"/>
      <c r="L269" s="12"/>
      <c r="M269" s="12"/>
      <c r="N269" s="118"/>
      <c r="O269" s="118"/>
      <c r="P269" s="118"/>
    </row>
    <row r="270" spans="1:16" ht="76.5">
      <c r="A270" s="41">
        <v>419</v>
      </c>
      <c r="B270" s="66" t="s">
        <v>1137</v>
      </c>
      <c r="C270" s="66" t="s">
        <v>1138</v>
      </c>
      <c r="D270" s="42" t="s">
        <v>1139</v>
      </c>
      <c r="E270" s="43" t="s">
        <v>42</v>
      </c>
      <c r="F270" s="131"/>
      <c r="G270" s="133"/>
      <c r="H270" s="56" t="s">
        <v>84</v>
      </c>
      <c r="I270" s="66" t="s">
        <v>1131</v>
      </c>
      <c r="J270" s="12"/>
      <c r="K270" s="12"/>
      <c r="L270" s="12"/>
      <c r="M270" s="12"/>
      <c r="N270" s="118"/>
      <c r="O270" s="118"/>
      <c r="P270" s="118"/>
    </row>
    <row r="271" spans="1:16" ht="102">
      <c r="A271" s="41">
        <v>420</v>
      </c>
      <c r="B271" s="66" t="s">
        <v>1141</v>
      </c>
      <c r="C271" s="66" t="s">
        <v>1142</v>
      </c>
      <c r="D271" s="66" t="s">
        <v>1143</v>
      </c>
      <c r="E271" s="43" t="s">
        <v>42</v>
      </c>
      <c r="F271" s="131" t="s">
        <v>42</v>
      </c>
      <c r="G271" s="133"/>
      <c r="H271" s="56" t="s">
        <v>84</v>
      </c>
      <c r="I271" s="66" t="s">
        <v>1131</v>
      </c>
      <c r="J271" s="12"/>
      <c r="K271" s="12"/>
      <c r="L271" s="12"/>
      <c r="M271" s="12"/>
      <c r="N271" s="118"/>
      <c r="O271" s="118"/>
      <c r="P271" s="118"/>
    </row>
    <row r="272" spans="1:16" ht="127.5">
      <c r="A272" s="41">
        <v>422</v>
      </c>
      <c r="B272" s="66" t="s">
        <v>1145</v>
      </c>
      <c r="C272" s="66" t="s">
        <v>1146</v>
      </c>
      <c r="D272" s="66" t="s">
        <v>1147</v>
      </c>
      <c r="E272" s="43" t="s">
        <v>42</v>
      </c>
      <c r="F272" s="44" t="s">
        <v>42</v>
      </c>
      <c r="G272" s="133"/>
      <c r="H272" s="56" t="s">
        <v>84</v>
      </c>
      <c r="I272" s="66" t="s">
        <v>1131</v>
      </c>
      <c r="J272" s="12"/>
      <c r="K272" s="12"/>
      <c r="L272" s="12"/>
      <c r="M272" s="12"/>
      <c r="N272" s="118"/>
      <c r="O272" s="118"/>
      <c r="P272" s="118"/>
    </row>
    <row r="273" spans="1:16" ht="25.5">
      <c r="A273" s="41">
        <v>423</v>
      </c>
      <c r="B273" s="66" t="s">
        <v>1149</v>
      </c>
      <c r="C273" s="66" t="s">
        <v>1150</v>
      </c>
      <c r="D273" s="66" t="s">
        <v>1151</v>
      </c>
      <c r="E273" s="43"/>
      <c r="F273" s="131"/>
      <c r="G273" s="133"/>
      <c r="H273" s="56" t="s">
        <v>84</v>
      </c>
      <c r="I273" s="66" t="s">
        <v>1131</v>
      </c>
      <c r="J273" s="12"/>
      <c r="K273" s="12"/>
      <c r="L273" s="12"/>
      <c r="M273" s="12"/>
      <c r="N273" s="118"/>
      <c r="O273" s="118"/>
      <c r="P273" s="118"/>
    </row>
    <row r="274" spans="1:16" ht="38.25">
      <c r="A274" s="41">
        <v>424</v>
      </c>
      <c r="B274" s="66" t="s">
        <v>1153</v>
      </c>
      <c r="C274" s="66" t="s">
        <v>1092</v>
      </c>
      <c r="D274" s="66" t="s">
        <v>1154</v>
      </c>
      <c r="E274" s="43" t="s">
        <v>42</v>
      </c>
      <c r="F274" s="131" t="s">
        <v>42</v>
      </c>
      <c r="G274" s="133"/>
      <c r="H274" s="56" t="s">
        <v>84</v>
      </c>
      <c r="I274" s="66" t="s">
        <v>1131</v>
      </c>
      <c r="J274" s="12"/>
      <c r="K274" s="12"/>
      <c r="L274" s="12"/>
      <c r="M274" s="12"/>
      <c r="N274" s="118"/>
      <c r="O274" s="118"/>
      <c r="P274" s="118"/>
    </row>
    <row r="275" spans="1:16" ht="89.25">
      <c r="A275" s="41">
        <v>425</v>
      </c>
      <c r="B275" s="66" t="s">
        <v>1156</v>
      </c>
      <c r="C275" s="66" t="s">
        <v>1157</v>
      </c>
      <c r="D275" s="66" t="s">
        <v>1158</v>
      </c>
      <c r="E275" s="43" t="s">
        <v>42</v>
      </c>
      <c r="F275" s="131"/>
      <c r="G275" s="133"/>
      <c r="H275" s="56" t="s">
        <v>84</v>
      </c>
      <c r="I275" s="66" t="s">
        <v>1131</v>
      </c>
      <c r="J275" s="12"/>
      <c r="K275" s="12"/>
      <c r="L275" s="12"/>
      <c r="M275" s="12"/>
      <c r="N275" s="118"/>
      <c r="O275" s="118"/>
      <c r="P275" s="118"/>
    </row>
    <row r="276" spans="1:16" ht="38.25">
      <c r="A276" s="41">
        <v>426</v>
      </c>
      <c r="B276" s="66" t="s">
        <v>1161</v>
      </c>
      <c r="C276" s="66" t="s">
        <v>1162</v>
      </c>
      <c r="D276" s="66" t="s">
        <v>1163</v>
      </c>
      <c r="E276" s="126"/>
      <c r="F276" s="131"/>
      <c r="G276" s="133"/>
      <c r="H276" s="56" t="s">
        <v>84</v>
      </c>
      <c r="I276" s="66" t="s">
        <v>1131</v>
      </c>
      <c r="J276" s="12"/>
      <c r="K276" s="12"/>
      <c r="L276" s="12"/>
      <c r="M276" s="12"/>
      <c r="N276" s="118"/>
      <c r="O276" s="118"/>
      <c r="P276" s="118"/>
    </row>
    <row r="277" spans="1:16" ht="25.5">
      <c r="A277" s="41">
        <v>427</v>
      </c>
      <c r="B277" s="66" t="s">
        <v>1165</v>
      </c>
      <c r="C277" s="66" t="s">
        <v>1166</v>
      </c>
      <c r="D277" s="66" t="s">
        <v>1167</v>
      </c>
      <c r="E277" s="126"/>
      <c r="F277" s="131"/>
      <c r="G277" s="133"/>
      <c r="H277" s="56" t="s">
        <v>84</v>
      </c>
      <c r="I277" s="66" t="s">
        <v>1131</v>
      </c>
      <c r="J277" s="12"/>
      <c r="K277" s="12"/>
      <c r="L277" s="12"/>
      <c r="M277" s="12"/>
      <c r="N277" s="118"/>
      <c r="O277" s="118"/>
      <c r="P277" s="118"/>
    </row>
    <row r="278" spans="1:16" ht="76.5">
      <c r="A278" s="41">
        <v>428</v>
      </c>
      <c r="B278" s="66" t="s">
        <v>1169</v>
      </c>
      <c r="C278" s="66" t="s">
        <v>1170</v>
      </c>
      <c r="D278" s="42" t="s">
        <v>1171</v>
      </c>
      <c r="E278" s="126"/>
      <c r="F278" s="131"/>
      <c r="G278" s="133"/>
      <c r="H278" s="56" t="s">
        <v>84</v>
      </c>
      <c r="I278" s="66" t="s">
        <v>1131</v>
      </c>
      <c r="J278" s="12"/>
      <c r="K278" s="12"/>
      <c r="L278" s="12"/>
      <c r="M278" s="12"/>
      <c r="N278" s="118"/>
      <c r="O278" s="118"/>
      <c r="P278" s="118"/>
    </row>
    <row r="279" spans="1:16" ht="51">
      <c r="A279" s="41">
        <v>431</v>
      </c>
      <c r="B279" s="66" t="s">
        <v>1173</v>
      </c>
      <c r="C279" s="66" t="s">
        <v>1174</v>
      </c>
      <c r="D279" s="42" t="s">
        <v>1175</v>
      </c>
      <c r="E279" s="43" t="s">
        <v>42</v>
      </c>
      <c r="F279" s="131" t="s">
        <v>42</v>
      </c>
      <c r="G279" s="133"/>
      <c r="H279" s="56" t="s">
        <v>84</v>
      </c>
      <c r="I279" s="66" t="s">
        <v>1131</v>
      </c>
      <c r="J279" s="12"/>
      <c r="K279" s="12"/>
      <c r="L279" s="12"/>
      <c r="M279" s="12"/>
      <c r="N279" s="118"/>
      <c r="O279" s="118"/>
      <c r="P279" s="118"/>
    </row>
    <row r="280" spans="1:16" ht="38.25">
      <c r="A280" s="41">
        <v>432</v>
      </c>
      <c r="B280" s="66" t="s">
        <v>1177</v>
      </c>
      <c r="C280" s="66" t="s">
        <v>1178</v>
      </c>
      <c r="D280" s="66" t="s">
        <v>1179</v>
      </c>
      <c r="E280" s="43"/>
      <c r="F280" s="131" t="s">
        <v>42</v>
      </c>
      <c r="G280" s="133"/>
      <c r="H280" s="56" t="s">
        <v>84</v>
      </c>
      <c r="I280" s="66" t="s">
        <v>1131</v>
      </c>
      <c r="J280" s="12"/>
      <c r="K280" s="12"/>
      <c r="L280" s="12"/>
      <c r="M280" s="12"/>
      <c r="N280" s="118"/>
      <c r="O280" s="118"/>
      <c r="P280" s="118"/>
    </row>
    <row r="281" spans="1:16" ht="153">
      <c r="A281" s="41">
        <v>434</v>
      </c>
      <c r="B281" s="66" t="s">
        <v>1181</v>
      </c>
      <c r="C281" s="66" t="s">
        <v>1182</v>
      </c>
      <c r="D281" s="42" t="s">
        <v>1183</v>
      </c>
      <c r="E281" s="43"/>
      <c r="F281" s="131"/>
      <c r="G281" s="133"/>
      <c r="H281" s="56" t="s">
        <v>86</v>
      </c>
      <c r="I281" s="54" t="s">
        <v>1127</v>
      </c>
      <c r="J281" s="12"/>
      <c r="K281" s="12"/>
      <c r="L281" s="12"/>
      <c r="M281" s="12"/>
      <c r="N281" s="118"/>
      <c r="O281" s="118"/>
      <c r="P281" s="118"/>
    </row>
    <row r="282" spans="1:16" ht="25.5">
      <c r="A282" s="41">
        <v>435</v>
      </c>
      <c r="B282" s="66" t="s">
        <v>1185</v>
      </c>
      <c r="C282" s="66" t="s">
        <v>1186</v>
      </c>
      <c r="D282" s="66" t="s">
        <v>1187</v>
      </c>
      <c r="E282" s="43"/>
      <c r="F282" s="131"/>
      <c r="G282" s="133"/>
      <c r="H282" s="56" t="s">
        <v>86</v>
      </c>
      <c r="I282" s="54" t="s">
        <v>1127</v>
      </c>
      <c r="J282" s="12"/>
      <c r="K282" s="12"/>
      <c r="L282" s="12"/>
      <c r="M282" s="12"/>
      <c r="N282" s="118"/>
      <c r="O282" s="118"/>
      <c r="P282" s="118"/>
    </row>
    <row r="283" spans="1:16" ht="38.25">
      <c r="A283" s="41">
        <v>436</v>
      </c>
      <c r="B283" s="66" t="s">
        <v>1189</v>
      </c>
      <c r="C283" s="66" t="s">
        <v>1166</v>
      </c>
      <c r="D283" s="42" t="s">
        <v>1190</v>
      </c>
      <c r="E283" s="43"/>
      <c r="F283" s="131"/>
      <c r="G283" s="133"/>
      <c r="H283" s="56" t="s">
        <v>86</v>
      </c>
      <c r="I283" s="54" t="s">
        <v>1127</v>
      </c>
      <c r="J283" s="12"/>
      <c r="K283" s="12"/>
      <c r="L283" s="12"/>
      <c r="M283" s="12"/>
      <c r="N283" s="118"/>
      <c r="O283" s="118"/>
      <c r="P283" s="118"/>
    </row>
    <row r="284" spans="1:16" ht="38.25">
      <c r="A284" s="41">
        <v>438</v>
      </c>
      <c r="B284" s="66" t="s">
        <v>1192</v>
      </c>
      <c r="C284" s="66" t="s">
        <v>1193</v>
      </c>
      <c r="D284" s="66" t="s">
        <v>1194</v>
      </c>
      <c r="E284" s="43"/>
      <c r="F284" s="131"/>
      <c r="G284" s="133"/>
      <c r="H284" s="56" t="s">
        <v>86</v>
      </c>
      <c r="I284" s="54" t="s">
        <v>1127</v>
      </c>
      <c r="J284" s="12"/>
      <c r="K284" s="12"/>
      <c r="L284" s="12"/>
      <c r="M284" s="12"/>
      <c r="N284" s="118"/>
      <c r="O284" s="118"/>
      <c r="P284" s="118"/>
    </row>
    <row r="285" spans="1:16" ht="153">
      <c r="A285" s="41">
        <v>439</v>
      </c>
      <c r="B285" s="66" t="s">
        <v>1196</v>
      </c>
      <c r="C285" s="66" t="s">
        <v>1197</v>
      </c>
      <c r="D285" s="42" t="s">
        <v>1198</v>
      </c>
      <c r="E285" s="43" t="s">
        <v>42</v>
      </c>
      <c r="F285" s="44" t="s">
        <v>42</v>
      </c>
      <c r="G285" s="45" t="s">
        <v>42</v>
      </c>
      <c r="H285" s="56" t="s">
        <v>86</v>
      </c>
      <c r="I285" s="54" t="s">
        <v>1199</v>
      </c>
      <c r="J285" s="12"/>
      <c r="K285" s="12"/>
      <c r="L285" s="12"/>
      <c r="M285" s="12"/>
      <c r="N285" s="118"/>
      <c r="O285" s="118"/>
      <c r="P285" s="118"/>
    </row>
    <row r="286" spans="1:16" ht="102">
      <c r="A286" s="41">
        <v>440</v>
      </c>
      <c r="B286" s="66" t="s">
        <v>1201</v>
      </c>
      <c r="C286" s="66" t="s">
        <v>1202</v>
      </c>
      <c r="D286" s="66" t="s">
        <v>1203</v>
      </c>
      <c r="E286" s="43" t="s">
        <v>42</v>
      </c>
      <c r="F286" s="44" t="s">
        <v>42</v>
      </c>
      <c r="G286" s="45" t="s">
        <v>42</v>
      </c>
      <c r="H286" s="56" t="s">
        <v>86</v>
      </c>
      <c r="I286" s="54" t="s">
        <v>1199</v>
      </c>
      <c r="J286" s="12"/>
      <c r="K286" s="12"/>
      <c r="L286" s="12"/>
      <c r="M286" s="12"/>
      <c r="N286" s="118"/>
      <c r="O286" s="118"/>
      <c r="P286" s="118"/>
    </row>
    <row r="287" spans="1:16" ht="51">
      <c r="A287" s="41">
        <v>443</v>
      </c>
      <c r="B287" s="66" t="s">
        <v>1205</v>
      </c>
      <c r="C287" s="66" t="s">
        <v>1206</v>
      </c>
      <c r="D287" s="66" t="s">
        <v>1207</v>
      </c>
      <c r="E287" s="126"/>
      <c r="F287" s="131"/>
      <c r="G287" s="133"/>
      <c r="H287" s="56" t="s">
        <v>86</v>
      </c>
      <c r="I287" s="54" t="s">
        <v>1199</v>
      </c>
      <c r="J287" s="12"/>
      <c r="K287" s="12"/>
      <c r="L287" s="12"/>
      <c r="M287" s="12"/>
      <c r="N287" s="118"/>
      <c r="O287" s="118"/>
      <c r="P287" s="118"/>
    </row>
    <row r="288" spans="1:16" ht="191.25">
      <c r="A288" s="41">
        <v>444</v>
      </c>
      <c r="B288" s="66" t="s">
        <v>1209</v>
      </c>
      <c r="C288" s="66" t="s">
        <v>1210</v>
      </c>
      <c r="D288" s="42" t="s">
        <v>1211</v>
      </c>
      <c r="E288" s="43" t="s">
        <v>42</v>
      </c>
      <c r="F288" s="44" t="s">
        <v>42</v>
      </c>
      <c r="G288" s="133" t="s">
        <v>42</v>
      </c>
      <c r="H288" s="56" t="s">
        <v>86</v>
      </c>
      <c r="I288" s="54" t="s">
        <v>1199</v>
      </c>
      <c r="J288" s="12"/>
      <c r="K288" s="12"/>
      <c r="L288" s="12"/>
      <c r="M288" s="12"/>
      <c r="N288" s="118"/>
      <c r="O288" s="118"/>
      <c r="P288" s="118"/>
    </row>
    <row r="289" spans="1:16" ht="38.25">
      <c r="A289" s="41">
        <v>445</v>
      </c>
      <c r="B289" s="66" t="s">
        <v>1213</v>
      </c>
      <c r="C289" s="66" t="s">
        <v>1214</v>
      </c>
      <c r="D289" s="42" t="s">
        <v>1215</v>
      </c>
      <c r="E289" s="43" t="s">
        <v>74</v>
      </c>
      <c r="F289" s="131" t="s">
        <v>74</v>
      </c>
      <c r="G289" s="133"/>
      <c r="H289" s="56" t="s">
        <v>86</v>
      </c>
      <c r="I289" s="54" t="s">
        <v>1199</v>
      </c>
      <c r="J289" s="12"/>
      <c r="K289" s="12"/>
      <c r="L289" s="12"/>
      <c r="M289" s="12"/>
      <c r="N289" s="118"/>
      <c r="O289" s="118"/>
      <c r="P289" s="118"/>
    </row>
    <row r="290" spans="1:16" ht="51">
      <c r="A290" s="41">
        <v>446</v>
      </c>
      <c r="B290" s="66" t="s">
        <v>1217</v>
      </c>
      <c r="C290" s="66" t="s">
        <v>1218</v>
      </c>
      <c r="D290" s="42" t="s">
        <v>1219</v>
      </c>
      <c r="E290" s="126"/>
      <c r="F290" s="131"/>
      <c r="G290" s="133"/>
      <c r="H290" s="56" t="s">
        <v>86</v>
      </c>
      <c r="I290" s="54" t="s">
        <v>1199</v>
      </c>
      <c r="J290" s="12"/>
      <c r="K290" s="12"/>
      <c r="L290" s="12"/>
      <c r="M290" s="12"/>
      <c r="N290" s="118"/>
      <c r="O290" s="118"/>
      <c r="P290" s="118"/>
    </row>
    <row r="291" spans="1:16" ht="38.25">
      <c r="A291" s="41">
        <v>447</v>
      </c>
      <c r="B291" s="66" t="s">
        <v>1221</v>
      </c>
      <c r="C291" s="66" t="s">
        <v>1222</v>
      </c>
      <c r="D291" s="66" t="s">
        <v>1223</v>
      </c>
      <c r="E291" s="126"/>
      <c r="F291" s="131"/>
      <c r="G291" s="133"/>
      <c r="H291" s="56" t="s">
        <v>86</v>
      </c>
      <c r="I291" s="54" t="s">
        <v>1199</v>
      </c>
      <c r="J291" s="12"/>
      <c r="K291" s="12"/>
      <c r="L291" s="12"/>
      <c r="M291" s="12"/>
      <c r="N291" s="118"/>
      <c r="O291" s="118"/>
      <c r="P291" s="118"/>
    </row>
    <row r="292" spans="1:16" ht="63.75">
      <c r="A292" s="41">
        <v>451</v>
      </c>
      <c r="B292" s="66" t="s">
        <v>1225</v>
      </c>
      <c r="C292" s="66" t="s">
        <v>1226</v>
      </c>
      <c r="D292" s="42" t="s">
        <v>1227</v>
      </c>
      <c r="E292" s="43" t="s">
        <v>42</v>
      </c>
      <c r="F292" s="131" t="s">
        <v>42</v>
      </c>
      <c r="G292" s="133"/>
      <c r="H292" s="56" t="s">
        <v>86</v>
      </c>
      <c r="I292" s="54" t="s">
        <v>1199</v>
      </c>
      <c r="J292" s="12"/>
      <c r="K292" s="12"/>
      <c r="L292" s="12"/>
      <c r="M292" s="12"/>
      <c r="N292" s="118"/>
      <c r="O292" s="118"/>
      <c r="P292" s="118"/>
    </row>
    <row r="293" spans="1:16" ht="25.5">
      <c r="A293" s="41">
        <v>452</v>
      </c>
      <c r="B293" s="66" t="s">
        <v>1229</v>
      </c>
      <c r="C293" s="66" t="s">
        <v>1230</v>
      </c>
      <c r="D293" s="66" t="s">
        <v>1231</v>
      </c>
      <c r="E293" s="43" t="s">
        <v>42</v>
      </c>
      <c r="F293" s="131"/>
      <c r="G293" s="133"/>
      <c r="H293" s="56" t="s">
        <v>86</v>
      </c>
      <c r="I293" s="54" t="s">
        <v>1199</v>
      </c>
      <c r="J293" s="12"/>
      <c r="K293" s="12"/>
      <c r="L293" s="12"/>
      <c r="M293" s="12"/>
      <c r="N293" s="118"/>
      <c r="O293" s="118"/>
      <c r="P293" s="118"/>
    </row>
    <row r="294" spans="1:16" ht="51">
      <c r="A294" s="41">
        <v>454</v>
      </c>
      <c r="B294" s="66" t="s">
        <v>1233</v>
      </c>
      <c r="C294" s="66" t="s">
        <v>1234</v>
      </c>
      <c r="D294" s="66" t="s">
        <v>1235</v>
      </c>
      <c r="E294" s="43"/>
      <c r="F294" s="44"/>
      <c r="G294" s="133"/>
      <c r="H294" s="56" t="s">
        <v>86</v>
      </c>
      <c r="I294" s="54" t="s">
        <v>1199</v>
      </c>
      <c r="J294" s="12"/>
      <c r="K294" s="12"/>
      <c r="L294" s="12"/>
      <c r="M294" s="12"/>
      <c r="N294" s="118"/>
      <c r="O294" s="118"/>
      <c r="P294" s="118"/>
    </row>
    <row r="295" spans="1:16" ht="51">
      <c r="A295" s="41">
        <v>455</v>
      </c>
      <c r="B295" s="66" t="s">
        <v>1237</v>
      </c>
      <c r="C295" s="66" t="s">
        <v>1238</v>
      </c>
      <c r="D295" s="66" t="s">
        <v>1239</v>
      </c>
      <c r="E295" s="43"/>
      <c r="F295" s="44"/>
      <c r="G295" s="133"/>
      <c r="H295" s="56" t="s">
        <v>86</v>
      </c>
      <c r="I295" s="54" t="s">
        <v>1199</v>
      </c>
      <c r="J295" s="12"/>
      <c r="K295" s="12"/>
      <c r="L295" s="12"/>
      <c r="M295" s="12"/>
      <c r="N295" s="118"/>
      <c r="O295" s="118"/>
      <c r="P295" s="118"/>
    </row>
    <row r="296" spans="1:16" ht="89.25">
      <c r="A296" s="41">
        <v>456</v>
      </c>
      <c r="B296" s="66" t="s">
        <v>1241</v>
      </c>
      <c r="C296" s="66" t="s">
        <v>1242</v>
      </c>
      <c r="D296" s="42" t="s">
        <v>1243</v>
      </c>
      <c r="E296" s="43" t="s">
        <v>42</v>
      </c>
      <c r="F296" s="44" t="s">
        <v>42</v>
      </c>
      <c r="G296" s="133" t="s">
        <v>42</v>
      </c>
      <c r="H296" s="56" t="s">
        <v>86</v>
      </c>
      <c r="I296" s="54" t="s">
        <v>1199</v>
      </c>
      <c r="J296" s="12"/>
      <c r="K296" s="12"/>
      <c r="L296" s="12"/>
      <c r="M296" s="12"/>
      <c r="N296" s="118"/>
      <c r="O296" s="118"/>
      <c r="P296" s="118"/>
    </row>
    <row r="297" spans="1:16" ht="38.25">
      <c r="A297" s="41">
        <v>457</v>
      </c>
      <c r="B297" s="66" t="s">
        <v>1245</v>
      </c>
      <c r="C297" s="66" t="s">
        <v>1246</v>
      </c>
      <c r="D297" s="66" t="s">
        <v>1247</v>
      </c>
      <c r="E297" s="43" t="s">
        <v>42</v>
      </c>
      <c r="F297" s="131" t="s">
        <v>42</v>
      </c>
      <c r="G297" s="133" t="s">
        <v>42</v>
      </c>
      <c r="H297" s="56" t="s">
        <v>86</v>
      </c>
      <c r="I297" s="54" t="s">
        <v>1199</v>
      </c>
      <c r="J297" s="12"/>
      <c r="K297" s="12"/>
      <c r="L297" s="12"/>
      <c r="M297" s="12"/>
      <c r="N297" s="118"/>
      <c r="O297" s="118"/>
      <c r="P297" s="118"/>
    </row>
    <row r="298" spans="1:16" ht="51">
      <c r="A298" s="41">
        <v>458</v>
      </c>
      <c r="B298" s="66" t="s">
        <v>1249</v>
      </c>
      <c r="C298" s="66" t="s">
        <v>1250</v>
      </c>
      <c r="D298" s="66" t="s">
        <v>1251</v>
      </c>
      <c r="E298" s="43"/>
      <c r="F298" s="131"/>
      <c r="G298" s="133"/>
      <c r="H298" s="56" t="s">
        <v>86</v>
      </c>
      <c r="I298" s="54" t="s">
        <v>1199</v>
      </c>
      <c r="J298" s="12"/>
      <c r="K298" s="12"/>
      <c r="L298" s="12"/>
      <c r="M298" s="12"/>
      <c r="N298" s="118"/>
      <c r="O298" s="118"/>
      <c r="P298" s="118"/>
    </row>
    <row r="299" spans="1:16" ht="38.25">
      <c r="A299" s="41">
        <v>459</v>
      </c>
      <c r="B299" s="66" t="s">
        <v>1253</v>
      </c>
      <c r="C299" s="66" t="s">
        <v>1254</v>
      </c>
      <c r="D299" s="66" t="s">
        <v>1255</v>
      </c>
      <c r="E299" s="43"/>
      <c r="F299" s="44"/>
      <c r="G299" s="133"/>
      <c r="H299" s="56" t="s">
        <v>86</v>
      </c>
      <c r="I299" s="54" t="s">
        <v>1199</v>
      </c>
      <c r="J299" s="12"/>
      <c r="K299" s="12"/>
      <c r="L299" s="12"/>
      <c r="M299" s="12"/>
      <c r="N299" s="118"/>
      <c r="O299" s="118"/>
      <c r="P299" s="118"/>
    </row>
    <row r="300" spans="1:16" ht="51">
      <c r="A300" s="41">
        <v>460</v>
      </c>
      <c r="B300" s="66" t="s">
        <v>1257</v>
      </c>
      <c r="C300" s="66" t="s">
        <v>1258</v>
      </c>
      <c r="D300" s="42" t="s">
        <v>1259</v>
      </c>
      <c r="E300" s="43"/>
      <c r="F300" s="44"/>
      <c r="G300" s="133"/>
      <c r="H300" s="56" t="s">
        <v>86</v>
      </c>
      <c r="I300" s="54" t="s">
        <v>1199</v>
      </c>
      <c r="J300" s="12"/>
      <c r="K300" s="12"/>
      <c r="L300" s="12"/>
      <c r="M300" s="12"/>
      <c r="N300" s="118"/>
      <c r="O300" s="118"/>
      <c r="P300" s="118"/>
    </row>
    <row r="301" spans="1:16" ht="51">
      <c r="A301" s="41">
        <v>461</v>
      </c>
      <c r="B301" s="66" t="s">
        <v>1261</v>
      </c>
      <c r="C301" s="66" t="s">
        <v>1262</v>
      </c>
      <c r="D301" s="66" t="s">
        <v>1263</v>
      </c>
      <c r="E301" s="43" t="s">
        <v>42</v>
      </c>
      <c r="F301" s="44" t="s">
        <v>42</v>
      </c>
      <c r="G301" s="133" t="s">
        <v>42</v>
      </c>
      <c r="H301" s="56" t="s">
        <v>86</v>
      </c>
      <c r="I301" s="54" t="s">
        <v>1199</v>
      </c>
      <c r="J301" s="12"/>
      <c r="K301" s="12"/>
      <c r="L301" s="12"/>
      <c r="M301" s="12"/>
      <c r="N301" s="118"/>
      <c r="O301" s="118"/>
      <c r="P301" s="118"/>
    </row>
    <row r="302" spans="1:16" ht="25.5">
      <c r="A302" s="41">
        <v>463</v>
      </c>
      <c r="B302" s="66" t="s">
        <v>1265</v>
      </c>
      <c r="C302" s="66" t="s">
        <v>1266</v>
      </c>
      <c r="D302" s="66" t="s">
        <v>1267</v>
      </c>
      <c r="E302" s="43"/>
      <c r="F302" s="131"/>
      <c r="G302" s="133" t="s">
        <v>42</v>
      </c>
      <c r="H302" s="56" t="s">
        <v>86</v>
      </c>
      <c r="I302" s="54" t="s">
        <v>1199</v>
      </c>
      <c r="J302" s="12"/>
      <c r="K302" s="12"/>
      <c r="L302" s="12"/>
      <c r="M302" s="12"/>
      <c r="N302" s="118"/>
      <c r="O302" s="118"/>
      <c r="P302" s="118"/>
    </row>
    <row r="303" spans="1:16" ht="89.25">
      <c r="A303" s="41">
        <v>466</v>
      </c>
      <c r="B303" s="66" t="s">
        <v>1268</v>
      </c>
      <c r="C303" s="66" t="s">
        <v>1269</v>
      </c>
      <c r="D303" s="66" t="s">
        <v>1270</v>
      </c>
      <c r="E303" s="43"/>
      <c r="F303" s="131"/>
      <c r="G303" s="133" t="s">
        <v>42</v>
      </c>
      <c r="H303" s="56" t="s">
        <v>86</v>
      </c>
      <c r="I303" s="54" t="s">
        <v>1199</v>
      </c>
      <c r="J303" s="12"/>
      <c r="K303" s="12"/>
      <c r="L303" s="12"/>
      <c r="M303" s="12"/>
      <c r="N303" s="118"/>
      <c r="O303" s="118"/>
      <c r="P303" s="118"/>
    </row>
    <row r="304" spans="1:16" ht="51">
      <c r="A304" s="41">
        <v>467</v>
      </c>
      <c r="B304" s="66" t="s">
        <v>1271</v>
      </c>
      <c r="C304" s="66" t="s">
        <v>1272</v>
      </c>
      <c r="D304" s="66" t="s">
        <v>1273</v>
      </c>
      <c r="E304" s="43"/>
      <c r="F304" s="131"/>
      <c r="G304" s="133" t="s">
        <v>42</v>
      </c>
      <c r="H304" s="56" t="s">
        <v>86</v>
      </c>
      <c r="I304" s="54" t="s">
        <v>1199</v>
      </c>
      <c r="J304" s="12"/>
      <c r="K304" s="12"/>
      <c r="L304" s="12"/>
      <c r="M304" s="12"/>
      <c r="N304" s="118"/>
      <c r="O304" s="118"/>
      <c r="P304" s="118"/>
    </row>
    <row r="305" spans="1:16" ht="51">
      <c r="A305" s="41">
        <v>470</v>
      </c>
      <c r="B305" s="66" t="s">
        <v>1274</v>
      </c>
      <c r="C305" s="66" t="s">
        <v>1275</v>
      </c>
      <c r="D305" s="66" t="s">
        <v>1276</v>
      </c>
      <c r="E305" s="43"/>
      <c r="F305" s="131"/>
      <c r="G305" s="133" t="s">
        <v>42</v>
      </c>
      <c r="H305" s="56" t="s">
        <v>86</v>
      </c>
      <c r="I305" s="54" t="s">
        <v>1199</v>
      </c>
      <c r="J305" s="12"/>
      <c r="K305" s="12"/>
      <c r="L305" s="12"/>
      <c r="M305" s="12"/>
      <c r="N305" s="118"/>
      <c r="O305" s="118"/>
      <c r="P305" s="118"/>
    </row>
    <row r="306" spans="1:16" ht="38.25">
      <c r="A306" s="41">
        <v>472</v>
      </c>
      <c r="B306" s="66" t="s">
        <v>1277</v>
      </c>
      <c r="C306" s="66" t="s">
        <v>1278</v>
      </c>
      <c r="D306" s="66" t="s">
        <v>1279</v>
      </c>
      <c r="E306" s="43"/>
      <c r="F306" s="131"/>
      <c r="G306" s="133" t="s">
        <v>42</v>
      </c>
      <c r="H306" s="56" t="s">
        <v>86</v>
      </c>
      <c r="I306" s="54" t="s">
        <v>1199</v>
      </c>
      <c r="J306" s="12"/>
      <c r="K306" s="12"/>
      <c r="L306" s="12"/>
      <c r="M306" s="12"/>
      <c r="N306" s="118"/>
      <c r="O306" s="118"/>
      <c r="P306" s="118"/>
    </row>
    <row r="307" spans="1:16" ht="25.5">
      <c r="A307" s="41">
        <v>475</v>
      </c>
      <c r="B307" s="66" t="s">
        <v>1280</v>
      </c>
      <c r="C307" s="66" t="s">
        <v>1281</v>
      </c>
      <c r="D307" s="66" t="s">
        <v>1282</v>
      </c>
      <c r="E307" s="43"/>
      <c r="F307" s="131"/>
      <c r="G307" s="133" t="s">
        <v>42</v>
      </c>
      <c r="H307" s="56" t="s">
        <v>86</v>
      </c>
      <c r="I307" s="54" t="s">
        <v>1199</v>
      </c>
      <c r="J307" s="12"/>
      <c r="K307" s="12"/>
      <c r="L307" s="12"/>
      <c r="M307" s="12"/>
      <c r="N307" s="118"/>
      <c r="O307" s="118"/>
      <c r="P307" s="118"/>
    </row>
    <row r="308" spans="1:16" ht="63.75">
      <c r="A308" s="41">
        <v>477</v>
      </c>
      <c r="B308" s="66" t="s">
        <v>1283</v>
      </c>
      <c r="C308" s="66" t="s">
        <v>1284</v>
      </c>
      <c r="D308" s="42" t="s">
        <v>1285</v>
      </c>
      <c r="E308" s="43"/>
      <c r="F308" s="131"/>
      <c r="G308" s="133" t="s">
        <v>42</v>
      </c>
      <c r="H308" s="56" t="s">
        <v>86</v>
      </c>
      <c r="I308" s="54" t="s">
        <v>1199</v>
      </c>
      <c r="J308" s="12"/>
      <c r="K308" s="12"/>
      <c r="L308" s="12"/>
      <c r="M308" s="12"/>
      <c r="N308" s="118"/>
      <c r="O308" s="118"/>
      <c r="P308" s="118"/>
    </row>
    <row r="309" spans="1:16" ht="38.25">
      <c r="A309" s="41">
        <v>480</v>
      </c>
      <c r="B309" s="66" t="s">
        <v>1286</v>
      </c>
      <c r="C309" s="66" t="s">
        <v>1287</v>
      </c>
      <c r="D309" s="66" t="s">
        <v>1288</v>
      </c>
      <c r="E309" s="43"/>
      <c r="F309" s="131"/>
      <c r="G309" s="133" t="s">
        <v>42</v>
      </c>
      <c r="H309" s="56" t="s">
        <v>86</v>
      </c>
      <c r="I309" s="54" t="s">
        <v>1199</v>
      </c>
      <c r="J309" s="12"/>
      <c r="K309" s="12"/>
      <c r="L309" s="12"/>
      <c r="M309" s="12"/>
      <c r="N309" s="118"/>
      <c r="O309" s="118"/>
      <c r="P309" s="118"/>
    </row>
    <row r="310" spans="1:16" ht="38.25">
      <c r="A310" s="41">
        <v>482</v>
      </c>
      <c r="B310" s="66" t="s">
        <v>1289</v>
      </c>
      <c r="C310" s="66" t="s">
        <v>1290</v>
      </c>
      <c r="D310" s="66" t="s">
        <v>1291</v>
      </c>
      <c r="E310" s="43" t="s">
        <v>42</v>
      </c>
      <c r="F310" s="131" t="s">
        <v>42</v>
      </c>
      <c r="G310" s="133" t="s">
        <v>42</v>
      </c>
      <c r="H310" s="56" t="s">
        <v>86</v>
      </c>
      <c r="I310" s="54" t="s">
        <v>1199</v>
      </c>
      <c r="J310" s="12"/>
      <c r="K310" s="12"/>
      <c r="L310" s="12"/>
      <c r="M310" s="12"/>
      <c r="N310" s="118"/>
      <c r="O310" s="118"/>
      <c r="P310" s="118"/>
    </row>
    <row r="311" spans="1:16" ht="89.25">
      <c r="A311" s="41">
        <v>483</v>
      </c>
      <c r="B311" s="66" t="s">
        <v>1293</v>
      </c>
      <c r="C311" s="66" t="s">
        <v>1294</v>
      </c>
      <c r="D311" s="42" t="s">
        <v>1295</v>
      </c>
      <c r="E311" s="43" t="s">
        <v>42</v>
      </c>
      <c r="F311" s="131" t="s">
        <v>42</v>
      </c>
      <c r="G311" s="133" t="s">
        <v>42</v>
      </c>
      <c r="H311" s="56" t="s">
        <v>86</v>
      </c>
      <c r="I311" s="54" t="s">
        <v>1199</v>
      </c>
      <c r="J311" s="12"/>
      <c r="K311" s="12"/>
      <c r="L311" s="12"/>
      <c r="M311" s="12"/>
      <c r="N311" s="118"/>
      <c r="O311" s="118"/>
      <c r="P311" s="118"/>
    </row>
    <row r="312" spans="1:16" ht="51">
      <c r="A312" s="41">
        <v>484</v>
      </c>
      <c r="B312" s="66" t="s">
        <v>1297</v>
      </c>
      <c r="C312" s="66" t="s">
        <v>1298</v>
      </c>
      <c r="D312" s="66" t="s">
        <v>1299</v>
      </c>
      <c r="E312" s="43"/>
      <c r="F312" s="131"/>
      <c r="G312" s="133"/>
      <c r="H312" s="56" t="s">
        <v>86</v>
      </c>
      <c r="I312" s="54" t="s">
        <v>1199</v>
      </c>
      <c r="J312" s="12"/>
      <c r="K312" s="12"/>
      <c r="L312" s="12"/>
      <c r="M312" s="12"/>
      <c r="N312" s="118"/>
      <c r="O312" s="118"/>
      <c r="P312" s="118"/>
    </row>
    <row r="313" spans="1:16" ht="25.5">
      <c r="A313" s="41">
        <v>486</v>
      </c>
      <c r="B313" s="66" t="s">
        <v>1301</v>
      </c>
      <c r="C313" s="66" t="s">
        <v>1302</v>
      </c>
      <c r="D313" s="66" t="s">
        <v>1303</v>
      </c>
      <c r="E313" s="126"/>
      <c r="F313" s="131"/>
      <c r="G313" s="133"/>
      <c r="H313" s="56" t="s">
        <v>86</v>
      </c>
      <c r="I313" s="54" t="s">
        <v>1199</v>
      </c>
      <c r="J313" s="12"/>
      <c r="K313" s="12"/>
      <c r="L313" s="12"/>
      <c r="M313" s="12"/>
      <c r="N313" s="118"/>
      <c r="O313" s="118"/>
      <c r="P313" s="118"/>
    </row>
    <row r="314" spans="1:16" ht="51">
      <c r="A314" s="41">
        <v>487</v>
      </c>
      <c r="B314" s="66" t="s">
        <v>1305</v>
      </c>
      <c r="C314" s="66" t="s">
        <v>1306</v>
      </c>
      <c r="D314" s="66" t="s">
        <v>1307</v>
      </c>
      <c r="E314" s="126"/>
      <c r="F314" s="131"/>
      <c r="G314" s="133"/>
      <c r="H314" s="56" t="s">
        <v>86</v>
      </c>
      <c r="I314" s="54" t="s">
        <v>1199</v>
      </c>
      <c r="J314" s="12"/>
      <c r="K314" s="12"/>
      <c r="L314" s="12"/>
      <c r="M314" s="12"/>
      <c r="N314" s="118"/>
      <c r="O314" s="118"/>
      <c r="P314" s="118"/>
    </row>
    <row r="315" spans="1:16" ht="140.25">
      <c r="A315" s="41">
        <v>489</v>
      </c>
      <c r="B315" s="66" t="s">
        <v>1309</v>
      </c>
      <c r="C315" s="66" t="s">
        <v>1310</v>
      </c>
      <c r="D315" s="42" t="s">
        <v>1311</v>
      </c>
      <c r="E315" s="43" t="s">
        <v>42</v>
      </c>
      <c r="F315" s="44" t="s">
        <v>42</v>
      </c>
      <c r="G315" s="45" t="s">
        <v>42</v>
      </c>
      <c r="H315" s="56" t="s">
        <v>43</v>
      </c>
      <c r="I315" s="54" t="s">
        <v>1312</v>
      </c>
      <c r="J315" s="12"/>
      <c r="K315" s="12"/>
      <c r="L315" s="12"/>
      <c r="M315" s="12"/>
      <c r="N315" s="118"/>
      <c r="O315" s="118"/>
      <c r="P315" s="118"/>
    </row>
    <row r="316" spans="1:16" ht="331.5">
      <c r="A316" s="41">
        <v>490</v>
      </c>
      <c r="B316" s="66" t="s">
        <v>1314</v>
      </c>
      <c r="C316" s="66" t="s">
        <v>1315</v>
      </c>
      <c r="D316" s="42" t="s">
        <v>1316</v>
      </c>
      <c r="E316" s="43" t="s">
        <v>42</v>
      </c>
      <c r="F316" s="44" t="s">
        <v>42</v>
      </c>
      <c r="G316" s="133" t="s">
        <v>42</v>
      </c>
      <c r="H316" s="56" t="s">
        <v>43</v>
      </c>
      <c r="I316" s="76" t="s">
        <v>1317</v>
      </c>
      <c r="J316" s="12"/>
      <c r="K316" s="12"/>
      <c r="L316" s="12"/>
      <c r="M316" s="12"/>
      <c r="N316" s="118"/>
      <c r="O316" s="118"/>
      <c r="P316" s="118"/>
    </row>
    <row r="317" spans="1:16" ht="51">
      <c r="A317" s="41">
        <v>491</v>
      </c>
      <c r="B317" s="66" t="s">
        <v>1319</v>
      </c>
      <c r="C317" s="66" t="s">
        <v>1320</v>
      </c>
      <c r="D317" s="42" t="s">
        <v>1321</v>
      </c>
      <c r="E317" s="43" t="s">
        <v>42</v>
      </c>
      <c r="F317" s="44" t="s">
        <v>42</v>
      </c>
      <c r="G317" s="133" t="s">
        <v>42</v>
      </c>
      <c r="H317" s="56" t="s">
        <v>43</v>
      </c>
      <c r="I317" s="54" t="s">
        <v>1322</v>
      </c>
      <c r="J317" s="12"/>
      <c r="K317" s="12"/>
      <c r="L317" s="12"/>
      <c r="M317" s="12"/>
      <c r="N317" s="118"/>
      <c r="O317" s="118"/>
      <c r="P317" s="118"/>
    </row>
    <row r="318" spans="1:16" ht="130.5" customHeight="1">
      <c r="A318" s="41">
        <v>492</v>
      </c>
      <c r="B318" s="66" t="s">
        <v>1324</v>
      </c>
      <c r="C318" s="66" t="s">
        <v>1325</v>
      </c>
      <c r="D318" s="66" t="s">
        <v>1326</v>
      </c>
      <c r="E318" s="43" t="s">
        <v>42</v>
      </c>
      <c r="F318" s="44" t="s">
        <v>42</v>
      </c>
      <c r="G318" s="133" t="s">
        <v>42</v>
      </c>
      <c r="H318" s="56" t="s">
        <v>43</v>
      </c>
      <c r="I318" s="54" t="s">
        <v>1327</v>
      </c>
      <c r="J318" s="12"/>
      <c r="K318" s="12"/>
      <c r="L318" s="12"/>
      <c r="M318" s="12"/>
      <c r="N318" s="118"/>
      <c r="O318" s="118"/>
      <c r="P318" s="118"/>
    </row>
    <row r="319" spans="1:16" ht="38.25">
      <c r="A319" s="41">
        <v>493</v>
      </c>
      <c r="B319" s="66" t="s">
        <v>1329</v>
      </c>
      <c r="C319" s="66" t="s">
        <v>1330</v>
      </c>
      <c r="D319" s="66" t="s">
        <v>1331</v>
      </c>
      <c r="E319" s="43" t="s">
        <v>42</v>
      </c>
      <c r="F319" s="131"/>
      <c r="G319" s="133"/>
      <c r="H319" s="56" t="s">
        <v>43</v>
      </c>
      <c r="I319" s="76" t="s">
        <v>1332</v>
      </c>
      <c r="J319" s="12"/>
      <c r="K319" s="12"/>
      <c r="L319" s="12"/>
      <c r="M319" s="12"/>
      <c r="N319" s="118"/>
      <c r="O319" s="118"/>
      <c r="P319" s="118"/>
    </row>
    <row r="320" spans="1:16" ht="204">
      <c r="A320" s="41">
        <v>495</v>
      </c>
      <c r="B320" s="66" t="s">
        <v>1334</v>
      </c>
      <c r="C320" s="66" t="s">
        <v>1335</v>
      </c>
      <c r="D320" s="66" t="s">
        <v>1336</v>
      </c>
      <c r="E320" s="43" t="s">
        <v>42</v>
      </c>
      <c r="F320" s="44" t="s">
        <v>42</v>
      </c>
      <c r="G320" s="133" t="s">
        <v>42</v>
      </c>
      <c r="H320" s="56" t="s">
        <v>43</v>
      </c>
      <c r="I320" s="54"/>
      <c r="J320" s="12"/>
      <c r="K320" s="12"/>
      <c r="L320" s="12"/>
      <c r="M320" s="12"/>
      <c r="N320" s="118"/>
      <c r="O320" s="118"/>
      <c r="P320" s="118"/>
    </row>
    <row r="321" spans="1:16" ht="89.25">
      <c r="A321" s="41">
        <v>496</v>
      </c>
      <c r="B321" s="66" t="s">
        <v>1338</v>
      </c>
      <c r="C321" s="66" t="s">
        <v>1339</v>
      </c>
      <c r="D321" s="42" t="s">
        <v>1340</v>
      </c>
      <c r="E321" s="43" t="s">
        <v>74</v>
      </c>
      <c r="F321" s="44" t="s">
        <v>74</v>
      </c>
      <c r="G321" s="133" t="s">
        <v>74</v>
      </c>
      <c r="H321" s="56" t="s">
        <v>43</v>
      </c>
      <c r="I321" s="54"/>
      <c r="J321" s="12"/>
      <c r="K321" s="12"/>
      <c r="L321" s="12"/>
      <c r="M321" s="12"/>
      <c r="N321" s="118"/>
      <c r="O321" s="118"/>
      <c r="P321" s="118"/>
    </row>
    <row r="322" spans="1:16" ht="38.25">
      <c r="A322" s="41">
        <v>497</v>
      </c>
      <c r="B322" s="66" t="s">
        <v>1342</v>
      </c>
      <c r="C322" s="66" t="s">
        <v>1343</v>
      </c>
      <c r="D322" s="42" t="s">
        <v>1344</v>
      </c>
      <c r="E322" s="43" t="s">
        <v>74</v>
      </c>
      <c r="F322" s="44" t="s">
        <v>74</v>
      </c>
      <c r="G322" s="133" t="s">
        <v>74</v>
      </c>
      <c r="H322" s="56" t="s">
        <v>43</v>
      </c>
      <c r="I322" s="54"/>
      <c r="J322" s="12"/>
      <c r="K322" s="12"/>
      <c r="L322" s="12"/>
      <c r="M322" s="12"/>
      <c r="N322" s="118"/>
      <c r="O322" s="118"/>
      <c r="P322" s="118"/>
    </row>
    <row r="323" spans="1:16" ht="140.25">
      <c r="A323" s="41">
        <v>499</v>
      </c>
      <c r="B323" s="66" t="s">
        <v>1345</v>
      </c>
      <c r="C323" s="66" t="s">
        <v>1346</v>
      </c>
      <c r="D323" s="42" t="s">
        <v>1347</v>
      </c>
      <c r="E323" s="43" t="s">
        <v>42</v>
      </c>
      <c r="F323" s="44" t="s">
        <v>42</v>
      </c>
      <c r="G323" s="45" t="s">
        <v>42</v>
      </c>
      <c r="H323" s="56" t="s">
        <v>43</v>
      </c>
      <c r="I323" s="54" t="s">
        <v>1348</v>
      </c>
      <c r="J323" s="12"/>
      <c r="K323" s="12"/>
      <c r="L323" s="12"/>
      <c r="M323" s="12"/>
      <c r="N323" s="118"/>
      <c r="O323" s="118"/>
      <c r="P323" s="118"/>
    </row>
    <row r="324" spans="1:16" ht="63.75">
      <c r="A324" s="41">
        <v>500</v>
      </c>
      <c r="B324" s="66" t="s">
        <v>1350</v>
      </c>
      <c r="C324" s="66" t="s">
        <v>1351</v>
      </c>
      <c r="D324" s="66" t="s">
        <v>1352</v>
      </c>
      <c r="E324" s="43" t="s">
        <v>42</v>
      </c>
      <c r="F324" s="44" t="s">
        <v>42</v>
      </c>
      <c r="G324" s="45" t="s">
        <v>42</v>
      </c>
      <c r="H324" s="56" t="s">
        <v>43</v>
      </c>
      <c r="I324" s="66"/>
      <c r="J324" s="12"/>
      <c r="K324" s="12"/>
      <c r="L324" s="12"/>
      <c r="M324" s="12"/>
      <c r="N324" s="118"/>
      <c r="O324" s="118"/>
      <c r="P324" s="118"/>
    </row>
    <row r="325" spans="1:16" ht="63.75">
      <c r="A325" s="41">
        <v>501</v>
      </c>
      <c r="B325" s="66" t="s">
        <v>1353</v>
      </c>
      <c r="C325" s="66" t="s">
        <v>1354</v>
      </c>
      <c r="D325" s="42" t="s">
        <v>1355</v>
      </c>
      <c r="E325" s="43" t="s">
        <v>42</v>
      </c>
      <c r="F325" s="44" t="s">
        <v>42</v>
      </c>
      <c r="G325" s="133"/>
      <c r="H325" s="56" t="s">
        <v>43</v>
      </c>
      <c r="I325" s="66" t="s">
        <v>1356</v>
      </c>
      <c r="J325" s="12"/>
      <c r="K325" s="12"/>
      <c r="L325" s="12"/>
      <c r="M325" s="12"/>
      <c r="N325" s="118"/>
      <c r="O325" s="118"/>
      <c r="P325" s="118"/>
    </row>
    <row r="326" spans="1:16" ht="76.5">
      <c r="A326" s="41">
        <v>502</v>
      </c>
      <c r="B326" s="66" t="s">
        <v>1358</v>
      </c>
      <c r="C326" s="66" t="s">
        <v>1193</v>
      </c>
      <c r="D326" s="66" t="s">
        <v>1359</v>
      </c>
      <c r="E326" s="126"/>
      <c r="F326" s="131"/>
      <c r="G326" s="133"/>
      <c r="H326" s="56" t="s">
        <v>43</v>
      </c>
      <c r="I326" s="66" t="s">
        <v>1360</v>
      </c>
      <c r="J326" s="12"/>
      <c r="K326" s="12"/>
      <c r="L326" s="12"/>
      <c r="M326" s="12"/>
      <c r="N326" s="118"/>
      <c r="O326" s="118"/>
      <c r="P326" s="118"/>
    </row>
    <row r="327" spans="1:16" ht="76.5">
      <c r="A327" s="41">
        <v>503</v>
      </c>
      <c r="B327" s="66" t="s">
        <v>1362</v>
      </c>
      <c r="C327" s="66" t="s">
        <v>1363</v>
      </c>
      <c r="D327" s="66" t="s">
        <v>1364</v>
      </c>
      <c r="E327" s="43" t="s">
        <v>1365</v>
      </c>
      <c r="F327" s="131"/>
      <c r="G327" s="133"/>
      <c r="H327" s="56" t="s">
        <v>43</v>
      </c>
      <c r="I327" s="66" t="s">
        <v>1366</v>
      </c>
      <c r="J327" s="12"/>
      <c r="K327" s="12"/>
      <c r="L327" s="12"/>
      <c r="M327" s="12"/>
      <c r="N327" s="118"/>
      <c r="O327" s="118"/>
      <c r="P327" s="118"/>
    </row>
    <row r="328" spans="1:16" ht="357">
      <c r="A328" s="41">
        <v>505</v>
      </c>
      <c r="B328" s="66" t="s">
        <v>1368</v>
      </c>
      <c r="C328" s="66" t="s">
        <v>1369</v>
      </c>
      <c r="D328" s="42" t="s">
        <v>1370</v>
      </c>
      <c r="E328" s="43" t="s">
        <v>42</v>
      </c>
      <c r="F328" s="44" t="s">
        <v>42</v>
      </c>
      <c r="G328" s="133" t="s">
        <v>42</v>
      </c>
      <c r="H328" s="56" t="s">
        <v>43</v>
      </c>
      <c r="I328" s="76" t="s">
        <v>1371</v>
      </c>
      <c r="J328" s="12"/>
      <c r="K328" s="12"/>
      <c r="L328" s="12"/>
      <c r="M328" s="12"/>
      <c r="N328" s="118"/>
      <c r="O328" s="118"/>
      <c r="P328" s="118"/>
    </row>
    <row r="329" spans="1:16" ht="89.25">
      <c r="A329" s="41">
        <v>506</v>
      </c>
      <c r="B329" s="66" t="s">
        <v>1373</v>
      </c>
      <c r="C329" s="66" t="s">
        <v>1374</v>
      </c>
      <c r="D329" s="66" t="s">
        <v>1375</v>
      </c>
      <c r="E329" s="43" t="s">
        <v>74</v>
      </c>
      <c r="F329" s="44"/>
      <c r="G329" s="133"/>
      <c r="H329" s="56" t="s">
        <v>43</v>
      </c>
      <c r="I329" s="76" t="s">
        <v>1376</v>
      </c>
      <c r="J329" s="12"/>
      <c r="K329" s="12"/>
      <c r="L329" s="12"/>
      <c r="M329" s="12"/>
      <c r="N329" s="118"/>
      <c r="O329" s="118"/>
      <c r="P329" s="118"/>
    </row>
    <row r="330" spans="1:16" ht="153">
      <c r="A330" s="41">
        <v>508</v>
      </c>
      <c r="B330" s="66" t="s">
        <v>1378</v>
      </c>
      <c r="C330" s="66" t="s">
        <v>1379</v>
      </c>
      <c r="D330" s="42" t="s">
        <v>1380</v>
      </c>
      <c r="E330" s="43" t="s">
        <v>42</v>
      </c>
      <c r="F330" s="44" t="s">
        <v>42</v>
      </c>
      <c r="G330" s="133" t="s">
        <v>42</v>
      </c>
      <c r="H330" s="56" t="s">
        <v>43</v>
      </c>
      <c r="I330" s="66"/>
      <c r="J330" s="12"/>
      <c r="K330" s="12"/>
      <c r="L330" s="12"/>
      <c r="M330" s="12"/>
      <c r="N330" s="118"/>
      <c r="O330" s="118"/>
      <c r="P330" s="118"/>
    </row>
    <row r="331" spans="1:16" ht="178.5">
      <c r="A331" s="41">
        <v>509</v>
      </c>
      <c r="B331" s="66" t="s">
        <v>1382</v>
      </c>
      <c r="C331" s="66" t="s">
        <v>1383</v>
      </c>
      <c r="D331" s="66" t="s">
        <v>1384</v>
      </c>
      <c r="E331" s="43" t="s">
        <v>42</v>
      </c>
      <c r="F331" s="44" t="s">
        <v>42</v>
      </c>
      <c r="G331" s="133"/>
      <c r="H331" s="56" t="s">
        <v>43</v>
      </c>
      <c r="I331" s="66" t="s">
        <v>1385</v>
      </c>
      <c r="J331" s="12"/>
      <c r="K331" s="12"/>
      <c r="L331" s="12"/>
      <c r="M331" s="12"/>
      <c r="N331" s="118"/>
      <c r="O331" s="118"/>
      <c r="P331" s="118"/>
    </row>
    <row r="332" spans="1:16" ht="76.5">
      <c r="A332" s="41">
        <v>510</v>
      </c>
      <c r="B332" s="66" t="s">
        <v>1387</v>
      </c>
      <c r="C332" s="66" t="s">
        <v>1388</v>
      </c>
      <c r="D332" s="66" t="s">
        <v>1389</v>
      </c>
      <c r="E332" s="126"/>
      <c r="F332" s="131"/>
      <c r="G332" s="133"/>
      <c r="H332" s="56" t="s">
        <v>43</v>
      </c>
      <c r="I332" s="66"/>
      <c r="J332" s="12"/>
      <c r="K332" s="12"/>
      <c r="L332" s="12"/>
      <c r="M332" s="12"/>
      <c r="N332" s="118"/>
      <c r="O332" s="118"/>
      <c r="P332" s="118"/>
    </row>
    <row r="333" spans="1:16" ht="76.5">
      <c r="A333" s="41">
        <v>511</v>
      </c>
      <c r="B333" s="66" t="s">
        <v>1391</v>
      </c>
      <c r="C333" s="66" t="s">
        <v>1374</v>
      </c>
      <c r="D333" s="66" t="s">
        <v>1392</v>
      </c>
      <c r="E333" s="43" t="s">
        <v>74</v>
      </c>
      <c r="F333" s="44"/>
      <c r="G333" s="133"/>
      <c r="H333" s="56" t="s">
        <v>43</v>
      </c>
      <c r="I333" s="76" t="s">
        <v>1393</v>
      </c>
      <c r="J333" s="12"/>
      <c r="K333" s="12"/>
      <c r="L333" s="12"/>
      <c r="M333" s="12"/>
      <c r="N333" s="118"/>
      <c r="O333" s="118"/>
      <c r="P333" s="118"/>
    </row>
    <row r="334" spans="1:16" ht="280.5">
      <c r="A334" s="41">
        <v>512</v>
      </c>
      <c r="B334" s="66" t="s">
        <v>1395</v>
      </c>
      <c r="C334" s="66" t="s">
        <v>1396</v>
      </c>
      <c r="D334" s="42" t="s">
        <v>1397</v>
      </c>
      <c r="E334" s="43" t="s">
        <v>42</v>
      </c>
      <c r="F334" s="44" t="s">
        <v>42</v>
      </c>
      <c r="G334" s="133"/>
      <c r="H334" s="56" t="s">
        <v>43</v>
      </c>
      <c r="I334" s="76" t="s">
        <v>1398</v>
      </c>
      <c r="J334" s="12"/>
      <c r="K334" s="12"/>
      <c r="L334" s="12"/>
      <c r="M334" s="12"/>
      <c r="N334" s="118"/>
      <c r="O334" s="118"/>
      <c r="P334" s="118"/>
    </row>
    <row r="335" spans="1:16" ht="89.25">
      <c r="A335" s="41">
        <v>513</v>
      </c>
      <c r="B335" s="66" t="s">
        <v>1400</v>
      </c>
      <c r="C335" s="66" t="s">
        <v>1401</v>
      </c>
      <c r="D335" s="42" t="s">
        <v>1402</v>
      </c>
      <c r="E335" s="43" t="s">
        <v>42</v>
      </c>
      <c r="F335" s="44" t="s">
        <v>42</v>
      </c>
      <c r="G335" s="133" t="s">
        <v>42</v>
      </c>
      <c r="H335" s="56" t="s">
        <v>43</v>
      </c>
      <c r="I335" s="76" t="s">
        <v>1403</v>
      </c>
      <c r="J335" s="12"/>
      <c r="K335" s="12"/>
      <c r="L335" s="12"/>
      <c r="M335" s="12"/>
      <c r="N335" s="118"/>
      <c r="O335" s="118"/>
      <c r="P335" s="118"/>
    </row>
    <row r="336" spans="1:16" ht="140.25">
      <c r="A336" s="41">
        <v>514</v>
      </c>
      <c r="B336" s="66" t="s">
        <v>1405</v>
      </c>
      <c r="C336" s="66" t="s">
        <v>1406</v>
      </c>
      <c r="D336" s="42" t="s">
        <v>1407</v>
      </c>
      <c r="E336" s="43" t="s">
        <v>42</v>
      </c>
      <c r="F336" s="44" t="s">
        <v>42</v>
      </c>
      <c r="G336" s="45" t="s">
        <v>42</v>
      </c>
      <c r="H336" s="56" t="s">
        <v>43</v>
      </c>
      <c r="I336" s="54" t="s">
        <v>1408</v>
      </c>
      <c r="J336" s="12"/>
      <c r="K336" s="12"/>
      <c r="L336" s="12"/>
      <c r="M336" s="12"/>
      <c r="N336" s="118"/>
      <c r="O336" s="118"/>
      <c r="P336" s="118"/>
    </row>
    <row r="337" spans="1:16" ht="102">
      <c r="A337" s="41">
        <v>515</v>
      </c>
      <c r="B337" s="66" t="s">
        <v>1410</v>
      </c>
      <c r="C337" s="66" t="s">
        <v>1411</v>
      </c>
      <c r="D337" s="66" t="s">
        <v>1412</v>
      </c>
      <c r="E337" s="43" t="s">
        <v>42</v>
      </c>
      <c r="F337" s="44" t="s">
        <v>42</v>
      </c>
      <c r="G337" s="133" t="s">
        <v>42</v>
      </c>
      <c r="H337" s="56" t="s">
        <v>43</v>
      </c>
      <c r="I337" s="66" t="s">
        <v>1413</v>
      </c>
      <c r="J337" s="12"/>
      <c r="K337" s="12"/>
      <c r="L337" s="12"/>
      <c r="M337" s="12"/>
      <c r="N337" s="118"/>
      <c r="O337" s="118"/>
      <c r="P337" s="118"/>
    </row>
    <row r="338" spans="1:16" ht="165.75">
      <c r="A338" s="41">
        <v>516</v>
      </c>
      <c r="B338" s="66" t="s">
        <v>1415</v>
      </c>
      <c r="C338" s="66" t="s">
        <v>1416</v>
      </c>
      <c r="D338" s="42" t="s">
        <v>1417</v>
      </c>
      <c r="E338" s="43" t="s">
        <v>42</v>
      </c>
      <c r="F338" s="44" t="s">
        <v>42</v>
      </c>
      <c r="G338" s="133" t="s">
        <v>42</v>
      </c>
      <c r="H338" s="56" t="s">
        <v>43</v>
      </c>
      <c r="I338" s="54" t="s">
        <v>1418</v>
      </c>
      <c r="J338" s="12"/>
      <c r="K338" s="12"/>
      <c r="L338" s="12"/>
      <c r="M338" s="12"/>
      <c r="N338" s="118"/>
      <c r="O338" s="118"/>
      <c r="P338" s="118"/>
    </row>
    <row r="339" spans="1:16" ht="229.5">
      <c r="A339" s="41">
        <v>517</v>
      </c>
      <c r="B339" s="66" t="s">
        <v>1420</v>
      </c>
      <c r="C339" s="66" t="s">
        <v>1421</v>
      </c>
      <c r="D339" s="42" t="s">
        <v>1422</v>
      </c>
      <c r="E339" s="43" t="s">
        <v>42</v>
      </c>
      <c r="F339" s="44" t="s">
        <v>42</v>
      </c>
      <c r="G339" s="133" t="s">
        <v>42</v>
      </c>
      <c r="H339" s="56" t="s">
        <v>43</v>
      </c>
      <c r="I339" s="54"/>
      <c r="J339" s="12"/>
      <c r="K339" s="12"/>
      <c r="L339" s="12"/>
      <c r="M339" s="12"/>
      <c r="N339" s="118"/>
      <c r="O339" s="118"/>
      <c r="P339" s="118"/>
    </row>
    <row r="340" spans="1:16" ht="38.25">
      <c r="A340" s="41">
        <v>518</v>
      </c>
      <c r="B340" s="66" t="s">
        <v>1423</v>
      </c>
      <c r="C340" s="66" t="s">
        <v>1424</v>
      </c>
      <c r="D340" s="66" t="s">
        <v>1425</v>
      </c>
      <c r="E340" s="43" t="s">
        <v>42</v>
      </c>
      <c r="F340" s="44" t="s">
        <v>42</v>
      </c>
      <c r="G340" s="133" t="s">
        <v>42</v>
      </c>
      <c r="H340" s="56" t="s">
        <v>43</v>
      </c>
      <c r="I340" s="54" t="s">
        <v>1426</v>
      </c>
      <c r="J340" s="12"/>
      <c r="K340" s="12"/>
      <c r="L340" s="12"/>
      <c r="M340" s="12"/>
      <c r="N340" s="118"/>
      <c r="O340" s="118"/>
      <c r="P340" s="118"/>
    </row>
    <row r="341" spans="1:16" ht="38.25">
      <c r="A341" s="41">
        <v>519</v>
      </c>
      <c r="B341" s="66" t="s">
        <v>1427</v>
      </c>
      <c r="C341" s="66" t="s">
        <v>1428</v>
      </c>
      <c r="D341" s="79" t="s">
        <v>1429</v>
      </c>
      <c r="E341" s="43" t="s">
        <v>42</v>
      </c>
      <c r="F341" s="44" t="s">
        <v>42</v>
      </c>
      <c r="G341" s="133" t="s">
        <v>42</v>
      </c>
      <c r="H341" s="56" t="s">
        <v>43</v>
      </c>
      <c r="I341" s="54" t="s">
        <v>1430</v>
      </c>
      <c r="J341" s="12"/>
      <c r="K341" s="12"/>
      <c r="L341" s="12"/>
      <c r="M341" s="12"/>
      <c r="N341" s="118"/>
      <c r="O341" s="118"/>
      <c r="P341" s="118"/>
    </row>
    <row r="342" spans="1:16" ht="38.25">
      <c r="A342" s="41">
        <v>520</v>
      </c>
      <c r="B342" s="66" t="s">
        <v>1431</v>
      </c>
      <c r="C342" s="66" t="s">
        <v>1432</v>
      </c>
      <c r="D342" s="66" t="s">
        <v>1433</v>
      </c>
      <c r="E342" s="43"/>
      <c r="F342" s="131"/>
      <c r="G342" s="133"/>
      <c r="H342" s="56" t="s">
        <v>43</v>
      </c>
      <c r="I342" s="54" t="s">
        <v>1434</v>
      </c>
      <c r="J342" s="12"/>
      <c r="K342" s="12"/>
      <c r="L342" s="12"/>
      <c r="M342" s="12"/>
      <c r="N342" s="118"/>
      <c r="O342" s="118"/>
      <c r="P342" s="118"/>
    </row>
    <row r="343" spans="1:16" ht="102">
      <c r="A343" s="41">
        <v>521</v>
      </c>
      <c r="B343" s="66" t="s">
        <v>1435</v>
      </c>
      <c r="C343" s="66" t="s">
        <v>1436</v>
      </c>
      <c r="D343" s="42" t="s">
        <v>1437</v>
      </c>
      <c r="E343" s="43" t="s">
        <v>74</v>
      </c>
      <c r="F343" s="44" t="s">
        <v>74</v>
      </c>
      <c r="G343" s="133" t="s">
        <v>74</v>
      </c>
      <c r="H343" s="56" t="s">
        <v>43</v>
      </c>
      <c r="I343" s="76" t="s">
        <v>1438</v>
      </c>
      <c r="J343" s="12"/>
      <c r="K343" s="12"/>
      <c r="L343" s="12"/>
      <c r="M343" s="12"/>
      <c r="N343" s="118"/>
      <c r="O343" s="118"/>
      <c r="P343" s="118"/>
    </row>
    <row r="344" spans="1:16" ht="25.5">
      <c r="A344" s="41">
        <v>522</v>
      </c>
      <c r="B344" s="66" t="s">
        <v>1439</v>
      </c>
      <c r="C344" s="66" t="s">
        <v>1440</v>
      </c>
      <c r="D344" s="42" t="s">
        <v>1441</v>
      </c>
      <c r="E344" s="43" t="s">
        <v>42</v>
      </c>
      <c r="F344" s="44" t="s">
        <v>42</v>
      </c>
      <c r="G344" s="133" t="s">
        <v>42</v>
      </c>
      <c r="H344" s="56" t="s">
        <v>43</v>
      </c>
      <c r="I344" s="54" t="s">
        <v>1442</v>
      </c>
      <c r="J344" s="12"/>
      <c r="K344" s="12"/>
      <c r="L344" s="12"/>
      <c r="M344" s="12"/>
      <c r="N344" s="118"/>
      <c r="O344" s="118"/>
      <c r="P344" s="118"/>
    </row>
    <row r="345" spans="1:16" ht="51">
      <c r="A345" s="41">
        <v>526</v>
      </c>
      <c r="B345" s="66" t="s">
        <v>1443</v>
      </c>
      <c r="C345" s="66" t="s">
        <v>1444</v>
      </c>
      <c r="D345" s="42" t="s">
        <v>1445</v>
      </c>
      <c r="E345" s="126"/>
      <c r="F345" s="131"/>
      <c r="G345" s="133"/>
      <c r="H345" s="56" t="s">
        <v>86</v>
      </c>
      <c r="I345" s="54" t="s">
        <v>740</v>
      </c>
      <c r="J345" s="12"/>
      <c r="K345" s="12"/>
      <c r="L345" s="12"/>
      <c r="M345" s="12"/>
      <c r="N345" s="118"/>
      <c r="O345" s="118"/>
      <c r="P345" s="118"/>
    </row>
    <row r="346" spans="1:16" ht="153">
      <c r="A346" s="41">
        <v>527</v>
      </c>
      <c r="B346" s="66" t="s">
        <v>1447</v>
      </c>
      <c r="C346" s="66" t="s">
        <v>1448</v>
      </c>
      <c r="D346" s="42" t="s">
        <v>1449</v>
      </c>
      <c r="E346" s="43" t="s">
        <v>42</v>
      </c>
      <c r="F346" s="44" t="s">
        <v>42</v>
      </c>
      <c r="G346" s="133" t="s">
        <v>42</v>
      </c>
      <c r="H346" s="56" t="s">
        <v>43</v>
      </c>
      <c r="I346" s="76" t="s">
        <v>1450</v>
      </c>
      <c r="J346" s="12"/>
      <c r="K346" s="12"/>
      <c r="L346" s="12"/>
      <c r="M346" s="12"/>
      <c r="N346" s="118"/>
      <c r="O346" s="118"/>
      <c r="P346" s="118"/>
    </row>
    <row r="347" spans="1:16" ht="102">
      <c r="A347" s="41">
        <v>528</v>
      </c>
      <c r="B347" s="66" t="s">
        <v>1452</v>
      </c>
      <c r="C347" s="66" t="s">
        <v>1453</v>
      </c>
      <c r="D347" s="66" t="s">
        <v>1454</v>
      </c>
      <c r="E347" s="43" t="s">
        <v>42</v>
      </c>
      <c r="F347" s="44" t="s">
        <v>42</v>
      </c>
      <c r="G347" s="133" t="s">
        <v>42</v>
      </c>
      <c r="H347" s="56" t="s">
        <v>43</v>
      </c>
      <c r="I347" s="54"/>
      <c r="J347" s="12"/>
      <c r="K347" s="12"/>
      <c r="L347" s="12"/>
      <c r="M347" s="12"/>
      <c r="N347" s="118"/>
      <c r="O347" s="118"/>
      <c r="P347" s="118"/>
    </row>
    <row r="348" spans="1:16" ht="127.5">
      <c r="A348" s="41">
        <v>529</v>
      </c>
      <c r="B348" s="66" t="s">
        <v>1456</v>
      </c>
      <c r="C348" s="66" t="s">
        <v>1457</v>
      </c>
      <c r="D348" s="42" t="s">
        <v>1458</v>
      </c>
      <c r="E348" s="43" t="s">
        <v>42</v>
      </c>
      <c r="F348" s="44" t="s">
        <v>42</v>
      </c>
      <c r="G348" s="133" t="s">
        <v>42</v>
      </c>
      <c r="H348" s="56" t="s">
        <v>43</v>
      </c>
      <c r="I348" s="54"/>
      <c r="J348" s="12"/>
      <c r="K348" s="12"/>
      <c r="L348" s="12"/>
      <c r="M348" s="12"/>
      <c r="N348" s="118"/>
      <c r="O348" s="118"/>
      <c r="P348" s="118"/>
    </row>
    <row r="349" spans="1:16" ht="178.5">
      <c r="A349" s="41">
        <v>530</v>
      </c>
      <c r="B349" s="66" t="s">
        <v>1459</v>
      </c>
      <c r="C349" s="66" t="s">
        <v>1460</v>
      </c>
      <c r="D349" s="66" t="s">
        <v>1461</v>
      </c>
      <c r="E349" s="43" t="s">
        <v>42</v>
      </c>
      <c r="F349" s="44" t="s">
        <v>42</v>
      </c>
      <c r="G349" s="133" t="s">
        <v>42</v>
      </c>
      <c r="H349" s="56" t="s">
        <v>86</v>
      </c>
      <c r="I349" s="54" t="s">
        <v>1462</v>
      </c>
      <c r="J349" s="12"/>
      <c r="K349" s="12"/>
      <c r="L349" s="12"/>
      <c r="M349" s="12"/>
      <c r="N349" s="118"/>
      <c r="O349" s="118"/>
      <c r="P349" s="118"/>
    </row>
    <row r="350" spans="1:16" ht="38.25">
      <c r="A350" s="41">
        <v>531</v>
      </c>
      <c r="B350" s="66" t="s">
        <v>1464</v>
      </c>
      <c r="C350" s="66" t="s">
        <v>1465</v>
      </c>
      <c r="D350" s="66" t="s">
        <v>1466</v>
      </c>
      <c r="E350" s="43" t="s">
        <v>42</v>
      </c>
      <c r="F350" s="131" t="s">
        <v>42</v>
      </c>
      <c r="G350" s="133" t="s">
        <v>42</v>
      </c>
      <c r="H350" s="56" t="s">
        <v>43</v>
      </c>
      <c r="I350" s="54" t="s">
        <v>1467</v>
      </c>
      <c r="J350" s="12"/>
      <c r="K350" s="12"/>
      <c r="L350" s="12"/>
      <c r="M350" s="12"/>
      <c r="N350" s="118"/>
      <c r="O350" s="118"/>
      <c r="P350" s="118"/>
    </row>
    <row r="351" spans="1:16" ht="63.75">
      <c r="A351" s="41">
        <v>532</v>
      </c>
      <c r="B351" s="66" t="s">
        <v>1468</v>
      </c>
      <c r="C351" s="66" t="s">
        <v>1469</v>
      </c>
      <c r="D351" s="42" t="s">
        <v>1470</v>
      </c>
      <c r="E351" s="43" t="s">
        <v>42</v>
      </c>
      <c r="F351" s="131" t="s">
        <v>42</v>
      </c>
      <c r="G351" s="133" t="s">
        <v>42</v>
      </c>
      <c r="H351" s="56" t="s">
        <v>43</v>
      </c>
      <c r="I351" s="66" t="s">
        <v>1471</v>
      </c>
      <c r="J351" s="12"/>
      <c r="K351" s="12"/>
      <c r="L351" s="12"/>
      <c r="M351" s="12"/>
      <c r="N351" s="118"/>
      <c r="O351" s="118"/>
      <c r="P351" s="118"/>
    </row>
    <row r="352" spans="1:16" ht="102">
      <c r="A352" s="41">
        <v>535</v>
      </c>
      <c r="B352" s="66" t="s">
        <v>1472</v>
      </c>
      <c r="C352" s="66" t="s">
        <v>1473</v>
      </c>
      <c r="D352" s="66" t="s">
        <v>1474</v>
      </c>
      <c r="E352" s="126"/>
      <c r="F352" s="131"/>
      <c r="G352" s="133"/>
      <c r="H352" s="56" t="s">
        <v>86</v>
      </c>
      <c r="I352" s="66" t="s">
        <v>243</v>
      </c>
      <c r="J352" s="12"/>
      <c r="K352" s="12"/>
      <c r="L352" s="12"/>
      <c r="M352" s="12"/>
      <c r="N352" s="118"/>
      <c r="O352" s="118"/>
      <c r="P352" s="118"/>
    </row>
    <row r="353" spans="1:16" ht="127.5">
      <c r="A353" s="41">
        <v>536</v>
      </c>
      <c r="B353" s="66" t="s">
        <v>1475</v>
      </c>
      <c r="C353" s="66" t="s">
        <v>1476</v>
      </c>
      <c r="D353" s="66" t="s">
        <v>1477</v>
      </c>
      <c r="E353" s="43"/>
      <c r="F353" s="131" t="s">
        <v>74</v>
      </c>
      <c r="G353" s="133"/>
      <c r="H353" s="56" t="s">
        <v>86</v>
      </c>
      <c r="I353" s="66" t="s">
        <v>1478</v>
      </c>
      <c r="J353" s="12"/>
      <c r="K353" s="12"/>
      <c r="L353" s="12"/>
      <c r="M353" s="12"/>
      <c r="N353" s="118"/>
      <c r="O353" s="118"/>
      <c r="P353" s="118"/>
    </row>
    <row r="354" spans="1:16" ht="51">
      <c r="A354" s="41">
        <v>538</v>
      </c>
      <c r="B354" s="66" t="s">
        <v>1479</v>
      </c>
      <c r="C354" s="66" t="s">
        <v>1480</v>
      </c>
      <c r="D354" s="66" t="s">
        <v>1481</v>
      </c>
      <c r="E354" s="43" t="s">
        <v>42</v>
      </c>
      <c r="F354" s="131" t="s">
        <v>42</v>
      </c>
      <c r="G354" s="133" t="s">
        <v>42</v>
      </c>
      <c r="H354" s="56" t="s">
        <v>43</v>
      </c>
      <c r="I354" s="66" t="s">
        <v>1482</v>
      </c>
      <c r="J354" s="12"/>
      <c r="K354" s="12"/>
      <c r="L354" s="12"/>
      <c r="M354" s="12"/>
      <c r="N354" s="118"/>
      <c r="O354" s="118"/>
      <c r="P354" s="118"/>
    </row>
    <row r="355" spans="1:16" ht="38.25">
      <c r="A355" s="41">
        <v>539</v>
      </c>
      <c r="B355" s="66" t="s">
        <v>1483</v>
      </c>
      <c r="C355" s="66" t="s">
        <v>1484</v>
      </c>
      <c r="D355" s="66" t="s">
        <v>1485</v>
      </c>
      <c r="E355" s="43" t="s">
        <v>42</v>
      </c>
      <c r="F355" s="131" t="s">
        <v>42</v>
      </c>
      <c r="G355" s="133"/>
      <c r="H355" s="56" t="s">
        <v>84</v>
      </c>
      <c r="I355" s="66" t="s">
        <v>1486</v>
      </c>
      <c r="J355" s="12"/>
      <c r="K355" s="12"/>
      <c r="L355" s="12"/>
      <c r="M355" s="12"/>
      <c r="N355" s="118"/>
      <c r="O355" s="118"/>
      <c r="P355" s="118"/>
    </row>
    <row r="356" spans="1:16" ht="293.25">
      <c r="A356" s="41">
        <v>540</v>
      </c>
      <c r="B356" s="66" t="s">
        <v>1487</v>
      </c>
      <c r="C356" s="66" t="s">
        <v>1488</v>
      </c>
      <c r="D356" s="42" t="s">
        <v>1489</v>
      </c>
      <c r="E356" s="43" t="s">
        <v>42</v>
      </c>
      <c r="F356" s="131" t="s">
        <v>42</v>
      </c>
      <c r="G356" s="133" t="s">
        <v>42</v>
      </c>
      <c r="H356" s="56" t="s">
        <v>43</v>
      </c>
      <c r="I356" s="66" t="s">
        <v>1490</v>
      </c>
      <c r="J356" s="12"/>
      <c r="K356" s="12"/>
      <c r="L356" s="12"/>
      <c r="M356" s="12"/>
      <c r="N356" s="118"/>
      <c r="O356" s="118"/>
      <c r="P356" s="118"/>
    </row>
    <row r="357" spans="1:16" ht="38.25">
      <c r="A357" s="41">
        <v>541</v>
      </c>
      <c r="B357" s="66" t="s">
        <v>1491</v>
      </c>
      <c r="C357" s="66" t="s">
        <v>1492</v>
      </c>
      <c r="D357" s="66" t="s">
        <v>1493</v>
      </c>
      <c r="E357" s="43" t="s">
        <v>42</v>
      </c>
      <c r="F357" s="131" t="s">
        <v>42</v>
      </c>
      <c r="G357" s="133" t="s">
        <v>42</v>
      </c>
      <c r="H357" s="56" t="s">
        <v>43</v>
      </c>
      <c r="I357" s="66" t="s">
        <v>1494</v>
      </c>
      <c r="J357" s="12"/>
      <c r="K357" s="12"/>
      <c r="L357" s="12"/>
      <c r="M357" s="12"/>
      <c r="N357" s="118"/>
      <c r="O357" s="118"/>
      <c r="P357" s="118"/>
    </row>
    <row r="358" spans="1:16" ht="127.5">
      <c r="A358" s="41">
        <v>542</v>
      </c>
      <c r="B358" s="66" t="s">
        <v>1495</v>
      </c>
      <c r="C358" s="66" t="s">
        <v>1496</v>
      </c>
      <c r="D358" s="42" t="s">
        <v>1497</v>
      </c>
      <c r="E358" s="43" t="s">
        <v>42</v>
      </c>
      <c r="F358" s="131" t="s">
        <v>42</v>
      </c>
      <c r="G358" s="133" t="s">
        <v>42</v>
      </c>
      <c r="H358" s="56" t="s">
        <v>86</v>
      </c>
      <c r="I358" s="54" t="s">
        <v>243</v>
      </c>
      <c r="J358" s="12"/>
      <c r="K358" s="12"/>
      <c r="L358" s="12"/>
      <c r="M358" s="12"/>
      <c r="N358" s="118"/>
      <c r="O358" s="118"/>
      <c r="P358" s="118"/>
    </row>
    <row r="359" spans="1:16" ht="63.75">
      <c r="A359" s="41">
        <v>543</v>
      </c>
      <c r="B359" s="66" t="s">
        <v>1499</v>
      </c>
      <c r="C359" s="66" t="s">
        <v>1500</v>
      </c>
      <c r="D359" s="42" t="s">
        <v>1501</v>
      </c>
      <c r="E359" s="43"/>
      <c r="F359" s="131" t="s">
        <v>74</v>
      </c>
      <c r="G359" s="133"/>
      <c r="H359" s="56" t="s">
        <v>84</v>
      </c>
      <c r="I359" s="66" t="s">
        <v>1502</v>
      </c>
      <c r="J359" s="12"/>
      <c r="K359" s="12"/>
      <c r="L359" s="12"/>
      <c r="M359" s="12"/>
      <c r="N359" s="118"/>
      <c r="O359" s="118"/>
      <c r="P359" s="118"/>
    </row>
    <row r="360" spans="1:16" ht="38.25">
      <c r="A360" s="41">
        <v>544</v>
      </c>
      <c r="B360" s="66" t="s">
        <v>1504</v>
      </c>
      <c r="C360" s="66" t="s">
        <v>1505</v>
      </c>
      <c r="D360" s="66" t="s">
        <v>1506</v>
      </c>
      <c r="E360" s="43" t="s">
        <v>42</v>
      </c>
      <c r="F360" s="131" t="s">
        <v>42</v>
      </c>
      <c r="G360" s="133" t="s">
        <v>42</v>
      </c>
      <c r="H360" s="56" t="s">
        <v>86</v>
      </c>
      <c r="I360" s="66" t="s">
        <v>243</v>
      </c>
      <c r="J360" s="12"/>
      <c r="K360" s="12"/>
      <c r="L360" s="12"/>
      <c r="M360" s="12"/>
      <c r="N360" s="118"/>
      <c r="O360" s="118"/>
      <c r="P360" s="118"/>
    </row>
    <row r="361" spans="1:16" ht="267.75">
      <c r="A361" s="41">
        <v>548</v>
      </c>
      <c r="B361" s="66" t="s">
        <v>1507</v>
      </c>
      <c r="C361" s="66" t="s">
        <v>1508</v>
      </c>
      <c r="D361" s="42" t="s">
        <v>1509</v>
      </c>
      <c r="E361" s="43"/>
      <c r="F361" s="131" t="s">
        <v>42</v>
      </c>
      <c r="G361" s="133"/>
      <c r="H361" s="56" t="s">
        <v>43</v>
      </c>
      <c r="I361" s="66" t="s">
        <v>1510</v>
      </c>
      <c r="J361" s="12"/>
      <c r="K361" s="12"/>
      <c r="L361" s="12"/>
      <c r="M361" s="12"/>
      <c r="N361" s="118"/>
      <c r="O361" s="118"/>
      <c r="P361" s="118"/>
    </row>
    <row r="362" spans="1:16" ht="38.25">
      <c r="A362" s="41">
        <v>549</v>
      </c>
      <c r="B362" s="66" t="s">
        <v>1511</v>
      </c>
      <c r="C362" s="66" t="s">
        <v>1512</v>
      </c>
      <c r="D362" s="66" t="s">
        <v>1513</v>
      </c>
      <c r="E362" s="43"/>
      <c r="F362" s="131" t="s">
        <v>74</v>
      </c>
      <c r="G362" s="133"/>
      <c r="H362" s="56" t="s">
        <v>43</v>
      </c>
      <c r="I362" s="66" t="s">
        <v>1514</v>
      </c>
      <c r="J362" s="12"/>
      <c r="K362" s="12"/>
      <c r="L362" s="12"/>
      <c r="M362" s="12"/>
      <c r="N362" s="118"/>
      <c r="O362" s="118"/>
      <c r="P362" s="118"/>
    </row>
    <row r="363" spans="1:16" ht="178.5">
      <c r="A363" s="41">
        <v>555</v>
      </c>
      <c r="B363" s="66" t="s">
        <v>1515</v>
      </c>
      <c r="C363" s="54" t="s">
        <v>1516</v>
      </c>
      <c r="D363" s="42" t="s">
        <v>1517</v>
      </c>
      <c r="E363" s="43" t="s">
        <v>42</v>
      </c>
      <c r="F363" s="131" t="s">
        <v>42</v>
      </c>
      <c r="G363" s="133" t="s">
        <v>42</v>
      </c>
      <c r="H363" s="56" t="s">
        <v>43</v>
      </c>
      <c r="I363" s="66" t="s">
        <v>1518</v>
      </c>
      <c r="J363" s="12"/>
      <c r="K363" s="12"/>
      <c r="L363" s="12"/>
      <c r="M363" s="12"/>
      <c r="N363" s="118"/>
      <c r="O363" s="118"/>
      <c r="P363" s="118"/>
    </row>
    <row r="364" spans="1:16" ht="114.75">
      <c r="A364" s="41">
        <v>558</v>
      </c>
      <c r="B364" s="66" t="s">
        <v>1520</v>
      </c>
      <c r="C364" s="66" t="s">
        <v>1521</v>
      </c>
      <c r="D364" s="42" t="s">
        <v>1522</v>
      </c>
      <c r="E364" s="43"/>
      <c r="F364" s="131"/>
      <c r="G364" s="133"/>
      <c r="H364" s="56" t="s">
        <v>43</v>
      </c>
      <c r="I364" s="66" t="s">
        <v>1523</v>
      </c>
      <c r="J364" s="12"/>
      <c r="K364" s="12"/>
      <c r="L364" s="12"/>
      <c r="M364" s="12"/>
      <c r="N364" s="118"/>
      <c r="O364" s="118"/>
      <c r="P364" s="118"/>
    </row>
    <row r="365" spans="1:16" ht="114.75">
      <c r="A365" s="41">
        <v>564</v>
      </c>
      <c r="B365" s="66" t="s">
        <v>1524</v>
      </c>
      <c r="C365" s="66" t="s">
        <v>1525</v>
      </c>
      <c r="D365" s="66" t="s">
        <v>1526</v>
      </c>
      <c r="E365" s="43" t="s">
        <v>74</v>
      </c>
      <c r="F365" s="44" t="s">
        <v>74</v>
      </c>
      <c r="G365" s="133" t="s">
        <v>74</v>
      </c>
      <c r="H365" s="56" t="s">
        <v>43</v>
      </c>
      <c r="I365" s="66" t="s">
        <v>1527</v>
      </c>
      <c r="J365" s="12"/>
      <c r="K365" s="12"/>
      <c r="L365" s="12"/>
      <c r="M365" s="12"/>
      <c r="N365" s="118"/>
      <c r="O365" s="118"/>
      <c r="P365" s="118"/>
    </row>
    <row r="366" spans="1:16" ht="51">
      <c r="A366" s="41">
        <v>570</v>
      </c>
      <c r="B366" s="66" t="s">
        <v>1529</v>
      </c>
      <c r="C366" s="66" t="s">
        <v>1530</v>
      </c>
      <c r="D366" s="42" t="s">
        <v>1531</v>
      </c>
      <c r="E366" s="43"/>
      <c r="F366" s="131"/>
      <c r="G366" s="133"/>
      <c r="H366" s="56" t="s">
        <v>43</v>
      </c>
      <c r="I366" s="66" t="s">
        <v>1532</v>
      </c>
      <c r="J366" s="12"/>
      <c r="K366" s="12"/>
      <c r="L366" s="12"/>
      <c r="M366" s="12"/>
      <c r="N366" s="118"/>
      <c r="O366" s="118"/>
      <c r="P366" s="118"/>
    </row>
    <row r="367" spans="1:16" ht="178.5">
      <c r="A367" s="41">
        <v>579</v>
      </c>
      <c r="B367" s="66" t="s">
        <v>1533</v>
      </c>
      <c r="C367" s="66" t="s">
        <v>1534</v>
      </c>
      <c r="D367" s="42" t="s">
        <v>1535</v>
      </c>
      <c r="E367" s="43" t="s">
        <v>74</v>
      </c>
      <c r="F367" s="131" t="s">
        <v>74</v>
      </c>
      <c r="G367" s="133" t="s">
        <v>74</v>
      </c>
      <c r="H367" s="56" t="s">
        <v>43</v>
      </c>
      <c r="I367" s="66"/>
      <c r="J367" s="12"/>
      <c r="K367" s="12"/>
      <c r="L367" s="12"/>
      <c r="M367" s="12"/>
      <c r="N367" s="118"/>
      <c r="O367" s="118"/>
      <c r="P367" s="118"/>
    </row>
    <row r="368" spans="1:16" ht="38.25">
      <c r="A368" s="41">
        <v>588</v>
      </c>
      <c r="B368" s="66" t="s">
        <v>1536</v>
      </c>
      <c r="C368" s="66" t="s">
        <v>1537</v>
      </c>
      <c r="D368" s="66" t="s">
        <v>1538</v>
      </c>
      <c r="E368" s="43" t="s">
        <v>74</v>
      </c>
      <c r="F368" s="131"/>
      <c r="G368" s="133"/>
      <c r="H368" s="56" t="s">
        <v>43</v>
      </c>
      <c r="I368" s="66" t="s">
        <v>1539</v>
      </c>
      <c r="J368" s="12"/>
      <c r="K368" s="12"/>
      <c r="L368" s="12"/>
      <c r="M368" s="12"/>
      <c r="N368" s="118"/>
      <c r="O368" s="118"/>
      <c r="P368" s="118"/>
    </row>
    <row r="369" spans="1:16" ht="76.5">
      <c r="A369" s="41">
        <v>603</v>
      </c>
      <c r="B369" s="66" t="s">
        <v>1541</v>
      </c>
      <c r="C369" s="66" t="s">
        <v>1542</v>
      </c>
      <c r="D369" s="42" t="s">
        <v>1543</v>
      </c>
      <c r="E369" s="43"/>
      <c r="F369" s="131" t="s">
        <v>74</v>
      </c>
      <c r="G369" s="133"/>
      <c r="H369" s="56" t="s">
        <v>43</v>
      </c>
      <c r="I369" s="66" t="s">
        <v>1544</v>
      </c>
      <c r="J369" s="12"/>
      <c r="K369" s="12"/>
      <c r="L369" s="12"/>
      <c r="M369" s="12"/>
      <c r="N369" s="118"/>
      <c r="O369" s="118"/>
      <c r="P369" s="118"/>
    </row>
    <row r="370" spans="1:16" ht="89.25">
      <c r="A370" s="41">
        <v>611</v>
      </c>
      <c r="B370" s="66" t="s">
        <v>1545</v>
      </c>
      <c r="C370" s="66" t="s">
        <v>1546</v>
      </c>
      <c r="D370" s="66" t="s">
        <v>1547</v>
      </c>
      <c r="E370" s="43" t="s">
        <v>1365</v>
      </c>
      <c r="F370" s="131" t="s">
        <v>1365</v>
      </c>
      <c r="G370" s="133" t="s">
        <v>1365</v>
      </c>
      <c r="H370" s="56" t="s">
        <v>43</v>
      </c>
      <c r="I370" s="66" t="s">
        <v>1548</v>
      </c>
      <c r="J370" s="12"/>
      <c r="K370" s="12"/>
      <c r="L370" s="12"/>
      <c r="M370" s="12"/>
      <c r="N370" s="118"/>
      <c r="O370" s="118"/>
      <c r="P370" s="118"/>
    </row>
    <row r="371" spans="1:16" ht="178.5">
      <c r="A371" s="41">
        <v>613</v>
      </c>
      <c r="B371" s="66" t="s">
        <v>1549</v>
      </c>
      <c r="C371" s="66" t="s">
        <v>1550</v>
      </c>
      <c r="D371" s="42" t="s">
        <v>1551</v>
      </c>
      <c r="E371" s="43" t="s">
        <v>42</v>
      </c>
      <c r="F371" s="44" t="s">
        <v>42</v>
      </c>
      <c r="G371" s="45" t="s">
        <v>42</v>
      </c>
      <c r="H371" s="56" t="s">
        <v>43</v>
      </c>
      <c r="I371" s="54" t="s">
        <v>1552</v>
      </c>
      <c r="J371" s="12"/>
      <c r="K371" s="12"/>
      <c r="L371" s="12"/>
      <c r="M371" s="12"/>
      <c r="N371" s="118"/>
      <c r="O371" s="118"/>
      <c r="P371" s="118"/>
    </row>
    <row r="372" spans="1:16" ht="25.5">
      <c r="A372" s="41">
        <v>614</v>
      </c>
      <c r="B372" s="66" t="s">
        <v>1554</v>
      </c>
      <c r="C372" s="66" t="s">
        <v>1555</v>
      </c>
      <c r="D372" s="66" t="s">
        <v>1556</v>
      </c>
      <c r="E372" s="43" t="s">
        <v>42</v>
      </c>
      <c r="F372" s="44" t="s">
        <v>42</v>
      </c>
      <c r="G372" s="133"/>
      <c r="H372" s="56" t="s">
        <v>43</v>
      </c>
      <c r="I372" s="54" t="s">
        <v>1557</v>
      </c>
      <c r="J372" s="12"/>
      <c r="K372" s="12"/>
      <c r="L372" s="12"/>
      <c r="M372" s="12"/>
      <c r="N372" s="118"/>
      <c r="O372" s="118"/>
      <c r="P372" s="118"/>
    </row>
    <row r="373" spans="1:16" ht="25.5">
      <c r="A373" s="41">
        <v>615</v>
      </c>
      <c r="B373" s="66" t="s">
        <v>1558</v>
      </c>
      <c r="C373" s="66" t="s">
        <v>1559</v>
      </c>
      <c r="D373" s="66" t="s">
        <v>1560</v>
      </c>
      <c r="E373" s="126"/>
      <c r="F373" s="131"/>
      <c r="G373" s="133"/>
      <c r="H373" s="56" t="s">
        <v>43</v>
      </c>
      <c r="I373" s="54" t="s">
        <v>1561</v>
      </c>
      <c r="J373" s="12"/>
      <c r="K373" s="12"/>
      <c r="L373" s="12"/>
      <c r="M373" s="12"/>
      <c r="N373" s="118"/>
      <c r="O373" s="118"/>
      <c r="P373" s="118"/>
    </row>
    <row r="374" spans="1:16" ht="25.5">
      <c r="A374" s="41">
        <v>616</v>
      </c>
      <c r="B374" s="66" t="s">
        <v>1562</v>
      </c>
      <c r="C374" s="66" t="s">
        <v>1563</v>
      </c>
      <c r="D374" s="66" t="s">
        <v>1564</v>
      </c>
      <c r="E374" s="43"/>
      <c r="F374" s="131"/>
      <c r="G374" s="133"/>
      <c r="H374" s="56" t="s">
        <v>43</v>
      </c>
      <c r="I374" s="54" t="s">
        <v>1565</v>
      </c>
      <c r="J374" s="12"/>
      <c r="K374" s="12"/>
      <c r="L374" s="12"/>
      <c r="M374" s="12"/>
      <c r="N374" s="118"/>
      <c r="O374" s="118"/>
      <c r="P374" s="118"/>
    </row>
    <row r="375" spans="1:16" ht="127.5">
      <c r="A375" s="41">
        <v>622</v>
      </c>
      <c r="B375" s="66" t="s">
        <v>1566</v>
      </c>
      <c r="C375" s="66" t="s">
        <v>1567</v>
      </c>
      <c r="D375" s="66" t="s">
        <v>1568</v>
      </c>
      <c r="E375" s="43" t="s">
        <v>42</v>
      </c>
      <c r="F375" s="131"/>
      <c r="G375" s="133"/>
      <c r="H375" s="56" t="s">
        <v>86</v>
      </c>
      <c r="I375" s="54" t="s">
        <v>1569</v>
      </c>
      <c r="J375" s="12"/>
      <c r="K375" s="12"/>
      <c r="L375" s="12"/>
      <c r="M375" s="12"/>
      <c r="N375" s="118"/>
      <c r="O375" s="118"/>
      <c r="P375" s="118"/>
    </row>
    <row r="376" spans="1:16" ht="89.25">
      <c r="A376" s="41">
        <v>624</v>
      </c>
      <c r="B376" s="66" t="s">
        <v>1570</v>
      </c>
      <c r="C376" s="66" t="s">
        <v>1571</v>
      </c>
      <c r="D376" s="42" t="s">
        <v>1572</v>
      </c>
      <c r="E376" s="43"/>
      <c r="F376" s="131"/>
      <c r="G376" s="133" t="s">
        <v>42</v>
      </c>
      <c r="H376" s="56" t="s">
        <v>56</v>
      </c>
      <c r="I376" s="54" t="s">
        <v>1573</v>
      </c>
      <c r="J376" s="12"/>
      <c r="K376" s="12"/>
      <c r="L376" s="12"/>
      <c r="M376" s="12"/>
      <c r="N376" s="118"/>
      <c r="O376" s="118"/>
      <c r="P376" s="118"/>
    </row>
    <row r="377" spans="1:16" ht="51">
      <c r="A377" s="41">
        <v>625</v>
      </c>
      <c r="B377" s="66" t="s">
        <v>1574</v>
      </c>
      <c r="C377" s="66" t="s">
        <v>1575</v>
      </c>
      <c r="D377" s="42" t="s">
        <v>1576</v>
      </c>
      <c r="E377" s="43"/>
      <c r="F377" s="131"/>
      <c r="G377" s="133" t="s">
        <v>74</v>
      </c>
      <c r="H377" s="56" t="s">
        <v>1577</v>
      </c>
      <c r="I377" s="54" t="s">
        <v>1578</v>
      </c>
      <c r="J377" s="12"/>
      <c r="K377" s="12"/>
      <c r="L377" s="12"/>
      <c r="M377" s="12"/>
      <c r="N377" s="118"/>
      <c r="O377" s="118"/>
      <c r="P377" s="118"/>
    </row>
    <row r="378" spans="1:16" ht="38.25">
      <c r="A378" s="41">
        <v>626</v>
      </c>
      <c r="B378" s="66" t="s">
        <v>1579</v>
      </c>
      <c r="C378" s="66" t="s">
        <v>1580</v>
      </c>
      <c r="D378" s="66" t="s">
        <v>1581</v>
      </c>
      <c r="E378" s="43"/>
      <c r="F378" s="131"/>
      <c r="G378" s="133" t="s">
        <v>74</v>
      </c>
      <c r="H378" s="56" t="s">
        <v>86</v>
      </c>
      <c r="I378" s="54" t="s">
        <v>1582</v>
      </c>
      <c r="J378" s="12"/>
      <c r="K378" s="12"/>
      <c r="L378" s="12"/>
      <c r="M378" s="12"/>
      <c r="N378" s="118"/>
      <c r="O378" s="118"/>
      <c r="P378" s="118"/>
    </row>
    <row r="379" spans="1:16" ht="63.75">
      <c r="A379" s="41">
        <v>627</v>
      </c>
      <c r="B379" s="66" t="s">
        <v>1583</v>
      </c>
      <c r="C379" s="66" t="s">
        <v>1584</v>
      </c>
      <c r="D379" s="66" t="s">
        <v>1585</v>
      </c>
      <c r="E379" s="43"/>
      <c r="F379" s="131"/>
      <c r="G379" s="133" t="s">
        <v>74</v>
      </c>
      <c r="H379" s="56" t="s">
        <v>43</v>
      </c>
      <c r="I379" s="54" t="s">
        <v>1586</v>
      </c>
      <c r="J379" s="12"/>
      <c r="K379" s="12"/>
      <c r="L379" s="12"/>
      <c r="M379" s="12"/>
      <c r="N379" s="118"/>
      <c r="O379" s="118"/>
      <c r="P379" s="118"/>
    </row>
    <row r="380" spans="1:16" ht="114.75">
      <c r="A380" s="41">
        <v>629</v>
      </c>
      <c r="B380" s="66" t="s">
        <v>1587</v>
      </c>
      <c r="C380" s="66" t="s">
        <v>1588</v>
      </c>
      <c r="D380" s="42" t="s">
        <v>1589</v>
      </c>
      <c r="E380" s="43" t="s">
        <v>42</v>
      </c>
      <c r="F380" s="44" t="s">
        <v>42</v>
      </c>
      <c r="G380" s="133"/>
      <c r="H380" s="56" t="s">
        <v>43</v>
      </c>
      <c r="I380" s="54" t="s">
        <v>1590</v>
      </c>
      <c r="J380" s="12"/>
      <c r="K380" s="12"/>
      <c r="L380" s="12"/>
      <c r="M380" s="12"/>
      <c r="N380" s="118"/>
      <c r="O380" s="118"/>
      <c r="P380" s="118"/>
    </row>
    <row r="381" spans="1:16" ht="25.5">
      <c r="A381" s="41">
        <v>630</v>
      </c>
      <c r="B381" s="66" t="s">
        <v>1591</v>
      </c>
      <c r="C381" s="66" t="s">
        <v>1592</v>
      </c>
      <c r="D381" s="66" t="s">
        <v>1593</v>
      </c>
      <c r="E381" s="43" t="s">
        <v>42</v>
      </c>
      <c r="F381" s="44" t="s">
        <v>42</v>
      </c>
      <c r="G381" s="133"/>
      <c r="H381" s="56" t="s">
        <v>86</v>
      </c>
      <c r="I381" s="54" t="s">
        <v>243</v>
      </c>
      <c r="J381" s="12"/>
      <c r="K381" s="12"/>
      <c r="L381" s="12"/>
      <c r="M381" s="12"/>
      <c r="N381" s="118"/>
      <c r="O381" s="118"/>
      <c r="P381" s="118"/>
    </row>
    <row r="382" spans="1:16" ht="140.25">
      <c r="A382" s="41">
        <v>631</v>
      </c>
      <c r="B382" s="66" t="s">
        <v>1594</v>
      </c>
      <c r="C382" s="66" t="s">
        <v>1595</v>
      </c>
      <c r="D382" s="42" t="s">
        <v>1596</v>
      </c>
      <c r="E382" s="43" t="s">
        <v>42</v>
      </c>
      <c r="F382" s="44" t="s">
        <v>42</v>
      </c>
      <c r="G382" s="133"/>
      <c r="H382" s="56" t="s">
        <v>86</v>
      </c>
      <c r="I382" s="54" t="s">
        <v>243</v>
      </c>
      <c r="J382" s="12"/>
      <c r="K382" s="12"/>
      <c r="L382" s="12"/>
      <c r="M382" s="12"/>
      <c r="N382" s="118"/>
      <c r="O382" s="118"/>
      <c r="P382" s="118"/>
    </row>
    <row r="383" spans="1:16" ht="38.25">
      <c r="A383" s="41">
        <v>632</v>
      </c>
      <c r="B383" s="66" t="s">
        <v>1597</v>
      </c>
      <c r="C383" s="66" t="s">
        <v>1598</v>
      </c>
      <c r="D383" s="66" t="s">
        <v>1599</v>
      </c>
      <c r="E383" s="43" t="s">
        <v>42</v>
      </c>
      <c r="F383" s="44" t="s">
        <v>42</v>
      </c>
      <c r="G383" s="133"/>
      <c r="H383" s="56" t="s">
        <v>86</v>
      </c>
      <c r="I383" s="54" t="s">
        <v>243</v>
      </c>
      <c r="J383" s="12"/>
      <c r="K383" s="12"/>
      <c r="L383" s="12"/>
      <c r="M383" s="12"/>
      <c r="N383" s="118"/>
      <c r="O383" s="118"/>
      <c r="P383" s="118"/>
    </row>
    <row r="384" spans="1:16" ht="76.5">
      <c r="A384" s="41">
        <v>633</v>
      </c>
      <c r="B384" s="66" t="s">
        <v>1600</v>
      </c>
      <c r="C384" s="66" t="s">
        <v>1601</v>
      </c>
      <c r="D384" s="66" t="s">
        <v>1602</v>
      </c>
      <c r="E384" s="43" t="s">
        <v>42</v>
      </c>
      <c r="F384" s="44" t="s">
        <v>42</v>
      </c>
      <c r="G384" s="133"/>
      <c r="H384" s="56" t="s">
        <v>84</v>
      </c>
      <c r="I384" s="54" t="s">
        <v>1603</v>
      </c>
      <c r="J384" s="12"/>
      <c r="K384" s="12"/>
      <c r="L384" s="12"/>
      <c r="M384" s="12"/>
      <c r="N384" s="118"/>
      <c r="O384" s="118"/>
      <c r="P384" s="118"/>
    </row>
    <row r="385" spans="1:16" ht="38.25">
      <c r="A385" s="41">
        <v>634</v>
      </c>
      <c r="B385" s="66" t="s">
        <v>1604</v>
      </c>
      <c r="C385" s="66" t="s">
        <v>1605</v>
      </c>
      <c r="D385" s="42" t="s">
        <v>1606</v>
      </c>
      <c r="E385" s="43" t="s">
        <v>74</v>
      </c>
      <c r="F385" s="44" t="s">
        <v>74</v>
      </c>
      <c r="G385" s="133"/>
      <c r="H385" s="56" t="s">
        <v>86</v>
      </c>
      <c r="I385" s="54" t="s">
        <v>243</v>
      </c>
      <c r="J385" s="12"/>
      <c r="K385" s="12"/>
      <c r="L385" s="12"/>
      <c r="M385" s="12"/>
      <c r="N385" s="118"/>
      <c r="O385" s="118"/>
      <c r="P385" s="118"/>
    </row>
    <row r="386" spans="1:16" ht="63.75">
      <c r="A386" s="41">
        <v>635</v>
      </c>
      <c r="B386" s="66" t="s">
        <v>1607</v>
      </c>
      <c r="C386" s="66" t="s">
        <v>1608</v>
      </c>
      <c r="D386" s="66" t="s">
        <v>1609</v>
      </c>
      <c r="E386" s="43"/>
      <c r="F386" s="131" t="s">
        <v>74</v>
      </c>
      <c r="G386" s="133"/>
      <c r="H386" s="56" t="s">
        <v>43</v>
      </c>
      <c r="I386" s="54" t="s">
        <v>1610</v>
      </c>
      <c r="J386" s="12"/>
      <c r="K386" s="12"/>
      <c r="L386" s="12"/>
      <c r="M386" s="12"/>
      <c r="N386" s="118"/>
      <c r="O386" s="118"/>
      <c r="P386" s="118"/>
    </row>
    <row r="387" spans="1:16" ht="38.25">
      <c r="A387" s="41">
        <v>636</v>
      </c>
      <c r="B387" s="66" t="s">
        <v>1611</v>
      </c>
      <c r="C387" s="66" t="s">
        <v>1612</v>
      </c>
      <c r="D387" s="66" t="s">
        <v>1613</v>
      </c>
      <c r="E387" s="43" t="s">
        <v>74</v>
      </c>
      <c r="F387" s="131"/>
      <c r="G387" s="133"/>
      <c r="H387" s="56" t="s">
        <v>86</v>
      </c>
      <c r="I387" s="54" t="s">
        <v>243</v>
      </c>
      <c r="J387" s="12"/>
      <c r="K387" s="12"/>
      <c r="L387" s="12"/>
      <c r="M387" s="12"/>
      <c r="N387" s="118"/>
      <c r="O387" s="118"/>
      <c r="P387" s="118"/>
    </row>
    <row r="388" spans="1:16" ht="38.25">
      <c r="A388" s="41">
        <v>637</v>
      </c>
      <c r="B388" s="66" t="s">
        <v>1614</v>
      </c>
      <c r="C388" s="66" t="s">
        <v>1615</v>
      </c>
      <c r="D388" s="42" t="s">
        <v>1616</v>
      </c>
      <c r="E388" s="43"/>
      <c r="F388" s="131" t="s">
        <v>74</v>
      </c>
      <c r="G388" s="133"/>
      <c r="H388" s="56" t="s">
        <v>86</v>
      </c>
      <c r="I388" s="54" t="s">
        <v>243</v>
      </c>
      <c r="J388" s="12"/>
      <c r="K388" s="12"/>
      <c r="L388" s="12"/>
      <c r="M388" s="12"/>
      <c r="N388" s="118"/>
      <c r="O388" s="118"/>
      <c r="P388" s="118"/>
    </row>
    <row r="389" spans="1:16" ht="25.5">
      <c r="A389" s="41">
        <v>638</v>
      </c>
      <c r="B389" s="66" t="s">
        <v>1617</v>
      </c>
      <c r="C389" s="66" t="s">
        <v>1618</v>
      </c>
      <c r="D389" s="42" t="s">
        <v>1619</v>
      </c>
      <c r="E389" s="43" t="s">
        <v>74</v>
      </c>
      <c r="F389" s="44" t="s">
        <v>74</v>
      </c>
      <c r="G389" s="133" t="s">
        <v>74</v>
      </c>
      <c r="H389" s="56" t="s">
        <v>86</v>
      </c>
      <c r="I389" s="54" t="s">
        <v>243</v>
      </c>
      <c r="J389" s="12"/>
      <c r="K389" s="12"/>
      <c r="L389" s="12"/>
      <c r="M389" s="12"/>
      <c r="N389" s="118"/>
      <c r="O389" s="118"/>
      <c r="P389" s="118"/>
    </row>
    <row r="390" spans="1:16" ht="89.25">
      <c r="A390" s="41">
        <v>639</v>
      </c>
      <c r="B390" s="66" t="s">
        <v>1620</v>
      </c>
      <c r="C390" s="66" t="s">
        <v>1621</v>
      </c>
      <c r="D390" s="42" t="s">
        <v>1622</v>
      </c>
      <c r="E390" s="43" t="s">
        <v>74</v>
      </c>
      <c r="F390" s="44" t="s">
        <v>74</v>
      </c>
      <c r="G390" s="133"/>
      <c r="H390" s="56" t="s">
        <v>86</v>
      </c>
      <c r="I390" s="54" t="s">
        <v>1623</v>
      </c>
      <c r="J390" s="12"/>
      <c r="K390" s="12"/>
      <c r="L390" s="12"/>
      <c r="M390" s="12"/>
      <c r="N390" s="118"/>
      <c r="O390" s="118"/>
      <c r="P390" s="118"/>
    </row>
    <row r="391" spans="1:16" ht="51">
      <c r="A391" s="41">
        <v>640</v>
      </c>
      <c r="B391" s="66" t="s">
        <v>1624</v>
      </c>
      <c r="C391" s="66" t="s">
        <v>1625</v>
      </c>
      <c r="D391" s="66" t="s">
        <v>1626</v>
      </c>
      <c r="E391" s="43" t="s">
        <v>74</v>
      </c>
      <c r="F391" s="44" t="s">
        <v>74</v>
      </c>
      <c r="G391" s="133"/>
      <c r="H391" s="56" t="s">
        <v>86</v>
      </c>
      <c r="I391" s="54" t="s">
        <v>1085</v>
      </c>
      <c r="J391" s="12"/>
      <c r="K391" s="12"/>
      <c r="L391" s="12"/>
      <c r="M391" s="12"/>
      <c r="N391" s="118"/>
      <c r="O391" s="118"/>
      <c r="P391" s="118"/>
    </row>
    <row r="392" spans="1:16" ht="38.25">
      <c r="A392" s="41">
        <v>650</v>
      </c>
      <c r="B392" s="66" t="s">
        <v>1628</v>
      </c>
      <c r="C392" s="81" t="s">
        <v>1629</v>
      </c>
      <c r="D392" s="66" t="s">
        <v>1630</v>
      </c>
      <c r="E392" s="43" t="s">
        <v>42</v>
      </c>
      <c r="F392" s="131" t="s">
        <v>42</v>
      </c>
      <c r="G392" s="133"/>
      <c r="H392" s="56" t="s">
        <v>43</v>
      </c>
      <c r="I392" s="54" t="s">
        <v>1631</v>
      </c>
      <c r="J392" s="12"/>
      <c r="K392" s="12"/>
      <c r="L392" s="12"/>
      <c r="M392" s="12"/>
      <c r="N392" s="118"/>
      <c r="O392" s="118"/>
      <c r="P392" s="118"/>
    </row>
    <row r="393" spans="1:16" ht="76.5">
      <c r="A393" s="41">
        <v>651</v>
      </c>
      <c r="B393" s="66" t="s">
        <v>1633</v>
      </c>
      <c r="C393" s="66" t="s">
        <v>1634</v>
      </c>
      <c r="D393" s="66" t="s">
        <v>1635</v>
      </c>
      <c r="E393" s="43" t="s">
        <v>42</v>
      </c>
      <c r="F393" s="131" t="s">
        <v>42</v>
      </c>
      <c r="G393" s="133"/>
      <c r="H393" s="56" t="s">
        <v>86</v>
      </c>
      <c r="I393" s="54" t="s">
        <v>243</v>
      </c>
      <c r="J393" s="12"/>
      <c r="K393" s="12"/>
      <c r="L393" s="12"/>
      <c r="M393" s="12"/>
      <c r="N393" s="118"/>
      <c r="O393" s="118"/>
      <c r="P393" s="118"/>
    </row>
    <row r="394" spans="1:16" ht="38.25">
      <c r="A394" s="41">
        <v>652</v>
      </c>
      <c r="B394" s="66" t="s">
        <v>1637</v>
      </c>
      <c r="C394" s="66" t="s">
        <v>1638</v>
      </c>
      <c r="D394" s="42" t="s">
        <v>1639</v>
      </c>
      <c r="E394" s="43" t="s">
        <v>74</v>
      </c>
      <c r="F394" s="131" t="s">
        <v>74</v>
      </c>
      <c r="G394" s="133"/>
      <c r="H394" s="56" t="s">
        <v>86</v>
      </c>
      <c r="I394" s="54" t="s">
        <v>1085</v>
      </c>
      <c r="J394" s="12"/>
      <c r="K394" s="12"/>
      <c r="L394" s="12"/>
      <c r="M394" s="12"/>
      <c r="N394" s="118"/>
      <c r="O394" s="118"/>
      <c r="P394" s="118"/>
    </row>
    <row r="395" spans="1:16" ht="38.25">
      <c r="A395" s="41">
        <v>653</v>
      </c>
      <c r="B395" s="66" t="s">
        <v>1640</v>
      </c>
      <c r="C395" s="66" t="s">
        <v>1641</v>
      </c>
      <c r="D395" s="66" t="s">
        <v>1642</v>
      </c>
      <c r="E395" s="43"/>
      <c r="F395" s="131"/>
      <c r="G395" s="133"/>
      <c r="H395" s="56" t="s">
        <v>84</v>
      </c>
      <c r="I395" s="54" t="s">
        <v>1643</v>
      </c>
      <c r="J395" s="12"/>
      <c r="K395" s="12"/>
      <c r="L395" s="12"/>
      <c r="M395" s="12"/>
      <c r="N395" s="118"/>
      <c r="O395" s="118"/>
      <c r="P395" s="118"/>
    </row>
    <row r="396" spans="1:16" ht="38.25">
      <c r="A396" s="41">
        <v>654</v>
      </c>
      <c r="B396" s="66" t="s">
        <v>1644</v>
      </c>
      <c r="C396" s="66" t="s">
        <v>1645</v>
      </c>
      <c r="D396" s="42" t="s">
        <v>1646</v>
      </c>
      <c r="E396" s="43"/>
      <c r="F396" s="131"/>
      <c r="G396" s="133"/>
      <c r="H396" s="56" t="s">
        <v>86</v>
      </c>
      <c r="I396" s="54" t="s">
        <v>243</v>
      </c>
      <c r="J396" s="12"/>
      <c r="K396" s="12"/>
      <c r="L396" s="12"/>
      <c r="M396" s="12"/>
      <c r="N396" s="118"/>
      <c r="O396" s="118"/>
      <c r="P396" s="118"/>
    </row>
    <row r="397" spans="1:16" ht="38.25">
      <c r="A397" s="41">
        <v>655</v>
      </c>
      <c r="B397" s="66" t="s">
        <v>1647</v>
      </c>
      <c r="C397" s="66" t="s">
        <v>1648</v>
      </c>
      <c r="D397" s="66" t="s">
        <v>1649</v>
      </c>
      <c r="E397" s="43" t="s">
        <v>42</v>
      </c>
      <c r="F397" s="44" t="s">
        <v>42</v>
      </c>
      <c r="G397" s="133"/>
      <c r="H397" s="56" t="s">
        <v>43</v>
      </c>
      <c r="I397" s="54" t="s">
        <v>1650</v>
      </c>
      <c r="J397" s="12"/>
      <c r="K397" s="12"/>
      <c r="L397" s="12"/>
      <c r="M397" s="12"/>
      <c r="N397" s="118"/>
      <c r="O397" s="118"/>
      <c r="P397" s="118"/>
    </row>
    <row r="398" spans="1:16" ht="38.25">
      <c r="A398" s="41">
        <v>658</v>
      </c>
      <c r="B398" s="66" t="s">
        <v>1651</v>
      </c>
      <c r="C398" s="66" t="s">
        <v>1652</v>
      </c>
      <c r="D398" s="66" t="s">
        <v>1653</v>
      </c>
      <c r="E398" s="43" t="s">
        <v>42</v>
      </c>
      <c r="F398" s="44" t="s">
        <v>42</v>
      </c>
      <c r="G398" s="133"/>
      <c r="H398" s="56" t="s">
        <v>86</v>
      </c>
      <c r="I398" s="54" t="s">
        <v>243</v>
      </c>
      <c r="J398" s="12"/>
      <c r="K398" s="12"/>
      <c r="L398" s="12"/>
      <c r="M398" s="12"/>
      <c r="N398" s="118"/>
      <c r="O398" s="118"/>
      <c r="P398" s="118"/>
    </row>
    <row r="399" spans="1:16" ht="25.5">
      <c r="A399" s="41">
        <v>659</v>
      </c>
      <c r="B399" s="66" t="s">
        <v>1654</v>
      </c>
      <c r="C399" s="66" t="s">
        <v>1655</v>
      </c>
      <c r="D399" s="66" t="s">
        <v>1656</v>
      </c>
      <c r="E399" s="43"/>
      <c r="F399" s="131"/>
      <c r="G399" s="133" t="s">
        <v>1365</v>
      </c>
      <c r="H399" s="56" t="s">
        <v>86</v>
      </c>
      <c r="I399" s="54" t="s">
        <v>243</v>
      </c>
      <c r="J399" s="12"/>
      <c r="K399" s="12"/>
      <c r="L399" s="12"/>
      <c r="M399" s="12"/>
      <c r="N399" s="118"/>
      <c r="O399" s="118"/>
      <c r="P399" s="118"/>
    </row>
    <row r="400" spans="1:16" ht="38.25">
      <c r="A400" s="41">
        <v>660</v>
      </c>
      <c r="B400" s="66" t="s">
        <v>1657</v>
      </c>
      <c r="C400" s="66" t="s">
        <v>1658</v>
      </c>
      <c r="D400" s="42" t="s">
        <v>1659</v>
      </c>
      <c r="E400" s="43"/>
      <c r="F400" s="131"/>
      <c r="G400" s="133"/>
      <c r="H400" s="56" t="s">
        <v>86</v>
      </c>
      <c r="I400" s="54" t="s">
        <v>243</v>
      </c>
      <c r="J400" s="12"/>
      <c r="K400" s="12"/>
      <c r="L400" s="12"/>
      <c r="M400" s="12"/>
      <c r="N400" s="118"/>
      <c r="O400" s="118"/>
      <c r="P400" s="118"/>
    </row>
    <row r="401" spans="1:16" ht="38.25">
      <c r="A401" s="41">
        <v>661</v>
      </c>
      <c r="B401" s="66" t="s">
        <v>1660</v>
      </c>
      <c r="C401" s="66" t="s">
        <v>1661</v>
      </c>
      <c r="D401" s="42" t="s">
        <v>1662</v>
      </c>
      <c r="E401" s="43"/>
      <c r="F401" s="131"/>
      <c r="G401" s="133"/>
      <c r="H401" s="56" t="s">
        <v>86</v>
      </c>
      <c r="I401" s="54" t="s">
        <v>243</v>
      </c>
      <c r="J401" s="12"/>
      <c r="K401" s="12"/>
      <c r="L401" s="12"/>
      <c r="M401" s="12"/>
      <c r="N401" s="118"/>
      <c r="O401" s="118"/>
      <c r="P401" s="118"/>
    </row>
    <row r="402" spans="1:16" ht="51">
      <c r="A402" s="41">
        <v>662</v>
      </c>
      <c r="B402" s="66" t="s">
        <v>1663</v>
      </c>
      <c r="C402" s="54" t="s">
        <v>1664</v>
      </c>
      <c r="D402" s="66" t="s">
        <v>1665</v>
      </c>
      <c r="E402" s="43" t="s">
        <v>42</v>
      </c>
      <c r="F402" s="44" t="s">
        <v>42</v>
      </c>
      <c r="G402" s="133"/>
      <c r="H402" s="56" t="s">
        <v>86</v>
      </c>
      <c r="I402" s="54" t="s">
        <v>243</v>
      </c>
      <c r="J402" s="12"/>
      <c r="K402" s="12"/>
      <c r="L402" s="12"/>
      <c r="M402" s="12"/>
      <c r="N402" s="118"/>
      <c r="O402" s="118"/>
      <c r="P402" s="118"/>
    </row>
    <row r="403" spans="1:16" ht="76.5">
      <c r="A403" s="41">
        <v>663</v>
      </c>
      <c r="B403" s="66" t="s">
        <v>1666</v>
      </c>
      <c r="C403" s="66" t="s">
        <v>1667</v>
      </c>
      <c r="D403" s="42" t="s">
        <v>1668</v>
      </c>
      <c r="E403" s="43" t="s">
        <v>42</v>
      </c>
      <c r="F403" s="131"/>
      <c r="G403" s="133"/>
      <c r="H403" s="56" t="s">
        <v>84</v>
      </c>
      <c r="I403" s="54" t="s">
        <v>1669</v>
      </c>
      <c r="J403" s="12"/>
      <c r="K403" s="12"/>
      <c r="L403" s="12"/>
      <c r="M403" s="12"/>
      <c r="N403" s="118"/>
      <c r="O403" s="118"/>
      <c r="P403" s="118"/>
    </row>
    <row r="404" spans="1:16" ht="76.5">
      <c r="A404" s="41">
        <v>664</v>
      </c>
      <c r="B404" s="66" t="s">
        <v>1671</v>
      </c>
      <c r="C404" s="66" t="s">
        <v>1672</v>
      </c>
      <c r="D404" s="66" t="s">
        <v>1673</v>
      </c>
      <c r="E404" s="126"/>
      <c r="F404" s="131"/>
      <c r="G404" s="133"/>
      <c r="H404" s="56" t="s">
        <v>84</v>
      </c>
      <c r="I404" s="54" t="s">
        <v>1669</v>
      </c>
      <c r="J404" s="12"/>
      <c r="K404" s="12"/>
      <c r="L404" s="12"/>
      <c r="M404" s="12"/>
      <c r="N404" s="118"/>
      <c r="O404" s="118"/>
      <c r="P404" s="118"/>
    </row>
    <row r="405" spans="1:16" ht="76.5">
      <c r="A405" s="41">
        <v>665</v>
      </c>
      <c r="B405" s="66" t="s">
        <v>1675</v>
      </c>
      <c r="C405" s="66" t="s">
        <v>1676</v>
      </c>
      <c r="D405" s="42" t="s">
        <v>1677</v>
      </c>
      <c r="E405" s="126"/>
      <c r="F405" s="131"/>
      <c r="G405" s="133"/>
      <c r="H405" s="56" t="s">
        <v>84</v>
      </c>
      <c r="I405" s="54" t="s">
        <v>1669</v>
      </c>
      <c r="J405" s="12"/>
      <c r="K405" s="12"/>
      <c r="L405" s="12"/>
      <c r="M405" s="12"/>
      <c r="N405" s="118"/>
      <c r="O405" s="118"/>
      <c r="P405" s="118"/>
    </row>
    <row r="406" spans="1:16" ht="63.75">
      <c r="A406" s="41">
        <v>666</v>
      </c>
      <c r="B406" s="66" t="s">
        <v>1679</v>
      </c>
      <c r="C406" s="66" t="s">
        <v>1680</v>
      </c>
      <c r="D406" s="66" t="s">
        <v>1681</v>
      </c>
      <c r="E406" s="43"/>
      <c r="F406" s="44"/>
      <c r="G406" s="133"/>
      <c r="H406" s="56" t="s">
        <v>84</v>
      </c>
      <c r="I406" s="54" t="s">
        <v>1682</v>
      </c>
      <c r="J406" s="12"/>
      <c r="K406" s="12"/>
      <c r="L406" s="12"/>
      <c r="M406" s="12"/>
      <c r="N406" s="118"/>
      <c r="O406" s="118"/>
      <c r="P406" s="118"/>
    </row>
    <row r="407" spans="1:16" ht="63.75">
      <c r="A407" s="41">
        <v>667</v>
      </c>
      <c r="B407" s="66" t="s">
        <v>1684</v>
      </c>
      <c r="C407" s="66" t="s">
        <v>1685</v>
      </c>
      <c r="D407" s="66" t="s">
        <v>1686</v>
      </c>
      <c r="E407" s="43"/>
      <c r="F407" s="131"/>
      <c r="G407" s="133"/>
      <c r="H407" s="56" t="s">
        <v>84</v>
      </c>
      <c r="I407" s="54" t="s">
        <v>1687</v>
      </c>
      <c r="J407" s="12"/>
      <c r="K407" s="12"/>
      <c r="L407" s="12"/>
      <c r="M407" s="12"/>
      <c r="N407" s="118"/>
      <c r="O407" s="118"/>
      <c r="P407" s="118"/>
    </row>
    <row r="408" spans="1:16" ht="38.25">
      <c r="A408" s="41">
        <v>669</v>
      </c>
      <c r="B408" s="66" t="s">
        <v>1688</v>
      </c>
      <c r="C408" s="66" t="s">
        <v>1689</v>
      </c>
      <c r="D408" s="42" t="s">
        <v>1690</v>
      </c>
      <c r="E408" s="43" t="s">
        <v>42</v>
      </c>
      <c r="F408" s="44" t="s">
        <v>42</v>
      </c>
      <c r="G408" s="133"/>
      <c r="H408" s="56" t="s">
        <v>437</v>
      </c>
      <c r="I408" s="54" t="s">
        <v>1691</v>
      </c>
      <c r="J408" s="12"/>
      <c r="K408" s="12"/>
      <c r="L408" s="12"/>
      <c r="M408" s="12"/>
      <c r="N408" s="118"/>
      <c r="O408" s="118"/>
      <c r="P408" s="118"/>
    </row>
    <row r="409" spans="1:16" ht="178.5">
      <c r="A409" s="41">
        <v>670</v>
      </c>
      <c r="B409" s="66" t="s">
        <v>1692</v>
      </c>
      <c r="C409" s="66" t="s">
        <v>1693</v>
      </c>
      <c r="D409" s="66" t="s">
        <v>1694</v>
      </c>
      <c r="E409" s="43"/>
      <c r="F409" s="131" t="s">
        <v>42</v>
      </c>
      <c r="G409" s="133"/>
      <c r="H409" s="56" t="s">
        <v>43</v>
      </c>
      <c r="I409" s="54" t="s">
        <v>1695</v>
      </c>
      <c r="J409" s="12"/>
      <c r="K409" s="12"/>
      <c r="L409" s="12"/>
      <c r="M409" s="12"/>
      <c r="N409" s="118"/>
      <c r="O409" s="118"/>
      <c r="P409" s="118"/>
    </row>
    <row r="410" spans="1:16" ht="51">
      <c r="A410" s="41">
        <v>671</v>
      </c>
      <c r="B410" s="66" t="s">
        <v>1696</v>
      </c>
      <c r="C410" s="66" t="s">
        <v>1697</v>
      </c>
      <c r="D410" s="42" t="s">
        <v>1698</v>
      </c>
      <c r="E410" s="43"/>
      <c r="F410" s="131" t="s">
        <v>74</v>
      </c>
      <c r="G410" s="133"/>
      <c r="H410" s="56" t="s">
        <v>437</v>
      </c>
      <c r="I410" s="54" t="s">
        <v>1699</v>
      </c>
      <c r="J410" s="12"/>
      <c r="K410" s="12"/>
      <c r="L410" s="12"/>
      <c r="M410" s="12"/>
      <c r="N410" s="118"/>
      <c r="O410" s="118"/>
      <c r="P410" s="118"/>
    </row>
    <row r="411" spans="1:16" ht="51">
      <c r="A411" s="41">
        <v>672</v>
      </c>
      <c r="B411" s="66" t="s">
        <v>1700</v>
      </c>
      <c r="C411" s="66" t="s">
        <v>1701</v>
      </c>
      <c r="D411" s="42" t="s">
        <v>1702</v>
      </c>
      <c r="E411" s="43"/>
      <c r="F411" s="131" t="s">
        <v>74</v>
      </c>
      <c r="G411" s="133"/>
      <c r="H411" s="56" t="s">
        <v>43</v>
      </c>
      <c r="I411" s="54" t="s">
        <v>1703</v>
      </c>
      <c r="J411" s="12"/>
      <c r="K411" s="12"/>
      <c r="L411" s="12"/>
      <c r="M411" s="12"/>
      <c r="N411" s="118"/>
      <c r="O411" s="118"/>
      <c r="P411" s="118"/>
    </row>
    <row r="412" spans="1:16" ht="38.25">
      <c r="A412" s="41">
        <v>673</v>
      </c>
      <c r="B412" s="66" t="s">
        <v>1704</v>
      </c>
      <c r="C412" s="66" t="s">
        <v>1705</v>
      </c>
      <c r="D412" s="42" t="s">
        <v>1706</v>
      </c>
      <c r="E412" s="43"/>
      <c r="F412" s="131" t="s">
        <v>74</v>
      </c>
      <c r="G412" s="133"/>
      <c r="H412" s="56" t="s">
        <v>84</v>
      </c>
      <c r="I412" s="54" t="s">
        <v>1707</v>
      </c>
      <c r="J412" s="12"/>
      <c r="K412" s="12"/>
      <c r="L412" s="12"/>
      <c r="M412" s="12"/>
      <c r="N412" s="118"/>
      <c r="O412" s="118"/>
      <c r="P412" s="118"/>
    </row>
    <row r="413" spans="1:16" ht="38.25">
      <c r="A413" s="41">
        <v>674</v>
      </c>
      <c r="B413" s="66" t="s">
        <v>1708</v>
      </c>
      <c r="C413" s="66" t="s">
        <v>1709</v>
      </c>
      <c r="D413" s="42" t="s">
        <v>1710</v>
      </c>
      <c r="E413" s="43"/>
      <c r="F413" s="131" t="s">
        <v>74</v>
      </c>
      <c r="G413" s="133"/>
      <c r="H413" s="56" t="s">
        <v>437</v>
      </c>
      <c r="I413" s="54" t="s">
        <v>1711</v>
      </c>
      <c r="J413" s="12"/>
      <c r="K413" s="12"/>
      <c r="L413" s="12"/>
      <c r="M413" s="12"/>
      <c r="N413" s="118"/>
      <c r="O413" s="118"/>
      <c r="P413" s="118"/>
    </row>
    <row r="414" spans="1:16" ht="76.5">
      <c r="A414" s="41">
        <v>676</v>
      </c>
      <c r="B414" s="66" t="s">
        <v>1712</v>
      </c>
      <c r="C414" s="66" t="s">
        <v>1713</v>
      </c>
      <c r="D414" s="66" t="s">
        <v>1714</v>
      </c>
      <c r="E414" s="43" t="s">
        <v>42</v>
      </c>
      <c r="F414" s="44" t="s">
        <v>42</v>
      </c>
      <c r="G414" s="133" t="s">
        <v>42</v>
      </c>
      <c r="H414" s="56" t="s">
        <v>84</v>
      </c>
      <c r="I414" s="54" t="s">
        <v>1715</v>
      </c>
      <c r="J414" s="12"/>
      <c r="K414" s="12"/>
      <c r="L414" s="12"/>
      <c r="M414" s="12"/>
      <c r="N414" s="118"/>
      <c r="O414" s="118"/>
      <c r="P414" s="118"/>
    </row>
    <row r="415" spans="1:16" ht="102">
      <c r="A415" s="41">
        <v>677</v>
      </c>
      <c r="B415" s="66" t="s">
        <v>1717</v>
      </c>
      <c r="C415" s="66" t="s">
        <v>1718</v>
      </c>
      <c r="D415" s="66" t="s">
        <v>1719</v>
      </c>
      <c r="E415" s="43"/>
      <c r="F415" s="131" t="s">
        <v>42</v>
      </c>
      <c r="G415" s="133"/>
      <c r="H415" s="56" t="s">
        <v>84</v>
      </c>
      <c r="I415" s="54" t="s">
        <v>1720</v>
      </c>
      <c r="J415" s="12"/>
      <c r="K415" s="12"/>
      <c r="L415" s="12"/>
      <c r="M415" s="12"/>
      <c r="N415" s="118"/>
      <c r="O415" s="118"/>
      <c r="P415" s="118"/>
    </row>
    <row r="416" spans="1:16" ht="51">
      <c r="A416" s="41">
        <v>679</v>
      </c>
      <c r="B416" s="66" t="s">
        <v>1721</v>
      </c>
      <c r="C416" s="66" t="s">
        <v>1722</v>
      </c>
      <c r="D416" s="66" t="s">
        <v>1723</v>
      </c>
      <c r="E416" s="43"/>
      <c r="F416" s="131" t="s">
        <v>42</v>
      </c>
      <c r="G416" s="133"/>
      <c r="H416" s="56" t="s">
        <v>84</v>
      </c>
      <c r="I416" s="54"/>
      <c r="J416" s="12"/>
      <c r="K416" s="12"/>
      <c r="L416" s="12"/>
      <c r="M416" s="12"/>
      <c r="N416" s="118"/>
      <c r="O416" s="118"/>
      <c r="P416" s="118"/>
    </row>
    <row r="417" spans="1:16" ht="51">
      <c r="A417" s="41">
        <v>680</v>
      </c>
      <c r="B417" s="66" t="s">
        <v>1724</v>
      </c>
      <c r="C417" s="66" t="s">
        <v>1725</v>
      </c>
      <c r="D417" s="66" t="s">
        <v>1726</v>
      </c>
      <c r="E417" s="43" t="s">
        <v>42</v>
      </c>
      <c r="F417" s="131" t="s">
        <v>42</v>
      </c>
      <c r="G417" s="133" t="s">
        <v>42</v>
      </c>
      <c r="H417" s="56" t="s">
        <v>86</v>
      </c>
      <c r="I417" s="54" t="s">
        <v>243</v>
      </c>
      <c r="J417" s="12"/>
      <c r="K417" s="12"/>
      <c r="L417" s="12"/>
      <c r="M417" s="12"/>
      <c r="N417" s="118"/>
      <c r="O417" s="118"/>
      <c r="P417" s="118"/>
    </row>
    <row r="418" spans="1:16" ht="25.5">
      <c r="A418" s="41">
        <v>681</v>
      </c>
      <c r="B418" s="66" t="s">
        <v>1727</v>
      </c>
      <c r="C418" s="66" t="s">
        <v>1728</v>
      </c>
      <c r="D418" s="66" t="s">
        <v>1729</v>
      </c>
      <c r="E418" s="43"/>
      <c r="F418" s="131" t="s">
        <v>42</v>
      </c>
      <c r="G418" s="133"/>
      <c r="H418" s="56" t="s">
        <v>43</v>
      </c>
      <c r="I418" s="54"/>
      <c r="J418" s="12"/>
      <c r="K418" s="12"/>
      <c r="L418" s="12"/>
      <c r="M418" s="12"/>
      <c r="N418" s="118"/>
      <c r="O418" s="118"/>
      <c r="P418" s="118"/>
    </row>
    <row r="419" spans="1:16" ht="63.75">
      <c r="A419" s="41">
        <v>682</v>
      </c>
      <c r="B419" s="66" t="s">
        <v>1730</v>
      </c>
      <c r="C419" s="66" t="s">
        <v>1731</v>
      </c>
      <c r="D419" s="66" t="s">
        <v>1732</v>
      </c>
      <c r="E419" s="43"/>
      <c r="F419" s="131" t="s">
        <v>74</v>
      </c>
      <c r="G419" s="133"/>
      <c r="H419" s="56" t="s">
        <v>43</v>
      </c>
      <c r="I419" s="54" t="s">
        <v>1733</v>
      </c>
      <c r="J419" s="12"/>
      <c r="K419" s="12"/>
      <c r="L419" s="12"/>
      <c r="M419" s="12"/>
      <c r="N419" s="118"/>
      <c r="O419" s="118"/>
      <c r="P419" s="118"/>
    </row>
    <row r="420" spans="1:16" ht="38.25">
      <c r="A420" s="41">
        <v>683</v>
      </c>
      <c r="B420" s="66" t="s">
        <v>1734</v>
      </c>
      <c r="C420" s="66" t="s">
        <v>1735</v>
      </c>
      <c r="D420" s="42" t="s">
        <v>1736</v>
      </c>
      <c r="E420" s="43"/>
      <c r="F420" s="131" t="s">
        <v>74</v>
      </c>
      <c r="G420" s="133"/>
      <c r="H420" s="56" t="s">
        <v>43</v>
      </c>
      <c r="I420" s="66"/>
      <c r="J420" s="12"/>
      <c r="K420" s="12"/>
      <c r="L420" s="12"/>
      <c r="M420" s="12"/>
      <c r="N420" s="118"/>
      <c r="O420" s="118"/>
      <c r="P420" s="118"/>
    </row>
    <row r="421" spans="1:16" ht="25.5">
      <c r="A421" s="41">
        <v>684</v>
      </c>
      <c r="B421" s="66" t="s">
        <v>1737</v>
      </c>
      <c r="C421" s="66" t="s">
        <v>1738</v>
      </c>
      <c r="D421" s="42" t="s">
        <v>1739</v>
      </c>
      <c r="E421" s="43"/>
      <c r="F421" s="131" t="s">
        <v>74</v>
      </c>
      <c r="G421" s="133"/>
      <c r="H421" s="56" t="s">
        <v>86</v>
      </c>
      <c r="I421" s="54" t="s">
        <v>243</v>
      </c>
      <c r="J421" s="12"/>
      <c r="K421" s="12"/>
      <c r="L421" s="12"/>
      <c r="M421" s="12"/>
      <c r="N421" s="118"/>
      <c r="O421" s="118"/>
      <c r="P421" s="118"/>
    </row>
    <row r="422" spans="1:16" ht="38.25">
      <c r="A422" s="41">
        <v>689</v>
      </c>
      <c r="B422" s="66" t="s">
        <v>1740</v>
      </c>
      <c r="C422" s="66" t="s">
        <v>1741</v>
      </c>
      <c r="D422" s="42" t="s">
        <v>1742</v>
      </c>
      <c r="E422" s="43" t="s">
        <v>42</v>
      </c>
      <c r="F422" s="44" t="s">
        <v>42</v>
      </c>
      <c r="G422" s="133"/>
      <c r="H422" s="56" t="s">
        <v>86</v>
      </c>
      <c r="I422" s="54" t="s">
        <v>1743</v>
      </c>
      <c r="J422" s="12"/>
      <c r="K422" s="12"/>
      <c r="L422" s="12"/>
      <c r="M422" s="12"/>
      <c r="N422" s="118"/>
      <c r="O422" s="118"/>
      <c r="P422" s="118"/>
    </row>
    <row r="423" spans="1:16" ht="38.25">
      <c r="A423" s="41">
        <v>690</v>
      </c>
      <c r="B423" s="66" t="s">
        <v>1745</v>
      </c>
      <c r="C423" s="66" t="s">
        <v>1092</v>
      </c>
      <c r="D423" s="42" t="s">
        <v>1746</v>
      </c>
      <c r="E423" s="43" t="s">
        <v>74</v>
      </c>
      <c r="F423" s="131" t="s">
        <v>74</v>
      </c>
      <c r="G423" s="133"/>
      <c r="H423" s="56" t="s">
        <v>86</v>
      </c>
      <c r="I423" s="54" t="s">
        <v>243</v>
      </c>
      <c r="J423" s="12"/>
      <c r="K423" s="12"/>
      <c r="L423" s="12"/>
      <c r="M423" s="12"/>
      <c r="N423" s="118"/>
      <c r="O423" s="118"/>
      <c r="P423" s="118"/>
    </row>
    <row r="424" spans="1:16" ht="51">
      <c r="A424" s="41">
        <v>713</v>
      </c>
      <c r="B424" s="66" t="s">
        <v>1747</v>
      </c>
      <c r="C424" s="66" t="s">
        <v>1748</v>
      </c>
      <c r="D424" s="42" t="s">
        <v>1749</v>
      </c>
      <c r="E424" s="43" t="s">
        <v>74</v>
      </c>
      <c r="F424" s="131" t="s">
        <v>74</v>
      </c>
      <c r="G424" s="133" t="s">
        <v>74</v>
      </c>
      <c r="H424" s="56" t="s">
        <v>43</v>
      </c>
      <c r="I424" s="54" t="s">
        <v>1750</v>
      </c>
      <c r="J424" s="12"/>
      <c r="K424" s="12"/>
      <c r="L424" s="12"/>
      <c r="M424" s="12"/>
      <c r="N424" s="118"/>
      <c r="O424" s="118"/>
      <c r="P424" s="118"/>
    </row>
    <row r="425" spans="1:16" ht="25.5">
      <c r="A425" s="41">
        <v>714</v>
      </c>
      <c r="B425" s="66" t="s">
        <v>1752</v>
      </c>
      <c r="C425" s="66" t="s">
        <v>1753</v>
      </c>
      <c r="D425" s="66" t="s">
        <v>1754</v>
      </c>
      <c r="E425" s="43" t="s">
        <v>42</v>
      </c>
      <c r="F425" s="131" t="s">
        <v>42</v>
      </c>
      <c r="G425" s="133"/>
      <c r="H425" s="56" t="s">
        <v>86</v>
      </c>
      <c r="I425" s="54" t="s">
        <v>243</v>
      </c>
      <c r="J425" s="12"/>
      <c r="K425" s="12"/>
      <c r="L425" s="12"/>
      <c r="M425" s="12"/>
      <c r="N425" s="118"/>
      <c r="O425" s="118"/>
      <c r="P425" s="118"/>
    </row>
    <row r="426" spans="1:16" ht="51">
      <c r="A426" s="41">
        <v>723</v>
      </c>
      <c r="B426" s="66" t="s">
        <v>1755</v>
      </c>
      <c r="C426" s="66" t="s">
        <v>1756</v>
      </c>
      <c r="D426" s="42" t="s">
        <v>1757</v>
      </c>
      <c r="E426" s="43"/>
      <c r="F426" s="131"/>
      <c r="G426" s="133"/>
      <c r="H426" s="56" t="s">
        <v>84</v>
      </c>
      <c r="I426" s="54" t="s">
        <v>1758</v>
      </c>
      <c r="J426" s="12"/>
      <c r="K426" s="12"/>
      <c r="L426" s="12"/>
      <c r="M426" s="12"/>
      <c r="N426" s="118"/>
      <c r="O426" s="118"/>
      <c r="P426" s="118"/>
    </row>
    <row r="427" spans="1:16" ht="25.5">
      <c r="A427" s="41">
        <v>726</v>
      </c>
      <c r="B427" s="66" t="s">
        <v>1760</v>
      </c>
      <c r="C427" s="66" t="s">
        <v>1761</v>
      </c>
      <c r="D427" s="42" t="s">
        <v>1762</v>
      </c>
      <c r="E427" s="43"/>
      <c r="F427" s="131"/>
      <c r="G427" s="133"/>
      <c r="H427" s="56" t="s">
        <v>84</v>
      </c>
      <c r="I427" s="54" t="s">
        <v>1758</v>
      </c>
      <c r="J427" s="12"/>
      <c r="K427" s="12"/>
      <c r="L427" s="12"/>
      <c r="M427" s="12"/>
      <c r="N427" s="118"/>
      <c r="O427" s="118"/>
      <c r="P427" s="118"/>
    </row>
    <row r="428" spans="1:16" ht="153">
      <c r="A428" s="41">
        <v>729</v>
      </c>
      <c r="B428" s="66" t="s">
        <v>1764</v>
      </c>
      <c r="C428" s="66" t="s">
        <v>1765</v>
      </c>
      <c r="D428" s="42" t="s">
        <v>1766</v>
      </c>
      <c r="E428" s="43" t="s">
        <v>42</v>
      </c>
      <c r="F428" s="44" t="s">
        <v>42</v>
      </c>
      <c r="G428" s="45" t="s">
        <v>42</v>
      </c>
      <c r="H428" s="56" t="s">
        <v>43</v>
      </c>
      <c r="I428" s="54" t="s">
        <v>1767</v>
      </c>
      <c r="J428" s="12"/>
      <c r="K428" s="12"/>
      <c r="L428" s="12"/>
      <c r="M428" s="12"/>
      <c r="N428" s="118"/>
      <c r="O428" s="118"/>
      <c r="P428" s="118"/>
    </row>
    <row r="429" spans="1:16" ht="178.5">
      <c r="A429" s="41">
        <v>730</v>
      </c>
      <c r="B429" s="66" t="s">
        <v>1769</v>
      </c>
      <c r="C429" s="66" t="s">
        <v>1770</v>
      </c>
      <c r="D429" s="66" t="s">
        <v>1771</v>
      </c>
      <c r="E429" s="43"/>
      <c r="F429" s="131" t="s">
        <v>42</v>
      </c>
      <c r="G429" s="133"/>
      <c r="H429" s="56" t="s">
        <v>43</v>
      </c>
      <c r="I429" s="54" t="s">
        <v>1772</v>
      </c>
      <c r="J429" s="12"/>
      <c r="K429" s="12"/>
      <c r="L429" s="12"/>
      <c r="M429" s="12"/>
      <c r="N429" s="118"/>
      <c r="O429" s="118"/>
      <c r="P429" s="118"/>
    </row>
    <row r="430" spans="1:16" ht="51">
      <c r="A430" s="41">
        <v>731</v>
      </c>
      <c r="B430" s="66" t="s">
        <v>1773</v>
      </c>
      <c r="C430" s="66" t="s">
        <v>1774</v>
      </c>
      <c r="D430" s="66" t="s">
        <v>1775</v>
      </c>
      <c r="E430" s="43"/>
      <c r="F430" s="131" t="s">
        <v>74</v>
      </c>
      <c r="G430" s="133"/>
      <c r="H430" s="56" t="s">
        <v>43</v>
      </c>
      <c r="I430" s="54" t="s">
        <v>1776</v>
      </c>
      <c r="J430" s="12"/>
      <c r="K430" s="12"/>
      <c r="L430" s="12"/>
      <c r="M430" s="12"/>
      <c r="N430" s="118"/>
      <c r="O430" s="118"/>
      <c r="P430" s="118"/>
    </row>
    <row r="431" spans="1:16" ht="38.25">
      <c r="A431" s="41">
        <v>732</v>
      </c>
      <c r="B431" s="66" t="s">
        <v>1777</v>
      </c>
      <c r="C431" s="66" t="s">
        <v>1778</v>
      </c>
      <c r="D431" s="66" t="s">
        <v>1779</v>
      </c>
      <c r="E431" s="43"/>
      <c r="F431" s="131" t="s">
        <v>42</v>
      </c>
      <c r="G431" s="133"/>
      <c r="H431" s="56" t="s">
        <v>43</v>
      </c>
      <c r="I431" s="54" t="s">
        <v>1780</v>
      </c>
      <c r="J431" s="12"/>
      <c r="K431" s="12"/>
      <c r="L431" s="12"/>
      <c r="M431" s="12"/>
      <c r="N431" s="118"/>
      <c r="O431" s="118"/>
      <c r="P431" s="118"/>
    </row>
    <row r="432" spans="1:16" ht="51">
      <c r="A432" s="41">
        <v>733</v>
      </c>
      <c r="B432" s="66" t="s">
        <v>1781</v>
      </c>
      <c r="C432" s="66" t="s">
        <v>1782</v>
      </c>
      <c r="D432" s="42" t="s">
        <v>1783</v>
      </c>
      <c r="E432" s="43"/>
      <c r="F432" s="131" t="s">
        <v>74</v>
      </c>
      <c r="G432" s="133"/>
      <c r="H432" s="56" t="s">
        <v>43</v>
      </c>
      <c r="I432" s="54" t="s">
        <v>1784</v>
      </c>
      <c r="J432" s="12"/>
      <c r="K432" s="12"/>
      <c r="L432" s="12"/>
      <c r="M432" s="12"/>
      <c r="N432" s="118"/>
      <c r="O432" s="118"/>
      <c r="P432" s="118"/>
    </row>
    <row r="433" spans="1:16" ht="51">
      <c r="A433" s="41">
        <v>735</v>
      </c>
      <c r="B433" s="66" t="s">
        <v>1785</v>
      </c>
      <c r="C433" s="66" t="s">
        <v>1786</v>
      </c>
      <c r="D433" s="42" t="s">
        <v>1787</v>
      </c>
      <c r="E433" s="43"/>
      <c r="F433" s="131" t="s">
        <v>74</v>
      </c>
      <c r="G433" s="133"/>
      <c r="H433" s="56" t="s">
        <v>43</v>
      </c>
      <c r="I433" s="54" t="s">
        <v>1788</v>
      </c>
      <c r="J433" s="12"/>
      <c r="K433" s="12"/>
      <c r="L433" s="12"/>
      <c r="M433" s="12"/>
      <c r="N433" s="118"/>
      <c r="O433" s="118"/>
      <c r="P433" s="118"/>
    </row>
    <row r="434" spans="1:16" ht="204">
      <c r="A434" s="41">
        <v>736</v>
      </c>
      <c r="B434" s="66" t="s">
        <v>1789</v>
      </c>
      <c r="C434" s="66" t="s">
        <v>1790</v>
      </c>
      <c r="D434" s="42" t="s">
        <v>1791</v>
      </c>
      <c r="E434" s="43"/>
      <c r="F434" s="131" t="s">
        <v>42</v>
      </c>
      <c r="G434" s="133"/>
      <c r="H434" s="56" t="s">
        <v>437</v>
      </c>
      <c r="I434" s="54" t="s">
        <v>1792</v>
      </c>
      <c r="J434" s="12"/>
      <c r="K434" s="12"/>
      <c r="L434" s="12"/>
      <c r="M434" s="12"/>
      <c r="N434" s="118"/>
      <c r="O434" s="118"/>
      <c r="P434" s="118"/>
    </row>
    <row r="435" spans="1:16" ht="25.5">
      <c r="A435" s="41">
        <v>737</v>
      </c>
      <c r="B435" s="66" t="s">
        <v>1794</v>
      </c>
      <c r="C435" s="66" t="s">
        <v>1774</v>
      </c>
      <c r="D435" s="66" t="s">
        <v>1795</v>
      </c>
      <c r="E435" s="43"/>
      <c r="F435" s="131" t="s">
        <v>42</v>
      </c>
      <c r="G435" s="133"/>
      <c r="H435" s="56" t="s">
        <v>86</v>
      </c>
      <c r="I435" s="54" t="s">
        <v>243</v>
      </c>
      <c r="J435" s="12"/>
      <c r="K435" s="12"/>
      <c r="L435" s="12"/>
      <c r="M435" s="12"/>
      <c r="N435" s="118"/>
      <c r="O435" s="118"/>
      <c r="P435" s="118"/>
    </row>
    <row r="436" spans="1:16" ht="25.5">
      <c r="A436" s="41">
        <v>738</v>
      </c>
      <c r="B436" s="66" t="s">
        <v>1796</v>
      </c>
      <c r="C436" s="66" t="s">
        <v>1797</v>
      </c>
      <c r="D436" s="66" t="s">
        <v>1798</v>
      </c>
      <c r="E436" s="43"/>
      <c r="F436" s="131" t="s">
        <v>42</v>
      </c>
      <c r="G436" s="133"/>
      <c r="H436" s="56" t="s">
        <v>437</v>
      </c>
      <c r="I436" s="54" t="s">
        <v>243</v>
      </c>
      <c r="J436" s="12"/>
      <c r="K436" s="12"/>
      <c r="L436" s="12"/>
      <c r="M436" s="12"/>
      <c r="N436" s="118"/>
      <c r="O436" s="118"/>
      <c r="P436" s="118"/>
    </row>
    <row r="437" spans="1:16" ht="38.25">
      <c r="A437" s="41">
        <v>739</v>
      </c>
      <c r="B437" s="66" t="s">
        <v>1799</v>
      </c>
      <c r="C437" s="66" t="s">
        <v>1800</v>
      </c>
      <c r="D437" s="66" t="s">
        <v>1801</v>
      </c>
      <c r="E437" s="43"/>
      <c r="F437" s="131"/>
      <c r="G437" s="133"/>
      <c r="H437" s="56" t="s">
        <v>43</v>
      </c>
      <c r="I437" s="54" t="s">
        <v>1802</v>
      </c>
      <c r="J437" s="12"/>
      <c r="K437" s="12"/>
      <c r="L437" s="12"/>
      <c r="M437" s="12"/>
      <c r="N437" s="118"/>
      <c r="O437" s="118"/>
      <c r="P437" s="118"/>
    </row>
    <row r="438" spans="1:16" ht="76.5">
      <c r="A438" s="41">
        <v>744</v>
      </c>
      <c r="B438" s="66" t="s">
        <v>1803</v>
      </c>
      <c r="C438" s="66" t="s">
        <v>1804</v>
      </c>
      <c r="D438" s="42" t="s">
        <v>1805</v>
      </c>
      <c r="E438" s="43"/>
      <c r="F438" s="131" t="s">
        <v>74</v>
      </c>
      <c r="G438" s="133"/>
      <c r="H438" s="56" t="s">
        <v>437</v>
      </c>
      <c r="I438" s="54" t="s">
        <v>243</v>
      </c>
      <c r="J438" s="12"/>
      <c r="K438" s="12"/>
      <c r="L438" s="12"/>
      <c r="M438" s="12"/>
      <c r="N438" s="118"/>
      <c r="O438" s="118"/>
      <c r="P438" s="118"/>
    </row>
    <row r="439" spans="1:16" ht="306">
      <c r="A439" s="41">
        <v>745</v>
      </c>
      <c r="B439" s="66" t="s">
        <v>1806</v>
      </c>
      <c r="C439" s="66" t="s">
        <v>1807</v>
      </c>
      <c r="D439" s="42" t="s">
        <v>1808</v>
      </c>
      <c r="E439" s="43" t="s">
        <v>42</v>
      </c>
      <c r="F439" s="131" t="s">
        <v>42</v>
      </c>
      <c r="G439" s="133" t="s">
        <v>42</v>
      </c>
      <c r="H439" s="56" t="s">
        <v>56</v>
      </c>
      <c r="I439" s="54" t="s">
        <v>1809</v>
      </c>
      <c r="J439" s="12"/>
      <c r="K439" s="12"/>
      <c r="L439" s="12"/>
      <c r="M439" s="12"/>
      <c r="N439" s="118"/>
      <c r="O439" s="118"/>
      <c r="P439" s="118"/>
    </row>
    <row r="440" spans="1:16" ht="38.25">
      <c r="A440" s="41">
        <v>746</v>
      </c>
      <c r="B440" s="66" t="s">
        <v>1811</v>
      </c>
      <c r="C440" s="66" t="s">
        <v>1812</v>
      </c>
      <c r="D440" s="66" t="s">
        <v>1813</v>
      </c>
      <c r="E440" s="43" t="s">
        <v>74</v>
      </c>
      <c r="F440" s="131" t="s">
        <v>74</v>
      </c>
      <c r="G440" s="133" t="s">
        <v>74</v>
      </c>
      <c r="H440" s="56" t="s">
        <v>437</v>
      </c>
      <c r="I440" s="54" t="s">
        <v>243</v>
      </c>
      <c r="J440" s="12"/>
      <c r="K440" s="12"/>
      <c r="L440" s="12"/>
      <c r="M440" s="12"/>
      <c r="N440" s="118"/>
      <c r="O440" s="118"/>
      <c r="P440" s="118"/>
    </row>
    <row r="441" spans="1:16" ht="38.25">
      <c r="A441" s="41">
        <v>747</v>
      </c>
      <c r="B441" s="66" t="s">
        <v>1814</v>
      </c>
      <c r="C441" s="66" t="s">
        <v>1815</v>
      </c>
      <c r="D441" s="66" t="s">
        <v>1816</v>
      </c>
      <c r="E441" s="43" t="s">
        <v>42</v>
      </c>
      <c r="F441" s="131" t="s">
        <v>42</v>
      </c>
      <c r="G441" s="133" t="s">
        <v>42</v>
      </c>
      <c r="H441" s="56" t="s">
        <v>43</v>
      </c>
      <c r="I441" s="54" t="s">
        <v>1817</v>
      </c>
      <c r="J441" s="12"/>
      <c r="K441" s="12"/>
      <c r="L441" s="12"/>
      <c r="M441" s="12"/>
      <c r="N441" s="118"/>
      <c r="O441" s="118"/>
      <c r="P441" s="118"/>
    </row>
    <row r="442" spans="1:16" ht="51">
      <c r="A442" s="41">
        <v>749</v>
      </c>
      <c r="B442" s="66" t="s">
        <v>1818</v>
      </c>
      <c r="C442" s="66" t="s">
        <v>1819</v>
      </c>
      <c r="D442" s="66" t="s">
        <v>1820</v>
      </c>
      <c r="E442" s="43" t="s">
        <v>42</v>
      </c>
      <c r="F442" s="44" t="s">
        <v>42</v>
      </c>
      <c r="G442" s="133" t="s">
        <v>42</v>
      </c>
      <c r="H442" s="56" t="s">
        <v>437</v>
      </c>
      <c r="I442" s="54" t="s">
        <v>1821</v>
      </c>
      <c r="J442" s="12"/>
      <c r="K442" s="12"/>
      <c r="L442" s="12"/>
      <c r="M442" s="12"/>
      <c r="N442" s="118"/>
      <c r="O442" s="118"/>
      <c r="P442" s="118"/>
    </row>
    <row r="443" spans="1:16" ht="51">
      <c r="A443" s="41">
        <v>750</v>
      </c>
      <c r="B443" s="66" t="s">
        <v>1822</v>
      </c>
      <c r="C443" s="66" t="s">
        <v>1823</v>
      </c>
      <c r="D443" s="42" t="s">
        <v>1824</v>
      </c>
      <c r="E443" s="43" t="s">
        <v>42</v>
      </c>
      <c r="F443" s="44" t="s">
        <v>42</v>
      </c>
      <c r="G443" s="133" t="s">
        <v>42</v>
      </c>
      <c r="H443" s="56" t="s">
        <v>56</v>
      </c>
      <c r="I443" s="54" t="s">
        <v>1825</v>
      </c>
      <c r="J443" s="12"/>
      <c r="K443" s="12"/>
      <c r="L443" s="12"/>
      <c r="M443" s="12"/>
      <c r="N443" s="118"/>
      <c r="O443" s="118"/>
      <c r="P443" s="118"/>
    </row>
    <row r="444" spans="1:16" ht="38.25">
      <c r="A444" s="41">
        <v>753</v>
      </c>
      <c r="B444" s="66" t="s">
        <v>1826</v>
      </c>
      <c r="C444" s="66" t="s">
        <v>1827</v>
      </c>
      <c r="D444" s="66" t="s">
        <v>1828</v>
      </c>
      <c r="E444" s="43" t="s">
        <v>74</v>
      </c>
      <c r="F444" s="131" t="s">
        <v>74</v>
      </c>
      <c r="G444" s="133" t="s">
        <v>74</v>
      </c>
      <c r="H444" s="69" t="s">
        <v>43</v>
      </c>
      <c r="I444" s="54" t="s">
        <v>1829</v>
      </c>
      <c r="J444" s="12"/>
      <c r="K444" s="12"/>
      <c r="L444" s="12"/>
      <c r="M444" s="12"/>
      <c r="N444" s="118"/>
      <c r="O444" s="118"/>
      <c r="P444" s="118"/>
    </row>
    <row r="445" spans="1:16" ht="38.25">
      <c r="A445" s="41">
        <v>754</v>
      </c>
      <c r="B445" s="66" t="s">
        <v>1830</v>
      </c>
      <c r="C445" s="66" t="s">
        <v>1831</v>
      </c>
      <c r="D445" s="42" t="s">
        <v>1832</v>
      </c>
      <c r="E445" s="43" t="s">
        <v>74</v>
      </c>
      <c r="F445" s="131" t="s">
        <v>74</v>
      </c>
      <c r="G445" s="133" t="s">
        <v>74</v>
      </c>
      <c r="H445" s="56" t="s">
        <v>437</v>
      </c>
      <c r="I445" s="54" t="s">
        <v>243</v>
      </c>
      <c r="J445" s="12"/>
      <c r="K445" s="12"/>
      <c r="L445" s="12"/>
      <c r="M445" s="12"/>
      <c r="N445" s="118"/>
      <c r="O445" s="118"/>
      <c r="P445" s="118"/>
    </row>
    <row r="446" spans="1:16" ht="51">
      <c r="A446" s="41">
        <v>755</v>
      </c>
      <c r="B446" s="66" t="s">
        <v>1833</v>
      </c>
      <c r="C446" s="66" t="s">
        <v>1834</v>
      </c>
      <c r="D446" s="66" t="s">
        <v>1835</v>
      </c>
      <c r="E446" s="43" t="s">
        <v>74</v>
      </c>
      <c r="F446" s="131" t="s">
        <v>74</v>
      </c>
      <c r="G446" s="133" t="s">
        <v>74</v>
      </c>
      <c r="H446" s="56" t="s">
        <v>437</v>
      </c>
      <c r="I446" s="54" t="s">
        <v>1836</v>
      </c>
      <c r="J446" s="12"/>
      <c r="K446" s="12"/>
      <c r="L446" s="12"/>
      <c r="M446" s="12"/>
      <c r="N446" s="118"/>
      <c r="O446" s="118"/>
      <c r="P446" s="118"/>
    </row>
    <row r="447" spans="1:16" ht="38.25">
      <c r="A447" s="41">
        <v>757</v>
      </c>
      <c r="B447" s="66" t="s">
        <v>1838</v>
      </c>
      <c r="C447" s="66" t="s">
        <v>1839</v>
      </c>
      <c r="D447" s="66" t="s">
        <v>1840</v>
      </c>
      <c r="E447" s="43" t="s">
        <v>74</v>
      </c>
      <c r="F447" s="131" t="s">
        <v>74</v>
      </c>
      <c r="G447" s="133" t="s">
        <v>74</v>
      </c>
      <c r="H447" s="56" t="s">
        <v>84</v>
      </c>
      <c r="I447" s="54" t="s">
        <v>1841</v>
      </c>
      <c r="J447" s="12"/>
      <c r="K447" s="12"/>
      <c r="L447" s="12"/>
      <c r="M447" s="12"/>
      <c r="N447" s="118"/>
      <c r="O447" s="118"/>
      <c r="P447" s="118"/>
    </row>
    <row r="448" spans="1:16" ht="38.25">
      <c r="A448" s="41">
        <v>758</v>
      </c>
      <c r="B448" s="66" t="s">
        <v>1843</v>
      </c>
      <c r="C448" s="66" t="s">
        <v>1844</v>
      </c>
      <c r="D448" s="66" t="s">
        <v>1845</v>
      </c>
      <c r="E448" s="43" t="s">
        <v>74</v>
      </c>
      <c r="F448" s="131" t="s">
        <v>74</v>
      </c>
      <c r="G448" s="133" t="s">
        <v>74</v>
      </c>
      <c r="H448" s="56" t="s">
        <v>84</v>
      </c>
      <c r="I448" s="54" t="s">
        <v>1841</v>
      </c>
      <c r="J448" s="12"/>
      <c r="K448" s="12"/>
      <c r="L448" s="12"/>
      <c r="M448" s="12"/>
      <c r="N448" s="118"/>
      <c r="O448" s="118"/>
      <c r="P448" s="118"/>
    </row>
    <row r="449" spans="1:16" ht="38.25">
      <c r="A449" s="41">
        <v>759</v>
      </c>
      <c r="B449" s="66" t="s">
        <v>1846</v>
      </c>
      <c r="C449" s="66" t="s">
        <v>1847</v>
      </c>
      <c r="D449" s="66" t="s">
        <v>1848</v>
      </c>
      <c r="E449" s="43" t="s">
        <v>74</v>
      </c>
      <c r="F449" s="131" t="s">
        <v>74</v>
      </c>
      <c r="G449" s="133" t="s">
        <v>74</v>
      </c>
      <c r="H449" s="56" t="s">
        <v>43</v>
      </c>
      <c r="I449" s="54" t="s">
        <v>1849</v>
      </c>
      <c r="J449" s="12"/>
      <c r="K449" s="12"/>
      <c r="L449" s="12"/>
      <c r="M449" s="12"/>
      <c r="N449" s="118"/>
      <c r="O449" s="118"/>
      <c r="P449" s="118"/>
    </row>
    <row r="450" spans="1:16" ht="38.25">
      <c r="A450" s="41">
        <v>762</v>
      </c>
      <c r="B450" s="66" t="s">
        <v>1850</v>
      </c>
      <c r="C450" s="66" t="s">
        <v>1851</v>
      </c>
      <c r="D450" s="42" t="s">
        <v>1852</v>
      </c>
      <c r="E450" s="43" t="s">
        <v>74</v>
      </c>
      <c r="F450" s="131" t="s">
        <v>74</v>
      </c>
      <c r="G450" s="133" t="s">
        <v>74</v>
      </c>
      <c r="H450" s="56" t="s">
        <v>43</v>
      </c>
      <c r="I450" s="54" t="s">
        <v>1853</v>
      </c>
      <c r="J450" s="12"/>
      <c r="K450" s="12"/>
      <c r="L450" s="12"/>
      <c r="M450" s="12"/>
      <c r="N450" s="118"/>
      <c r="O450" s="118"/>
      <c r="P450" s="118"/>
    </row>
    <row r="451" spans="1:16" ht="25.5">
      <c r="A451" s="41">
        <v>763</v>
      </c>
      <c r="B451" s="66" t="s">
        <v>1855</v>
      </c>
      <c r="C451" s="66" t="s">
        <v>1856</v>
      </c>
      <c r="D451" s="42" t="s">
        <v>1857</v>
      </c>
      <c r="E451" s="43" t="s">
        <v>74</v>
      </c>
      <c r="F451" s="131" t="s">
        <v>74</v>
      </c>
      <c r="G451" s="133" t="s">
        <v>74</v>
      </c>
      <c r="H451" s="56" t="s">
        <v>43</v>
      </c>
      <c r="I451" s="54" t="s">
        <v>1858</v>
      </c>
      <c r="J451" s="12"/>
      <c r="K451" s="12"/>
      <c r="L451" s="12"/>
      <c r="M451" s="12"/>
      <c r="N451" s="118"/>
      <c r="O451" s="118"/>
      <c r="P451" s="118"/>
    </row>
    <row r="452" spans="1:16" ht="38.25">
      <c r="A452" s="41">
        <v>764</v>
      </c>
      <c r="B452" s="66" t="s">
        <v>1859</v>
      </c>
      <c r="C452" s="66" t="s">
        <v>1860</v>
      </c>
      <c r="D452" s="42" t="s">
        <v>1861</v>
      </c>
      <c r="E452" s="43"/>
      <c r="F452" s="131"/>
      <c r="G452" s="133"/>
      <c r="H452" s="56" t="s">
        <v>43</v>
      </c>
      <c r="I452" s="54" t="s">
        <v>1862</v>
      </c>
      <c r="J452" s="12"/>
      <c r="K452" s="12"/>
      <c r="L452" s="12"/>
      <c r="M452" s="12"/>
      <c r="N452" s="118"/>
      <c r="O452" s="118"/>
      <c r="P452" s="118"/>
    </row>
    <row r="453" spans="1:16" ht="38.25">
      <c r="A453" s="41">
        <v>765</v>
      </c>
      <c r="B453" s="66" t="s">
        <v>1863</v>
      </c>
      <c r="C453" s="66" t="s">
        <v>1864</v>
      </c>
      <c r="D453" s="42" t="s">
        <v>1865</v>
      </c>
      <c r="E453" s="43" t="s">
        <v>74</v>
      </c>
      <c r="F453" s="131" t="s">
        <v>74</v>
      </c>
      <c r="G453" s="133" t="s">
        <v>74</v>
      </c>
      <c r="H453" s="56" t="s">
        <v>437</v>
      </c>
      <c r="I453" s="54" t="s">
        <v>243</v>
      </c>
      <c r="J453" s="12"/>
      <c r="K453" s="12"/>
      <c r="L453" s="12"/>
      <c r="M453" s="12"/>
      <c r="N453" s="118"/>
      <c r="O453" s="118"/>
      <c r="P453" s="118"/>
    </row>
    <row r="454" spans="1:16" ht="38.25">
      <c r="A454" s="41">
        <v>766</v>
      </c>
      <c r="B454" s="66" t="s">
        <v>1866</v>
      </c>
      <c r="C454" s="66" t="s">
        <v>1867</v>
      </c>
      <c r="D454" s="42" t="s">
        <v>1868</v>
      </c>
      <c r="E454" s="43" t="s">
        <v>74</v>
      </c>
      <c r="F454" s="131" t="s">
        <v>74</v>
      </c>
      <c r="G454" s="133" t="s">
        <v>74</v>
      </c>
      <c r="H454" s="56" t="s">
        <v>43</v>
      </c>
      <c r="I454" s="54" t="s">
        <v>1869</v>
      </c>
      <c r="J454" s="12"/>
      <c r="K454" s="12"/>
      <c r="L454" s="12"/>
      <c r="M454" s="12"/>
      <c r="N454" s="118"/>
      <c r="O454" s="118"/>
      <c r="P454" s="118"/>
    </row>
    <row r="455" spans="1:16" ht="255">
      <c r="A455" s="41">
        <v>768</v>
      </c>
      <c r="B455" s="66" t="s">
        <v>1870</v>
      </c>
      <c r="C455" s="66" t="s">
        <v>1871</v>
      </c>
      <c r="D455" s="66" t="s">
        <v>1872</v>
      </c>
      <c r="E455" s="43"/>
      <c r="F455" s="131" t="s">
        <v>42</v>
      </c>
      <c r="G455" s="133"/>
      <c r="H455" s="56" t="s">
        <v>43</v>
      </c>
      <c r="I455" s="76" t="s">
        <v>1873</v>
      </c>
      <c r="J455" s="12"/>
      <c r="K455" s="12"/>
      <c r="L455" s="12"/>
      <c r="M455" s="12"/>
      <c r="N455" s="118"/>
      <c r="O455" s="118"/>
      <c r="P455" s="118"/>
    </row>
    <row r="456" spans="1:16" ht="25.5">
      <c r="A456" s="41">
        <v>773</v>
      </c>
      <c r="B456" s="66" t="s">
        <v>1875</v>
      </c>
      <c r="C456" s="66" t="s">
        <v>1876</v>
      </c>
      <c r="D456" s="42" t="s">
        <v>1877</v>
      </c>
      <c r="E456" s="43"/>
      <c r="F456" s="131" t="s">
        <v>42</v>
      </c>
      <c r="G456" s="133"/>
      <c r="H456" s="56" t="s">
        <v>56</v>
      </c>
      <c r="I456" s="54" t="s">
        <v>1878</v>
      </c>
      <c r="J456" s="12"/>
      <c r="K456" s="12"/>
      <c r="L456" s="12"/>
      <c r="M456" s="12"/>
      <c r="N456" s="118"/>
      <c r="O456" s="118"/>
      <c r="P456" s="118"/>
    </row>
    <row r="457" spans="1:16" ht="114.75">
      <c r="A457" s="41">
        <v>774</v>
      </c>
      <c r="B457" s="66" t="s">
        <v>1879</v>
      </c>
      <c r="C457" s="66" t="s">
        <v>1880</v>
      </c>
      <c r="D457" s="42" t="s">
        <v>1881</v>
      </c>
      <c r="E457" s="43"/>
      <c r="F457" s="131" t="s">
        <v>42</v>
      </c>
      <c r="G457" s="133"/>
      <c r="H457" s="56" t="s">
        <v>56</v>
      </c>
      <c r="I457" s="54" t="s">
        <v>1882</v>
      </c>
      <c r="J457" s="12"/>
      <c r="K457" s="12"/>
      <c r="L457" s="12"/>
      <c r="M457" s="12"/>
      <c r="N457" s="118"/>
      <c r="O457" s="118"/>
      <c r="P457" s="118"/>
    </row>
    <row r="458" spans="1:16" ht="38.25">
      <c r="A458" s="41">
        <v>775</v>
      </c>
      <c r="B458" s="66" t="s">
        <v>1883</v>
      </c>
      <c r="C458" s="66" t="s">
        <v>1884</v>
      </c>
      <c r="D458" s="42" t="s">
        <v>1885</v>
      </c>
      <c r="E458" s="43"/>
      <c r="F458" s="131"/>
      <c r="G458" s="133"/>
      <c r="H458" s="56" t="s">
        <v>56</v>
      </c>
      <c r="I458" s="54" t="s">
        <v>1886</v>
      </c>
      <c r="J458" s="12"/>
      <c r="K458" s="12"/>
      <c r="L458" s="12"/>
      <c r="M458" s="12"/>
      <c r="N458" s="118"/>
      <c r="O458" s="118"/>
      <c r="P458" s="118"/>
    </row>
    <row r="459" spans="1:16" ht="51">
      <c r="A459" s="41">
        <v>779</v>
      </c>
      <c r="B459" s="66" t="s">
        <v>1887</v>
      </c>
      <c r="C459" s="66" t="s">
        <v>1888</v>
      </c>
      <c r="D459" s="42" t="s">
        <v>1889</v>
      </c>
      <c r="E459" s="43"/>
      <c r="F459" s="131" t="s">
        <v>42</v>
      </c>
      <c r="G459" s="133"/>
      <c r="H459" s="56" t="s">
        <v>56</v>
      </c>
      <c r="I459" s="54" t="s">
        <v>1890</v>
      </c>
      <c r="J459" s="12"/>
      <c r="K459" s="12"/>
      <c r="L459" s="12"/>
      <c r="M459" s="12"/>
      <c r="N459" s="118"/>
      <c r="O459" s="118"/>
      <c r="P459" s="118"/>
    </row>
    <row r="460" spans="1:16" ht="38.25">
      <c r="A460" s="41">
        <v>780</v>
      </c>
      <c r="B460" s="66" t="s">
        <v>1892</v>
      </c>
      <c r="C460" s="66" t="s">
        <v>1893</v>
      </c>
      <c r="D460" s="42" t="s">
        <v>1894</v>
      </c>
      <c r="E460" s="43"/>
      <c r="F460" s="131" t="s">
        <v>74</v>
      </c>
      <c r="G460" s="133"/>
      <c r="H460" s="56" t="s">
        <v>56</v>
      </c>
      <c r="I460" s="75" t="s">
        <v>1895</v>
      </c>
      <c r="J460" s="12"/>
      <c r="K460" s="12"/>
      <c r="L460" s="12"/>
      <c r="M460" s="12"/>
      <c r="N460" s="118"/>
      <c r="O460" s="118"/>
      <c r="P460" s="118"/>
    </row>
    <row r="461" spans="1:16" ht="76.5">
      <c r="A461" s="41">
        <v>786</v>
      </c>
      <c r="B461" s="66" t="s">
        <v>1896</v>
      </c>
      <c r="C461" s="66" t="s">
        <v>1897</v>
      </c>
      <c r="D461" s="66" t="s">
        <v>1898</v>
      </c>
      <c r="E461" s="43"/>
      <c r="F461" s="131" t="s">
        <v>74</v>
      </c>
      <c r="G461" s="133"/>
      <c r="H461" s="56" t="s">
        <v>56</v>
      </c>
      <c r="I461" s="54"/>
      <c r="J461" s="12"/>
      <c r="K461" s="12"/>
      <c r="L461" s="12"/>
      <c r="M461" s="12"/>
      <c r="N461" s="118"/>
      <c r="O461" s="118"/>
      <c r="P461" s="118"/>
    </row>
    <row r="462" spans="1:16" ht="76.5">
      <c r="A462" s="41">
        <v>789</v>
      </c>
      <c r="B462" s="66" t="s">
        <v>1899</v>
      </c>
      <c r="C462" s="66" t="s">
        <v>1900</v>
      </c>
      <c r="D462" s="66" t="s">
        <v>1901</v>
      </c>
      <c r="E462" s="43"/>
      <c r="F462" s="131" t="s">
        <v>42</v>
      </c>
      <c r="G462" s="133" t="s">
        <v>42</v>
      </c>
      <c r="H462" s="56" t="s">
        <v>84</v>
      </c>
      <c r="I462" s="54" t="s">
        <v>1902</v>
      </c>
      <c r="J462" s="12"/>
      <c r="K462" s="12"/>
      <c r="L462" s="12"/>
      <c r="M462" s="12"/>
      <c r="N462" s="118"/>
      <c r="O462" s="118"/>
      <c r="P462" s="118"/>
    </row>
    <row r="463" spans="1:16" ht="25.5">
      <c r="A463" s="41">
        <v>790</v>
      </c>
      <c r="B463" s="66" t="s">
        <v>1903</v>
      </c>
      <c r="C463" s="66" t="s">
        <v>1774</v>
      </c>
      <c r="D463" s="66" t="s">
        <v>1904</v>
      </c>
      <c r="E463" s="43"/>
      <c r="F463" s="131" t="s">
        <v>42</v>
      </c>
      <c r="G463" s="133" t="s">
        <v>42</v>
      </c>
      <c r="H463" s="56" t="s">
        <v>84</v>
      </c>
      <c r="I463" s="54" t="s">
        <v>1902</v>
      </c>
      <c r="J463" s="12"/>
      <c r="K463" s="12"/>
      <c r="L463" s="12"/>
      <c r="M463" s="12"/>
      <c r="N463" s="118"/>
      <c r="O463" s="118"/>
      <c r="P463" s="118"/>
    </row>
    <row r="464" spans="1:16" ht="12.75">
      <c r="A464" s="41">
        <v>791</v>
      </c>
      <c r="B464" s="66" t="s">
        <v>1905</v>
      </c>
      <c r="C464" s="66" t="s">
        <v>1797</v>
      </c>
      <c r="D464" s="66" t="s">
        <v>1906</v>
      </c>
      <c r="E464" s="43"/>
      <c r="F464" s="131" t="s">
        <v>42</v>
      </c>
      <c r="G464" s="133" t="s">
        <v>42</v>
      </c>
      <c r="H464" s="56" t="s">
        <v>84</v>
      </c>
      <c r="I464" s="54" t="s">
        <v>1902</v>
      </c>
      <c r="J464" s="12"/>
      <c r="K464" s="12"/>
      <c r="L464" s="12"/>
      <c r="M464" s="12"/>
      <c r="N464" s="118"/>
      <c r="O464" s="118"/>
      <c r="P464" s="118"/>
    </row>
    <row r="465" spans="1:16" ht="38.25">
      <c r="A465" s="41">
        <v>793</v>
      </c>
      <c r="B465" s="66" t="s">
        <v>1907</v>
      </c>
      <c r="C465" s="66" t="s">
        <v>1908</v>
      </c>
      <c r="D465" s="66" t="s">
        <v>1909</v>
      </c>
      <c r="E465" s="43"/>
      <c r="F465" s="131" t="s">
        <v>42</v>
      </c>
      <c r="G465" s="133"/>
      <c r="H465" s="56" t="s">
        <v>43</v>
      </c>
      <c r="I465" s="54" t="s">
        <v>1910</v>
      </c>
      <c r="J465" s="12"/>
      <c r="K465" s="12"/>
      <c r="L465" s="12"/>
      <c r="M465" s="12"/>
      <c r="N465" s="118"/>
      <c r="O465" s="118"/>
      <c r="P465" s="118"/>
    </row>
    <row r="466" spans="1:16" ht="38.25">
      <c r="A466" s="41">
        <v>796</v>
      </c>
      <c r="B466" s="66" t="s">
        <v>1911</v>
      </c>
      <c r="C466" s="66" t="s">
        <v>1912</v>
      </c>
      <c r="D466" s="66" t="s">
        <v>1913</v>
      </c>
      <c r="E466" s="43"/>
      <c r="F466" s="131" t="s">
        <v>74</v>
      </c>
      <c r="G466" s="133"/>
      <c r="H466" s="56" t="s">
        <v>43</v>
      </c>
      <c r="I466" s="54" t="s">
        <v>1914</v>
      </c>
      <c r="J466" s="12"/>
      <c r="K466" s="12"/>
      <c r="L466" s="12"/>
      <c r="M466" s="12"/>
      <c r="N466" s="118"/>
      <c r="O466" s="118"/>
      <c r="P466" s="118"/>
    </row>
    <row r="467" spans="1:16" ht="76.5">
      <c r="A467" s="41">
        <v>799</v>
      </c>
      <c r="B467" s="66" t="s">
        <v>1915</v>
      </c>
      <c r="C467" s="66" t="s">
        <v>1916</v>
      </c>
      <c r="D467" s="42" t="s">
        <v>1917</v>
      </c>
      <c r="E467" s="43"/>
      <c r="F467" s="131" t="s">
        <v>42</v>
      </c>
      <c r="G467" s="133"/>
      <c r="H467" s="56" t="s">
        <v>43</v>
      </c>
      <c r="I467" s="54" t="s">
        <v>1918</v>
      </c>
      <c r="J467" s="12"/>
      <c r="K467" s="12"/>
      <c r="L467" s="12"/>
      <c r="M467" s="12"/>
      <c r="N467" s="118"/>
      <c r="O467" s="118"/>
      <c r="P467" s="118"/>
    </row>
    <row r="468" spans="1:16" ht="51">
      <c r="A468" s="41">
        <v>800</v>
      </c>
      <c r="B468" s="66" t="s">
        <v>1919</v>
      </c>
      <c r="C468" s="66" t="s">
        <v>1920</v>
      </c>
      <c r="D468" s="66" t="s">
        <v>1921</v>
      </c>
      <c r="E468" s="43" t="s">
        <v>42</v>
      </c>
      <c r="F468" s="44" t="s">
        <v>42</v>
      </c>
      <c r="G468" s="133"/>
      <c r="H468" s="69" t="s">
        <v>84</v>
      </c>
      <c r="I468" s="54"/>
      <c r="J468" s="12"/>
      <c r="K468" s="12"/>
      <c r="L468" s="12"/>
      <c r="M468" s="12"/>
      <c r="N468" s="118"/>
      <c r="O468" s="118"/>
      <c r="P468" s="118"/>
    </row>
    <row r="469" spans="1:16" ht="38.25">
      <c r="A469" s="41">
        <v>807</v>
      </c>
      <c r="B469" s="66" t="s">
        <v>1923</v>
      </c>
      <c r="C469" s="66" t="s">
        <v>1924</v>
      </c>
      <c r="D469" s="42" t="s">
        <v>1925</v>
      </c>
      <c r="E469" s="43"/>
      <c r="F469" s="131"/>
      <c r="G469" s="133"/>
      <c r="H469" s="56" t="s">
        <v>43</v>
      </c>
      <c r="I469" s="54" t="s">
        <v>1926</v>
      </c>
      <c r="J469" s="12"/>
      <c r="K469" s="12"/>
      <c r="L469" s="12"/>
      <c r="M469" s="12"/>
      <c r="N469" s="118"/>
      <c r="O469" s="118"/>
      <c r="P469" s="118"/>
    </row>
    <row r="470" spans="1:16" ht="51">
      <c r="A470" s="41">
        <v>809</v>
      </c>
      <c r="B470" s="66" t="s">
        <v>1927</v>
      </c>
      <c r="C470" s="66" t="s">
        <v>1928</v>
      </c>
      <c r="D470" s="42" t="s">
        <v>1929</v>
      </c>
      <c r="E470" s="43"/>
      <c r="F470" s="131" t="s">
        <v>42</v>
      </c>
      <c r="G470" s="133"/>
      <c r="H470" s="56" t="s">
        <v>86</v>
      </c>
      <c r="I470" s="54" t="s">
        <v>1085</v>
      </c>
      <c r="J470" s="12"/>
      <c r="K470" s="12"/>
      <c r="L470" s="12"/>
      <c r="M470" s="12"/>
      <c r="N470" s="118"/>
      <c r="O470" s="118"/>
      <c r="P470" s="118"/>
    </row>
    <row r="471" spans="1:16" ht="280.5">
      <c r="A471" s="41">
        <v>811</v>
      </c>
      <c r="B471" s="66" t="s">
        <v>1930</v>
      </c>
      <c r="C471" s="66" t="s">
        <v>1931</v>
      </c>
      <c r="D471" s="66" t="s">
        <v>1932</v>
      </c>
      <c r="E471" s="43" t="s">
        <v>42</v>
      </c>
      <c r="F471" s="44" t="s">
        <v>42</v>
      </c>
      <c r="G471" s="133" t="s">
        <v>42</v>
      </c>
      <c r="H471" s="56"/>
      <c r="I471" s="66"/>
      <c r="J471" s="12"/>
      <c r="K471" s="12"/>
      <c r="L471" s="12"/>
      <c r="M471" s="12"/>
      <c r="N471" s="118"/>
      <c r="O471" s="118"/>
      <c r="P471" s="118"/>
    </row>
    <row r="472" spans="1:16" ht="38.25">
      <c r="A472" s="41">
        <v>812</v>
      </c>
      <c r="B472" s="66" t="s">
        <v>1934</v>
      </c>
      <c r="C472" s="66" t="s">
        <v>1935</v>
      </c>
      <c r="D472" s="66" t="s">
        <v>1936</v>
      </c>
      <c r="E472" s="43" t="s">
        <v>42</v>
      </c>
      <c r="F472" s="44" t="s">
        <v>42</v>
      </c>
      <c r="G472" s="133" t="s">
        <v>42</v>
      </c>
      <c r="H472" s="34"/>
      <c r="I472" s="66"/>
      <c r="J472" s="12"/>
      <c r="K472" s="12"/>
      <c r="L472" s="12"/>
      <c r="M472" s="12"/>
      <c r="N472" s="118"/>
      <c r="O472" s="118"/>
      <c r="P472" s="118"/>
    </row>
    <row r="473" spans="1:16" ht="102">
      <c r="A473" s="41">
        <v>813</v>
      </c>
      <c r="B473" s="66" t="s">
        <v>1937</v>
      </c>
      <c r="C473" s="66" t="s">
        <v>1938</v>
      </c>
      <c r="D473" s="66" t="s">
        <v>1939</v>
      </c>
      <c r="E473" s="43" t="s">
        <v>42</v>
      </c>
      <c r="F473" s="44" t="s">
        <v>42</v>
      </c>
      <c r="G473" s="133" t="s">
        <v>42</v>
      </c>
      <c r="H473" s="34"/>
      <c r="I473" s="66"/>
      <c r="J473" s="12"/>
      <c r="K473" s="12"/>
      <c r="L473" s="12"/>
      <c r="M473" s="12"/>
      <c r="N473" s="118"/>
      <c r="O473" s="118"/>
      <c r="P473" s="118"/>
    </row>
    <row r="474" spans="1:16" ht="140.25">
      <c r="A474" s="41">
        <v>814</v>
      </c>
      <c r="B474" s="66" t="s">
        <v>1940</v>
      </c>
      <c r="C474" s="66" t="s">
        <v>1941</v>
      </c>
      <c r="D474" s="66" t="s">
        <v>1942</v>
      </c>
      <c r="E474" s="43" t="s">
        <v>42</v>
      </c>
      <c r="F474" s="44" t="s">
        <v>42</v>
      </c>
      <c r="G474" s="133" t="s">
        <v>42</v>
      </c>
      <c r="H474" s="34"/>
      <c r="I474" s="66"/>
      <c r="J474" s="12"/>
      <c r="K474" s="12"/>
      <c r="L474" s="12"/>
      <c r="M474" s="12"/>
      <c r="N474" s="118"/>
      <c r="O474" s="118"/>
      <c r="P474" s="118"/>
    </row>
    <row r="475" spans="1:16" ht="25.5">
      <c r="A475" s="41">
        <v>815</v>
      </c>
      <c r="B475" s="66" t="s">
        <v>1944</v>
      </c>
      <c r="C475" s="66" t="s">
        <v>1945</v>
      </c>
      <c r="D475" s="66" t="s">
        <v>1946</v>
      </c>
      <c r="E475" s="43" t="s">
        <v>42</v>
      </c>
      <c r="F475" s="44" t="s">
        <v>42</v>
      </c>
      <c r="G475" s="133" t="s">
        <v>42</v>
      </c>
      <c r="H475" s="34"/>
      <c r="I475" s="66"/>
      <c r="J475" s="12"/>
      <c r="K475" s="12"/>
      <c r="L475" s="12"/>
      <c r="M475" s="12"/>
      <c r="N475" s="118"/>
      <c r="O475" s="118"/>
      <c r="P475" s="118"/>
    </row>
    <row r="476" spans="1:16" ht="25.5">
      <c r="A476" s="41">
        <v>816</v>
      </c>
      <c r="B476" s="66" t="s">
        <v>1948</v>
      </c>
      <c r="C476" s="66" t="s">
        <v>1949</v>
      </c>
      <c r="D476" s="66" t="s">
        <v>1950</v>
      </c>
      <c r="E476" s="43" t="s">
        <v>42</v>
      </c>
      <c r="F476" s="44" t="s">
        <v>42</v>
      </c>
      <c r="G476" s="133" t="s">
        <v>42</v>
      </c>
      <c r="H476" s="34"/>
      <c r="I476" s="66"/>
      <c r="J476" s="12"/>
      <c r="K476" s="12"/>
      <c r="L476" s="12"/>
      <c r="M476" s="12"/>
      <c r="N476" s="118"/>
      <c r="O476" s="118"/>
      <c r="P476" s="118"/>
    </row>
    <row r="477" spans="1:16" ht="38.25">
      <c r="A477" s="41">
        <v>817</v>
      </c>
      <c r="B477" s="66" t="s">
        <v>1952</v>
      </c>
      <c r="C477" s="66" t="s">
        <v>1953</v>
      </c>
      <c r="D477" s="66" t="s">
        <v>1954</v>
      </c>
      <c r="E477" s="43" t="s">
        <v>42</v>
      </c>
      <c r="F477" s="44" t="s">
        <v>42</v>
      </c>
      <c r="G477" s="133" t="s">
        <v>42</v>
      </c>
      <c r="H477" s="34"/>
      <c r="I477" s="66"/>
      <c r="J477" s="12"/>
      <c r="K477" s="12"/>
      <c r="L477" s="12"/>
      <c r="M477" s="12"/>
      <c r="N477" s="118"/>
      <c r="O477" s="118"/>
      <c r="P477" s="118"/>
    </row>
    <row r="478" spans="1:16" ht="38.25">
      <c r="A478" s="41">
        <v>818</v>
      </c>
      <c r="B478" s="66" t="s">
        <v>1956</v>
      </c>
      <c r="C478" s="66" t="s">
        <v>1957</v>
      </c>
      <c r="D478" s="66" t="s">
        <v>1958</v>
      </c>
      <c r="E478" s="43" t="s">
        <v>42</v>
      </c>
      <c r="F478" s="44" t="s">
        <v>42</v>
      </c>
      <c r="G478" s="133" t="s">
        <v>42</v>
      </c>
      <c r="H478" s="34"/>
      <c r="I478" s="66"/>
      <c r="J478" s="12"/>
      <c r="K478" s="12"/>
      <c r="L478" s="12"/>
      <c r="M478" s="12"/>
      <c r="N478" s="118"/>
      <c r="O478" s="118"/>
      <c r="P478" s="118"/>
    </row>
    <row r="479" spans="1:16" ht="102">
      <c r="A479" s="41">
        <v>819</v>
      </c>
      <c r="B479" s="66" t="s">
        <v>1960</v>
      </c>
      <c r="C479" s="66" t="s">
        <v>1961</v>
      </c>
      <c r="D479" s="66" t="s">
        <v>1962</v>
      </c>
      <c r="E479" s="43" t="s">
        <v>42</v>
      </c>
      <c r="F479" s="44" t="s">
        <v>42</v>
      </c>
      <c r="G479" s="133" t="s">
        <v>42</v>
      </c>
      <c r="H479" s="34"/>
      <c r="I479" s="66"/>
      <c r="J479" s="12"/>
      <c r="K479" s="12"/>
      <c r="L479" s="12"/>
      <c r="M479" s="12"/>
      <c r="N479" s="118"/>
      <c r="O479" s="118"/>
      <c r="P479" s="118"/>
    </row>
    <row r="480" spans="1:16" ht="102">
      <c r="A480" s="41">
        <v>820</v>
      </c>
      <c r="B480" s="66" t="s">
        <v>1964</v>
      </c>
      <c r="C480" s="66" t="s">
        <v>1965</v>
      </c>
      <c r="D480" s="66" t="s">
        <v>1966</v>
      </c>
      <c r="E480" s="43" t="s">
        <v>42</v>
      </c>
      <c r="F480" s="44" t="s">
        <v>42</v>
      </c>
      <c r="G480" s="133" t="s">
        <v>42</v>
      </c>
      <c r="H480" s="34"/>
      <c r="I480" s="66"/>
      <c r="J480" s="12"/>
      <c r="K480" s="12"/>
      <c r="L480" s="12"/>
      <c r="M480" s="12"/>
      <c r="N480" s="118"/>
      <c r="O480" s="118"/>
      <c r="P480" s="118"/>
    </row>
    <row r="481" spans="1:16" ht="89.25">
      <c r="A481" s="41">
        <v>821</v>
      </c>
      <c r="B481" s="66" t="s">
        <v>1968</v>
      </c>
      <c r="C481" s="66" t="s">
        <v>1969</v>
      </c>
      <c r="D481" s="66" t="s">
        <v>1970</v>
      </c>
      <c r="E481" s="43" t="s">
        <v>42</v>
      </c>
      <c r="F481" s="44" t="s">
        <v>42</v>
      </c>
      <c r="G481" s="45" t="s">
        <v>42</v>
      </c>
      <c r="H481" s="34"/>
      <c r="I481" s="66"/>
      <c r="J481" s="12"/>
      <c r="K481" s="12"/>
      <c r="L481" s="12"/>
      <c r="M481" s="12"/>
      <c r="N481" s="118"/>
      <c r="O481" s="118"/>
      <c r="P481" s="118"/>
    </row>
    <row r="482" spans="1:16" ht="25.5">
      <c r="A482" s="41">
        <v>822</v>
      </c>
      <c r="B482" s="66" t="s">
        <v>1972</v>
      </c>
      <c r="C482" s="66" t="s">
        <v>1973</v>
      </c>
      <c r="D482" s="66" t="s">
        <v>1974</v>
      </c>
      <c r="E482" s="43" t="s">
        <v>42</v>
      </c>
      <c r="F482" s="131" t="s">
        <v>42</v>
      </c>
      <c r="G482" s="133" t="s">
        <v>42</v>
      </c>
      <c r="H482" s="34"/>
      <c r="I482" s="66"/>
      <c r="J482" s="12"/>
      <c r="K482" s="12"/>
      <c r="L482" s="12"/>
      <c r="M482" s="12"/>
      <c r="N482" s="118"/>
      <c r="O482" s="118"/>
      <c r="P482" s="118"/>
    </row>
    <row r="483" spans="1:16" ht="25.5">
      <c r="A483" s="41">
        <v>823</v>
      </c>
      <c r="B483" s="66" t="s">
        <v>1976</v>
      </c>
      <c r="C483" s="66" t="s">
        <v>1977</v>
      </c>
      <c r="D483" s="66" t="s">
        <v>1978</v>
      </c>
      <c r="E483" s="43" t="s">
        <v>42</v>
      </c>
      <c r="F483" s="44" t="s">
        <v>42</v>
      </c>
      <c r="G483" s="133" t="s">
        <v>42</v>
      </c>
      <c r="H483" s="34"/>
      <c r="I483" s="66"/>
      <c r="J483" s="12"/>
      <c r="K483" s="12"/>
      <c r="L483" s="12"/>
      <c r="M483" s="12"/>
      <c r="N483" s="118"/>
      <c r="O483" s="118"/>
      <c r="P483" s="118"/>
    </row>
    <row r="484" spans="1:16" ht="114.75">
      <c r="A484" s="41">
        <v>824</v>
      </c>
      <c r="B484" s="66" t="s">
        <v>1979</v>
      </c>
      <c r="C484" s="66" t="s">
        <v>1980</v>
      </c>
      <c r="D484" s="66" t="s">
        <v>1981</v>
      </c>
      <c r="E484" s="43" t="s">
        <v>42</v>
      </c>
      <c r="F484" s="44" t="s">
        <v>42</v>
      </c>
      <c r="G484" s="133" t="s">
        <v>42</v>
      </c>
      <c r="H484" s="34"/>
      <c r="I484" s="66"/>
      <c r="J484" s="12"/>
      <c r="K484" s="12"/>
      <c r="L484" s="12"/>
      <c r="M484" s="12"/>
      <c r="N484" s="118"/>
      <c r="O484" s="118"/>
      <c r="P484" s="118"/>
    </row>
    <row r="485" spans="1:16" ht="102">
      <c r="A485" s="41">
        <v>825</v>
      </c>
      <c r="B485" s="66" t="s">
        <v>1982</v>
      </c>
      <c r="C485" s="66" t="s">
        <v>1983</v>
      </c>
      <c r="D485" s="66" t="s">
        <v>1984</v>
      </c>
      <c r="E485" s="43" t="s">
        <v>42</v>
      </c>
      <c r="F485" s="44" t="s">
        <v>42</v>
      </c>
      <c r="G485" s="133" t="s">
        <v>42</v>
      </c>
      <c r="H485" s="34"/>
      <c r="I485" s="66"/>
      <c r="J485" s="12"/>
      <c r="K485" s="12"/>
      <c r="L485" s="12"/>
      <c r="M485" s="12"/>
      <c r="N485" s="118"/>
      <c r="O485" s="118"/>
      <c r="P485" s="118"/>
    </row>
    <row r="486" spans="1:16" ht="12.75">
      <c r="A486" s="41">
        <v>826</v>
      </c>
      <c r="B486" s="66" t="s">
        <v>1985</v>
      </c>
      <c r="C486" s="66" t="s">
        <v>1986</v>
      </c>
      <c r="D486" s="66" t="s">
        <v>1987</v>
      </c>
      <c r="E486" s="126" t="s">
        <v>42</v>
      </c>
      <c r="F486" s="131" t="s">
        <v>42</v>
      </c>
      <c r="G486" s="133" t="s">
        <v>42</v>
      </c>
      <c r="H486" s="34"/>
      <c r="I486" s="66"/>
      <c r="J486" s="12"/>
      <c r="K486" s="12"/>
      <c r="L486" s="12"/>
      <c r="M486" s="12"/>
      <c r="N486" s="118"/>
      <c r="O486" s="118"/>
      <c r="P486" s="118"/>
    </row>
    <row r="487" spans="1:16" ht="12.75">
      <c r="A487" s="12"/>
      <c r="B487" s="12"/>
      <c r="C487" s="83"/>
      <c r="D487" s="12"/>
      <c r="E487" s="127"/>
      <c r="F487" s="127"/>
      <c r="G487" s="127"/>
      <c r="H487" s="86"/>
      <c r="I487" s="88"/>
      <c r="J487" s="12"/>
      <c r="K487" s="12"/>
      <c r="L487" s="12"/>
      <c r="M487" s="12"/>
      <c r="N487" s="118"/>
      <c r="O487" s="118"/>
      <c r="P487" s="118"/>
    </row>
    <row r="488" spans="1:16" ht="12.75">
      <c r="A488" s="12"/>
      <c r="B488" s="12"/>
      <c r="C488" s="83"/>
      <c r="D488" s="12"/>
      <c r="E488" s="127"/>
      <c r="F488" s="127"/>
      <c r="G488" s="127"/>
      <c r="H488" s="86"/>
      <c r="I488" s="88"/>
      <c r="J488" s="12"/>
      <c r="K488" s="12"/>
      <c r="L488" s="12"/>
      <c r="M488" s="12"/>
      <c r="N488" s="118"/>
      <c r="O488" s="118"/>
      <c r="P488" s="118"/>
    </row>
    <row r="489" spans="1:16" ht="12.75">
      <c r="A489" s="12"/>
      <c r="B489" s="12"/>
      <c r="C489" s="83"/>
      <c r="D489" s="12"/>
      <c r="E489" s="127"/>
      <c r="F489" s="127"/>
      <c r="G489" s="127"/>
      <c r="H489" s="86"/>
      <c r="I489" s="88"/>
      <c r="J489" s="12"/>
      <c r="K489" s="12"/>
      <c r="L489" s="12"/>
      <c r="M489" s="12"/>
      <c r="N489" s="118"/>
      <c r="O489" s="118"/>
      <c r="P489" s="118"/>
    </row>
    <row r="490" spans="1:16" ht="12.75">
      <c r="A490" s="12"/>
      <c r="B490" s="12"/>
      <c r="C490" s="83"/>
      <c r="D490" s="12"/>
      <c r="E490" s="127"/>
      <c r="F490" s="127"/>
      <c r="G490" s="127"/>
      <c r="H490" s="86"/>
      <c r="I490" s="88"/>
      <c r="J490" s="12"/>
      <c r="K490" s="12"/>
      <c r="L490" s="12"/>
      <c r="M490" s="12"/>
      <c r="N490" s="118"/>
      <c r="O490" s="118"/>
      <c r="P490" s="118"/>
    </row>
    <row r="491" spans="1:16" ht="12.75">
      <c r="A491" s="12"/>
      <c r="B491" s="12"/>
      <c r="C491" s="83"/>
      <c r="D491" s="12"/>
      <c r="E491" s="127"/>
      <c r="F491" s="127"/>
      <c r="G491" s="127"/>
      <c r="H491" s="86"/>
      <c r="I491" s="88"/>
      <c r="J491" s="12"/>
      <c r="K491" s="12"/>
      <c r="L491" s="12"/>
      <c r="M491" s="12"/>
      <c r="N491" s="118"/>
      <c r="O491" s="118"/>
      <c r="P491" s="118"/>
    </row>
    <row r="492" spans="1:16" ht="12.75">
      <c r="A492" s="12"/>
      <c r="B492" s="12"/>
      <c r="C492" s="83"/>
      <c r="D492" s="12"/>
      <c r="E492" s="127"/>
      <c r="F492" s="127"/>
      <c r="G492" s="127"/>
      <c r="H492" s="86"/>
      <c r="I492" s="88"/>
      <c r="J492" s="12"/>
      <c r="K492" s="12"/>
      <c r="L492" s="12"/>
      <c r="M492" s="12"/>
      <c r="N492" s="118"/>
      <c r="O492" s="118"/>
      <c r="P492" s="118"/>
    </row>
    <row r="493" spans="1:16" ht="12.75">
      <c r="A493" s="12"/>
      <c r="B493" s="12"/>
      <c r="C493" s="83"/>
      <c r="D493" s="12"/>
      <c r="E493" s="127"/>
      <c r="F493" s="127"/>
      <c r="G493" s="127"/>
      <c r="H493" s="86"/>
      <c r="I493" s="88"/>
      <c r="J493" s="12"/>
      <c r="K493" s="12"/>
      <c r="L493" s="12"/>
      <c r="M493" s="12"/>
      <c r="N493" s="118"/>
      <c r="O493" s="118"/>
      <c r="P493" s="118"/>
    </row>
    <row r="494" spans="1:16" ht="12.75">
      <c r="A494" s="12"/>
      <c r="B494" s="12"/>
      <c r="C494" s="83"/>
      <c r="D494" s="12"/>
      <c r="E494" s="127"/>
      <c r="F494" s="127"/>
      <c r="G494" s="127"/>
      <c r="H494" s="86"/>
      <c r="I494" s="88"/>
      <c r="J494" s="12"/>
      <c r="K494" s="12"/>
      <c r="L494" s="12"/>
      <c r="M494" s="12"/>
      <c r="N494" s="118"/>
      <c r="O494" s="118"/>
      <c r="P494" s="118"/>
    </row>
    <row r="495" spans="1:16" ht="12.75">
      <c r="A495" s="12"/>
      <c r="B495" s="12"/>
      <c r="C495" s="83"/>
      <c r="D495" s="12"/>
      <c r="E495" s="127"/>
      <c r="F495" s="127"/>
      <c r="G495" s="127"/>
      <c r="H495" s="86"/>
      <c r="I495" s="88"/>
      <c r="J495" s="12"/>
      <c r="K495" s="12"/>
      <c r="L495" s="12"/>
      <c r="M495" s="12"/>
      <c r="N495" s="118"/>
      <c r="O495" s="118"/>
      <c r="P495" s="118"/>
    </row>
    <row r="496" spans="1:16" ht="12.75">
      <c r="A496" s="12"/>
      <c r="B496" s="12"/>
      <c r="C496" s="83"/>
      <c r="D496" s="12"/>
      <c r="E496" s="127"/>
      <c r="F496" s="127"/>
      <c r="G496" s="127"/>
      <c r="H496" s="86"/>
      <c r="I496" s="88"/>
      <c r="J496" s="12"/>
      <c r="K496" s="12"/>
      <c r="L496" s="12"/>
      <c r="M496" s="12"/>
      <c r="N496" s="118"/>
      <c r="O496" s="118"/>
      <c r="P496" s="118"/>
    </row>
    <row r="497" spans="1:16" ht="12.75">
      <c r="A497" s="12"/>
      <c r="B497" s="12"/>
      <c r="C497" s="83"/>
      <c r="D497" s="12"/>
      <c r="E497" s="127"/>
      <c r="F497" s="127"/>
      <c r="G497" s="127"/>
      <c r="H497" s="86"/>
      <c r="I497" s="88"/>
      <c r="J497" s="12"/>
      <c r="K497" s="12"/>
      <c r="L497" s="12"/>
      <c r="M497" s="12"/>
      <c r="N497" s="118"/>
      <c r="O497" s="118"/>
      <c r="P497" s="118"/>
    </row>
    <row r="498" spans="1:16" ht="12.75">
      <c r="A498" s="12"/>
      <c r="B498" s="12"/>
      <c r="C498" s="83"/>
      <c r="D498" s="12"/>
      <c r="E498" s="127"/>
      <c r="F498" s="127"/>
      <c r="G498" s="127"/>
      <c r="H498" s="86"/>
      <c r="I498" s="88"/>
      <c r="J498" s="12"/>
      <c r="K498" s="12"/>
      <c r="L498" s="12"/>
      <c r="M498" s="12"/>
      <c r="N498" s="118"/>
      <c r="O498" s="118"/>
      <c r="P498" s="118"/>
    </row>
    <row r="499" spans="1:16" ht="12.75">
      <c r="A499" s="12"/>
      <c r="B499" s="12"/>
      <c r="C499" s="83"/>
      <c r="D499" s="12"/>
      <c r="E499" s="127"/>
      <c r="F499" s="127"/>
      <c r="G499" s="127"/>
      <c r="H499" s="86"/>
      <c r="I499" s="88"/>
      <c r="J499" s="12"/>
      <c r="K499" s="12"/>
      <c r="L499" s="12"/>
      <c r="M499" s="12"/>
      <c r="N499" s="118"/>
      <c r="O499" s="118"/>
      <c r="P499" s="118"/>
    </row>
    <row r="500" spans="1:16" ht="12.75">
      <c r="A500" s="12"/>
      <c r="B500" s="12"/>
      <c r="C500" s="83"/>
      <c r="D500" s="12"/>
      <c r="E500" s="127"/>
      <c r="F500" s="127"/>
      <c r="G500" s="127"/>
      <c r="H500" s="86"/>
      <c r="I500" s="88"/>
      <c r="J500" s="12"/>
      <c r="K500" s="12"/>
      <c r="L500" s="12"/>
      <c r="M500" s="12"/>
      <c r="N500" s="118"/>
      <c r="O500" s="118"/>
      <c r="P500" s="118"/>
    </row>
    <row r="501" spans="1:16" ht="12.75">
      <c r="A501" s="12"/>
      <c r="B501" s="12"/>
      <c r="C501" s="83"/>
      <c r="D501" s="12"/>
      <c r="E501" s="127"/>
      <c r="F501" s="127"/>
      <c r="G501" s="127"/>
      <c r="H501" s="86"/>
      <c r="I501" s="88"/>
      <c r="J501" s="12"/>
      <c r="K501" s="12"/>
      <c r="L501" s="12"/>
      <c r="M501" s="12"/>
      <c r="N501" s="118"/>
      <c r="O501" s="118"/>
      <c r="P501" s="118"/>
    </row>
    <row r="502" spans="1:16" ht="12.75">
      <c r="A502" s="12"/>
      <c r="B502" s="12"/>
      <c r="C502" s="83"/>
      <c r="D502" s="12"/>
      <c r="E502" s="127"/>
      <c r="F502" s="127"/>
      <c r="G502" s="127"/>
      <c r="H502" s="86"/>
      <c r="I502" s="88"/>
      <c r="J502" s="12"/>
      <c r="K502" s="12"/>
      <c r="L502" s="12"/>
      <c r="M502" s="12"/>
      <c r="N502" s="118"/>
      <c r="O502" s="118"/>
      <c r="P502" s="118"/>
    </row>
    <row r="503" spans="1:16" ht="12.75">
      <c r="A503" s="12"/>
      <c r="B503" s="12"/>
      <c r="C503" s="83"/>
      <c r="D503" s="12"/>
      <c r="E503" s="127"/>
      <c r="F503" s="127"/>
      <c r="G503" s="127"/>
      <c r="H503" s="86"/>
      <c r="I503" s="88"/>
      <c r="J503" s="12"/>
      <c r="K503" s="12"/>
      <c r="L503" s="12"/>
      <c r="M503" s="12"/>
      <c r="N503" s="118"/>
      <c r="O503" s="118"/>
      <c r="P503" s="118"/>
    </row>
    <row r="504" spans="1:16" ht="12.75">
      <c r="A504" s="12"/>
      <c r="B504" s="12"/>
      <c r="C504" s="83"/>
      <c r="D504" s="12"/>
      <c r="E504" s="127"/>
      <c r="F504" s="127"/>
      <c r="G504" s="127"/>
      <c r="H504" s="86"/>
      <c r="I504" s="88"/>
      <c r="J504" s="12"/>
      <c r="K504" s="12"/>
      <c r="L504" s="12"/>
      <c r="M504" s="12"/>
      <c r="N504" s="118"/>
      <c r="O504" s="118"/>
      <c r="P504" s="118"/>
    </row>
    <row r="505" spans="1:16" ht="12.75">
      <c r="A505" s="12"/>
      <c r="B505" s="12"/>
      <c r="C505" s="83"/>
      <c r="D505" s="12"/>
      <c r="E505" s="127"/>
      <c r="F505" s="127"/>
      <c r="G505" s="127"/>
      <c r="H505" s="86"/>
      <c r="I505" s="88"/>
      <c r="J505" s="12"/>
      <c r="K505" s="12"/>
      <c r="L505" s="12"/>
      <c r="M505" s="12"/>
      <c r="N505" s="118"/>
      <c r="O505" s="118"/>
      <c r="P505" s="118"/>
    </row>
    <row r="506" spans="1:16" ht="12.75">
      <c r="A506" s="12"/>
      <c r="B506" s="12"/>
      <c r="C506" s="83"/>
      <c r="D506" s="12"/>
      <c r="E506" s="127"/>
      <c r="F506" s="127"/>
      <c r="G506" s="127"/>
      <c r="H506" s="86"/>
      <c r="I506" s="88"/>
      <c r="J506" s="12"/>
      <c r="K506" s="12"/>
      <c r="L506" s="12"/>
      <c r="M506" s="12"/>
      <c r="N506" s="118"/>
      <c r="O506" s="118"/>
      <c r="P506" s="118"/>
    </row>
    <row r="507" spans="1:16" ht="12.75">
      <c r="A507" s="12"/>
      <c r="B507" s="12"/>
      <c r="C507" s="83"/>
      <c r="D507" s="12"/>
      <c r="E507" s="127"/>
      <c r="F507" s="127"/>
      <c r="G507" s="127"/>
      <c r="H507" s="86"/>
      <c r="I507" s="88"/>
      <c r="J507" s="12"/>
      <c r="K507" s="12"/>
      <c r="L507" s="12"/>
      <c r="M507" s="12"/>
      <c r="N507" s="118"/>
      <c r="O507" s="118"/>
      <c r="P507" s="118"/>
    </row>
    <row r="508" spans="1:16" ht="12.75">
      <c r="A508" s="12"/>
      <c r="B508" s="12"/>
      <c r="C508" s="83"/>
      <c r="D508" s="12"/>
      <c r="E508" s="127"/>
      <c r="F508" s="127"/>
      <c r="G508" s="127"/>
      <c r="H508" s="86"/>
      <c r="I508" s="88"/>
      <c r="J508" s="12"/>
      <c r="K508" s="12"/>
      <c r="L508" s="12"/>
      <c r="M508" s="12"/>
      <c r="N508" s="118"/>
      <c r="O508" s="118"/>
      <c r="P508" s="118"/>
    </row>
    <row r="509" spans="1:16" ht="12.75">
      <c r="A509" s="12"/>
      <c r="B509" s="12"/>
      <c r="C509" s="83"/>
      <c r="D509" s="12"/>
      <c r="E509" s="127"/>
      <c r="F509" s="127"/>
      <c r="G509" s="127"/>
      <c r="H509" s="86"/>
      <c r="I509" s="88"/>
      <c r="J509" s="12"/>
      <c r="K509" s="12"/>
      <c r="L509" s="12"/>
      <c r="M509" s="12"/>
      <c r="N509" s="118"/>
      <c r="O509" s="118"/>
      <c r="P509" s="118"/>
    </row>
    <row r="510" spans="1:16" ht="12.75">
      <c r="A510" s="12"/>
      <c r="B510" s="12"/>
      <c r="C510" s="83"/>
      <c r="D510" s="12"/>
      <c r="E510" s="127"/>
      <c r="F510" s="127"/>
      <c r="G510" s="127"/>
      <c r="H510" s="86"/>
      <c r="I510" s="88"/>
      <c r="J510" s="12"/>
      <c r="K510" s="12"/>
      <c r="L510" s="12"/>
      <c r="M510" s="12"/>
      <c r="N510" s="118"/>
      <c r="O510" s="118"/>
      <c r="P510" s="118"/>
    </row>
    <row r="511" spans="1:16" ht="12.75">
      <c r="A511" s="12"/>
      <c r="B511" s="12"/>
      <c r="C511" s="83"/>
      <c r="D511" s="12"/>
      <c r="E511" s="127"/>
      <c r="F511" s="127"/>
      <c r="G511" s="127"/>
      <c r="H511" s="86"/>
      <c r="I511" s="88"/>
      <c r="J511" s="12"/>
      <c r="K511" s="12"/>
      <c r="L511" s="12"/>
      <c r="M511" s="12"/>
      <c r="N511" s="118"/>
      <c r="O511" s="118"/>
      <c r="P511" s="118"/>
    </row>
    <row r="512" spans="1:16" ht="12.75">
      <c r="A512" s="12"/>
      <c r="B512" s="12"/>
      <c r="C512" s="83"/>
      <c r="D512" s="12"/>
      <c r="E512" s="127"/>
      <c r="F512" s="127"/>
      <c r="G512" s="127"/>
      <c r="H512" s="86"/>
      <c r="I512" s="88"/>
      <c r="J512" s="12"/>
      <c r="K512" s="12"/>
      <c r="L512" s="12"/>
      <c r="M512" s="12"/>
      <c r="N512" s="118"/>
      <c r="O512" s="118"/>
      <c r="P512" s="118"/>
    </row>
    <row r="513" spans="1:16" ht="12.75">
      <c r="A513" s="12"/>
      <c r="B513" s="12"/>
      <c r="C513" s="83"/>
      <c r="D513" s="12"/>
      <c r="E513" s="127"/>
      <c r="F513" s="127"/>
      <c r="G513" s="127"/>
      <c r="H513" s="86"/>
      <c r="I513" s="88"/>
      <c r="J513" s="12"/>
      <c r="K513" s="12"/>
      <c r="L513" s="12"/>
      <c r="M513" s="12"/>
      <c r="N513" s="118"/>
      <c r="O513" s="118"/>
      <c r="P513" s="118"/>
    </row>
    <row r="514" spans="1:16" ht="12.75">
      <c r="A514" s="12"/>
      <c r="B514" s="12"/>
      <c r="C514" s="83"/>
      <c r="D514" s="12"/>
      <c r="E514" s="127"/>
      <c r="F514" s="127"/>
      <c r="G514" s="127"/>
      <c r="H514" s="86"/>
      <c r="I514" s="88"/>
      <c r="J514" s="12"/>
      <c r="K514" s="12"/>
      <c r="L514" s="12"/>
      <c r="M514" s="12"/>
      <c r="N514" s="118"/>
      <c r="O514" s="118"/>
      <c r="P514" s="118"/>
    </row>
    <row r="515" spans="1:16" ht="12.75">
      <c r="A515" s="12"/>
      <c r="B515" s="12"/>
      <c r="C515" s="83"/>
      <c r="D515" s="12"/>
      <c r="E515" s="127"/>
      <c r="F515" s="127"/>
      <c r="G515" s="127"/>
      <c r="H515" s="86"/>
      <c r="I515" s="88"/>
      <c r="J515" s="12"/>
      <c r="K515" s="12"/>
      <c r="L515" s="12"/>
      <c r="M515" s="12"/>
      <c r="N515" s="118"/>
      <c r="O515" s="118"/>
      <c r="P515" s="118"/>
    </row>
    <row r="516" spans="1:16" ht="12.75">
      <c r="A516" s="12"/>
      <c r="B516" s="12"/>
      <c r="C516" s="83"/>
      <c r="D516" s="12"/>
      <c r="E516" s="127"/>
      <c r="F516" s="127"/>
      <c r="G516" s="127"/>
      <c r="H516" s="86"/>
      <c r="I516" s="88"/>
      <c r="J516" s="12"/>
      <c r="K516" s="12"/>
      <c r="L516" s="12"/>
      <c r="M516" s="12"/>
      <c r="N516" s="118"/>
      <c r="O516" s="118"/>
      <c r="P516" s="118"/>
    </row>
    <row r="517" spans="1:16" ht="12.75">
      <c r="A517" s="12"/>
      <c r="B517" s="12"/>
      <c r="C517" s="83"/>
      <c r="D517" s="12"/>
      <c r="E517" s="127"/>
      <c r="F517" s="127"/>
      <c r="G517" s="127"/>
      <c r="H517" s="86"/>
      <c r="I517" s="88"/>
      <c r="J517" s="12"/>
      <c r="K517" s="12"/>
      <c r="L517" s="12"/>
      <c r="M517" s="12"/>
      <c r="N517" s="118"/>
      <c r="O517" s="118"/>
      <c r="P517" s="118"/>
    </row>
    <row r="518" spans="1:16" ht="12.75">
      <c r="A518" s="12"/>
      <c r="B518" s="12"/>
      <c r="C518" s="83"/>
      <c r="D518" s="12"/>
      <c r="E518" s="127"/>
      <c r="F518" s="127"/>
      <c r="G518" s="127"/>
      <c r="H518" s="86"/>
      <c r="I518" s="88"/>
      <c r="J518" s="12"/>
      <c r="K518" s="12"/>
      <c r="L518" s="12"/>
      <c r="M518" s="12"/>
      <c r="N518" s="118"/>
      <c r="O518" s="118"/>
      <c r="P518" s="118"/>
    </row>
    <row r="519" spans="1:16" ht="12.75">
      <c r="A519" s="12"/>
      <c r="B519" s="12"/>
      <c r="C519" s="83"/>
      <c r="D519" s="12"/>
      <c r="E519" s="127"/>
      <c r="F519" s="127"/>
      <c r="G519" s="127"/>
      <c r="H519" s="86"/>
      <c r="I519" s="88"/>
      <c r="J519" s="12"/>
      <c r="K519" s="12"/>
      <c r="L519" s="12"/>
      <c r="M519" s="12"/>
      <c r="N519" s="118"/>
      <c r="O519" s="118"/>
      <c r="P519" s="118"/>
    </row>
    <row r="520" spans="1:16" ht="12.75">
      <c r="A520" s="12"/>
      <c r="B520" s="12"/>
      <c r="C520" s="83"/>
      <c r="D520" s="12"/>
      <c r="E520" s="127"/>
      <c r="F520" s="127"/>
      <c r="G520" s="127"/>
      <c r="H520" s="86"/>
      <c r="I520" s="88"/>
      <c r="J520" s="12"/>
      <c r="K520" s="12"/>
      <c r="L520" s="12"/>
      <c r="M520" s="12"/>
      <c r="N520" s="118"/>
      <c r="O520" s="118"/>
      <c r="P520" s="118"/>
    </row>
    <row r="521" spans="1:16" ht="12.75">
      <c r="A521" s="12"/>
      <c r="B521" s="12"/>
      <c r="C521" s="83"/>
      <c r="D521" s="12"/>
      <c r="E521" s="127"/>
      <c r="F521" s="127"/>
      <c r="G521" s="127"/>
      <c r="H521" s="86"/>
      <c r="I521" s="88"/>
      <c r="J521" s="12"/>
      <c r="K521" s="12"/>
      <c r="L521" s="12"/>
      <c r="M521" s="12"/>
      <c r="N521" s="118"/>
      <c r="O521" s="118"/>
      <c r="P521" s="118"/>
    </row>
    <row r="522" spans="1:16" ht="12.75">
      <c r="A522" s="12"/>
      <c r="B522" s="12"/>
      <c r="C522" s="83"/>
      <c r="D522" s="12"/>
      <c r="E522" s="127"/>
      <c r="F522" s="127"/>
      <c r="G522" s="127"/>
      <c r="H522" s="86"/>
      <c r="I522" s="88"/>
      <c r="J522" s="12"/>
      <c r="K522" s="12"/>
      <c r="L522" s="12"/>
      <c r="M522" s="12"/>
      <c r="N522" s="118"/>
      <c r="O522" s="118"/>
      <c r="P522" s="118"/>
    </row>
    <row r="523" spans="1:16" ht="12.75">
      <c r="A523" s="12"/>
      <c r="B523" s="12"/>
      <c r="C523" s="83"/>
      <c r="D523" s="12"/>
      <c r="E523" s="127"/>
      <c r="F523" s="127"/>
      <c r="G523" s="127"/>
      <c r="H523" s="86"/>
      <c r="I523" s="88"/>
      <c r="J523" s="12"/>
      <c r="K523" s="12"/>
      <c r="L523" s="12"/>
      <c r="M523" s="12"/>
      <c r="N523" s="118"/>
      <c r="O523" s="118"/>
      <c r="P523" s="118"/>
    </row>
    <row r="524" spans="1:16" ht="12.75">
      <c r="A524" s="12"/>
      <c r="B524" s="12"/>
      <c r="C524" s="83"/>
      <c r="D524" s="12"/>
      <c r="E524" s="127"/>
      <c r="F524" s="127"/>
      <c r="G524" s="127"/>
      <c r="H524" s="86"/>
      <c r="I524" s="88"/>
      <c r="J524" s="12"/>
      <c r="K524" s="12"/>
      <c r="L524" s="12"/>
      <c r="M524" s="12"/>
      <c r="N524" s="118"/>
      <c r="O524" s="118"/>
      <c r="P524" s="118"/>
    </row>
    <row r="525" spans="1:16" ht="12.75">
      <c r="A525" s="12"/>
      <c r="B525" s="12"/>
      <c r="C525" s="83"/>
      <c r="D525" s="12"/>
      <c r="E525" s="127"/>
      <c r="F525" s="127"/>
      <c r="G525" s="127"/>
      <c r="H525" s="86"/>
      <c r="I525" s="88"/>
      <c r="J525" s="12"/>
      <c r="K525" s="12"/>
      <c r="L525" s="12"/>
      <c r="M525" s="12"/>
      <c r="N525" s="118"/>
      <c r="O525" s="118"/>
      <c r="P525" s="118"/>
    </row>
    <row r="526" spans="1:16" ht="12.75">
      <c r="A526" s="12"/>
      <c r="B526" s="12"/>
      <c r="C526" s="83"/>
      <c r="D526" s="12"/>
      <c r="E526" s="127"/>
      <c r="F526" s="127"/>
      <c r="G526" s="127"/>
      <c r="H526" s="86"/>
      <c r="I526" s="88"/>
      <c r="J526" s="12"/>
      <c r="K526" s="12"/>
      <c r="L526" s="12"/>
      <c r="M526" s="12"/>
      <c r="N526" s="118"/>
      <c r="O526" s="118"/>
      <c r="P526" s="118"/>
    </row>
    <row r="527" spans="1:16" ht="12.75">
      <c r="A527" s="12"/>
      <c r="B527" s="12"/>
      <c r="C527" s="83"/>
      <c r="D527" s="12"/>
      <c r="E527" s="127"/>
      <c r="F527" s="127"/>
      <c r="G527" s="127"/>
      <c r="H527" s="86"/>
      <c r="I527" s="88"/>
      <c r="J527" s="12"/>
      <c r="K527" s="12"/>
      <c r="L527" s="12"/>
      <c r="M527" s="12"/>
      <c r="N527" s="118"/>
      <c r="O527" s="118"/>
      <c r="P527" s="118"/>
    </row>
    <row r="528" spans="1:16" ht="12.75">
      <c r="A528" s="12"/>
      <c r="B528" s="12"/>
      <c r="C528" s="83"/>
      <c r="D528" s="12"/>
      <c r="E528" s="127"/>
      <c r="F528" s="127"/>
      <c r="G528" s="127"/>
      <c r="H528" s="86"/>
      <c r="I528" s="88"/>
      <c r="J528" s="12"/>
      <c r="K528" s="12"/>
      <c r="L528" s="12"/>
      <c r="M528" s="12"/>
      <c r="N528" s="118"/>
      <c r="O528" s="118"/>
      <c r="P528" s="118"/>
    </row>
    <row r="529" spans="1:16" ht="12.75">
      <c r="A529" s="12"/>
      <c r="B529" s="12"/>
      <c r="C529" s="83"/>
      <c r="D529" s="12"/>
      <c r="E529" s="127"/>
      <c r="F529" s="127"/>
      <c r="G529" s="127"/>
      <c r="H529" s="86"/>
      <c r="I529" s="88"/>
      <c r="J529" s="12"/>
      <c r="K529" s="12"/>
      <c r="L529" s="12"/>
      <c r="M529" s="12"/>
      <c r="N529" s="118"/>
      <c r="O529" s="118"/>
      <c r="P529" s="118"/>
    </row>
    <row r="530" spans="1:16" ht="12.75">
      <c r="A530" s="12"/>
      <c r="B530" s="12"/>
      <c r="C530" s="83"/>
      <c r="D530" s="12"/>
      <c r="E530" s="127"/>
      <c r="F530" s="127"/>
      <c r="G530" s="127"/>
      <c r="H530" s="86"/>
      <c r="I530" s="88"/>
      <c r="J530" s="12"/>
      <c r="K530" s="12"/>
      <c r="L530" s="12"/>
      <c r="M530" s="12"/>
      <c r="N530" s="118"/>
      <c r="O530" s="118"/>
      <c r="P530" s="118"/>
    </row>
    <row r="531" spans="1:16" ht="12.75">
      <c r="A531" s="12"/>
      <c r="B531" s="12"/>
      <c r="C531" s="83"/>
      <c r="D531" s="12"/>
      <c r="E531" s="127"/>
      <c r="F531" s="127"/>
      <c r="G531" s="127"/>
      <c r="H531" s="86"/>
      <c r="I531" s="88"/>
      <c r="J531" s="12"/>
      <c r="K531" s="12"/>
      <c r="L531" s="12"/>
      <c r="M531" s="12"/>
      <c r="N531" s="118"/>
      <c r="O531" s="118"/>
      <c r="P531" s="118"/>
    </row>
    <row r="532" spans="1:16" ht="12.75">
      <c r="A532" s="12"/>
      <c r="B532" s="12"/>
      <c r="C532" s="83"/>
      <c r="D532" s="12"/>
      <c r="E532" s="127"/>
      <c r="F532" s="127"/>
      <c r="G532" s="127"/>
      <c r="H532" s="86"/>
      <c r="I532" s="88"/>
      <c r="J532" s="12"/>
      <c r="K532" s="12"/>
      <c r="L532" s="12"/>
      <c r="M532" s="12"/>
      <c r="N532" s="118"/>
      <c r="O532" s="118"/>
      <c r="P532" s="118"/>
    </row>
    <row r="533" spans="1:16" ht="12.75">
      <c r="A533" s="12"/>
      <c r="B533" s="12"/>
      <c r="C533" s="83"/>
      <c r="D533" s="12"/>
      <c r="E533" s="127"/>
      <c r="F533" s="127"/>
      <c r="G533" s="127"/>
      <c r="H533" s="86"/>
      <c r="I533" s="88"/>
      <c r="J533" s="12"/>
      <c r="K533" s="12"/>
      <c r="L533" s="12"/>
      <c r="M533" s="12"/>
      <c r="N533" s="118"/>
      <c r="O533" s="118"/>
      <c r="P533" s="118"/>
    </row>
    <row r="534" spans="1:16" ht="12.75">
      <c r="A534" s="12"/>
      <c r="B534" s="12"/>
      <c r="C534" s="83"/>
      <c r="D534" s="12"/>
      <c r="E534" s="127"/>
      <c r="F534" s="127"/>
      <c r="G534" s="127"/>
      <c r="H534" s="86"/>
      <c r="I534" s="88"/>
      <c r="J534" s="12"/>
      <c r="K534" s="12"/>
      <c r="L534" s="12"/>
      <c r="M534" s="12"/>
      <c r="N534" s="118"/>
      <c r="O534" s="118"/>
      <c r="P534" s="118"/>
    </row>
    <row r="535" spans="1:16" ht="12.75">
      <c r="A535" s="12"/>
      <c r="B535" s="12"/>
      <c r="C535" s="83"/>
      <c r="D535" s="12"/>
      <c r="E535" s="127"/>
      <c r="F535" s="127"/>
      <c r="G535" s="127"/>
      <c r="H535" s="86"/>
      <c r="I535" s="88"/>
      <c r="J535" s="12"/>
      <c r="K535" s="12"/>
      <c r="L535" s="12"/>
      <c r="M535" s="12"/>
      <c r="N535" s="118"/>
      <c r="O535" s="118"/>
      <c r="P535" s="118"/>
    </row>
    <row r="536" spans="1:16" ht="12.75">
      <c r="A536" s="12"/>
      <c r="B536" s="12"/>
      <c r="C536" s="83"/>
      <c r="D536" s="12"/>
      <c r="E536" s="127"/>
      <c r="F536" s="127"/>
      <c r="G536" s="127"/>
      <c r="H536" s="86"/>
      <c r="I536" s="88"/>
      <c r="J536" s="12"/>
      <c r="K536" s="12"/>
      <c r="L536" s="12"/>
      <c r="M536" s="12"/>
      <c r="N536" s="118"/>
      <c r="O536" s="118"/>
      <c r="P536" s="118"/>
    </row>
    <row r="537" spans="1:16" ht="12.75">
      <c r="A537" s="12"/>
      <c r="B537" s="12"/>
      <c r="C537" s="83"/>
      <c r="D537" s="12"/>
      <c r="E537" s="127"/>
      <c r="F537" s="127"/>
      <c r="G537" s="127"/>
      <c r="H537" s="86"/>
      <c r="I537" s="88"/>
      <c r="J537" s="12"/>
      <c r="K537" s="12"/>
      <c r="L537" s="12"/>
      <c r="M537" s="12"/>
      <c r="N537" s="118"/>
      <c r="O537" s="118"/>
      <c r="P537" s="118"/>
    </row>
    <row r="538" spans="1:16" ht="12.75">
      <c r="A538" s="12"/>
      <c r="B538" s="12"/>
      <c r="C538" s="83"/>
      <c r="D538" s="12"/>
      <c r="E538" s="127"/>
      <c r="F538" s="127"/>
      <c r="G538" s="127"/>
      <c r="H538" s="86"/>
      <c r="I538" s="88"/>
      <c r="J538" s="12"/>
      <c r="K538" s="12"/>
      <c r="L538" s="12"/>
      <c r="M538" s="12"/>
      <c r="N538" s="118"/>
      <c r="O538" s="118"/>
      <c r="P538" s="118"/>
    </row>
    <row r="539" spans="1:16" ht="12.75">
      <c r="A539" s="12"/>
      <c r="B539" s="12"/>
      <c r="C539" s="83"/>
      <c r="D539" s="12"/>
      <c r="E539" s="127"/>
      <c r="F539" s="127"/>
      <c r="G539" s="127"/>
      <c r="H539" s="86"/>
      <c r="I539" s="88"/>
      <c r="J539" s="12"/>
      <c r="K539" s="12"/>
      <c r="L539" s="12"/>
      <c r="M539" s="12"/>
      <c r="N539" s="118"/>
      <c r="O539" s="118"/>
      <c r="P539" s="118"/>
    </row>
    <row r="540" spans="1:16" ht="12.75">
      <c r="A540" s="12"/>
      <c r="B540" s="12"/>
      <c r="C540" s="83"/>
      <c r="D540" s="12"/>
      <c r="E540" s="127"/>
      <c r="F540" s="127"/>
      <c r="G540" s="127"/>
      <c r="H540" s="86"/>
      <c r="I540" s="88"/>
      <c r="J540" s="12"/>
      <c r="K540" s="12"/>
      <c r="L540" s="12"/>
      <c r="M540" s="12"/>
      <c r="N540" s="118"/>
      <c r="O540" s="118"/>
      <c r="P540" s="118"/>
    </row>
    <row r="541" spans="1:16" ht="12.75">
      <c r="A541" s="12"/>
      <c r="B541" s="12"/>
      <c r="C541" s="83"/>
      <c r="D541" s="12"/>
      <c r="E541" s="127"/>
      <c r="F541" s="127"/>
      <c r="G541" s="127"/>
      <c r="H541" s="86"/>
      <c r="I541" s="88"/>
      <c r="J541" s="12"/>
      <c r="K541" s="12"/>
      <c r="L541" s="12"/>
      <c r="M541" s="12"/>
      <c r="N541" s="118"/>
      <c r="O541" s="118"/>
      <c r="P541" s="118"/>
    </row>
    <row r="542" spans="1:16" ht="12.75">
      <c r="A542" s="12"/>
      <c r="B542" s="12"/>
      <c r="C542" s="83"/>
      <c r="D542" s="12"/>
      <c r="E542" s="127"/>
      <c r="F542" s="127"/>
      <c r="G542" s="127"/>
      <c r="H542" s="86"/>
      <c r="I542" s="88"/>
      <c r="J542" s="12"/>
      <c r="K542" s="12"/>
      <c r="L542" s="12"/>
      <c r="M542" s="12"/>
      <c r="N542" s="118"/>
      <c r="O542" s="118"/>
      <c r="P542" s="118"/>
    </row>
    <row r="543" spans="1:16" ht="12.75">
      <c r="A543" s="12"/>
      <c r="B543" s="12"/>
      <c r="C543" s="83"/>
      <c r="D543" s="12"/>
      <c r="E543" s="127"/>
      <c r="F543" s="127"/>
      <c r="G543" s="127"/>
      <c r="H543" s="86"/>
      <c r="I543" s="88"/>
      <c r="J543" s="12"/>
      <c r="K543" s="12"/>
      <c r="L543" s="12"/>
      <c r="M543" s="12"/>
      <c r="N543" s="118"/>
      <c r="O543" s="118"/>
      <c r="P543" s="118"/>
    </row>
    <row r="544" spans="1:16" ht="12.75">
      <c r="A544" s="12"/>
      <c r="B544" s="12"/>
      <c r="C544" s="83"/>
      <c r="D544" s="12"/>
      <c r="E544" s="127"/>
      <c r="F544" s="127"/>
      <c r="G544" s="127"/>
      <c r="H544" s="86"/>
      <c r="I544" s="88"/>
      <c r="J544" s="12"/>
      <c r="K544" s="12"/>
      <c r="L544" s="12"/>
      <c r="M544" s="12"/>
      <c r="N544" s="118"/>
      <c r="O544" s="118"/>
      <c r="P544" s="118"/>
    </row>
    <row r="545" spans="1:16" ht="12.75">
      <c r="A545" s="12"/>
      <c r="B545" s="12"/>
      <c r="C545" s="83"/>
      <c r="D545" s="12"/>
      <c r="E545" s="127"/>
      <c r="F545" s="127"/>
      <c r="G545" s="127"/>
      <c r="H545" s="86"/>
      <c r="I545" s="88"/>
      <c r="J545" s="12"/>
      <c r="K545" s="12"/>
      <c r="L545" s="12"/>
      <c r="M545" s="12"/>
      <c r="N545" s="118"/>
      <c r="O545" s="118"/>
      <c r="P545" s="118"/>
    </row>
    <row r="546" spans="1:16" ht="12.75">
      <c r="A546" s="12"/>
      <c r="B546" s="12"/>
      <c r="C546" s="83"/>
      <c r="D546" s="12"/>
      <c r="E546" s="127"/>
      <c r="F546" s="127"/>
      <c r="G546" s="127"/>
      <c r="H546" s="86"/>
      <c r="I546" s="88"/>
      <c r="J546" s="12"/>
      <c r="K546" s="12"/>
      <c r="L546" s="12"/>
      <c r="M546" s="12"/>
      <c r="N546" s="118"/>
      <c r="O546" s="118"/>
      <c r="P546" s="118"/>
    </row>
    <row r="547" spans="1:16" ht="12.75">
      <c r="A547" s="12"/>
      <c r="B547" s="12"/>
      <c r="C547" s="83"/>
      <c r="D547" s="12"/>
      <c r="E547" s="127"/>
      <c r="F547" s="127"/>
      <c r="G547" s="127"/>
      <c r="H547" s="86"/>
      <c r="I547" s="88"/>
      <c r="J547" s="12"/>
      <c r="K547" s="12"/>
      <c r="L547" s="12"/>
      <c r="M547" s="12"/>
      <c r="N547" s="118"/>
      <c r="O547" s="118"/>
      <c r="P547" s="118"/>
    </row>
    <row r="548" spans="1:16" ht="12.75">
      <c r="A548" s="12"/>
      <c r="B548" s="12"/>
      <c r="C548" s="83"/>
      <c r="D548" s="12"/>
      <c r="E548" s="127"/>
      <c r="F548" s="127"/>
      <c r="G548" s="127"/>
      <c r="H548" s="86"/>
      <c r="I548" s="88"/>
      <c r="J548" s="12"/>
      <c r="K548" s="12"/>
      <c r="L548" s="12"/>
      <c r="M548" s="12"/>
      <c r="N548" s="118"/>
      <c r="O548" s="118"/>
      <c r="P548" s="118"/>
    </row>
    <row r="549" spans="1:16" ht="12.75">
      <c r="A549" s="12"/>
      <c r="B549" s="12"/>
      <c r="C549" s="83"/>
      <c r="D549" s="12"/>
      <c r="E549" s="127"/>
      <c r="F549" s="127"/>
      <c r="G549" s="127"/>
      <c r="H549" s="86"/>
      <c r="I549" s="88"/>
      <c r="J549" s="12"/>
      <c r="K549" s="12"/>
      <c r="L549" s="12"/>
      <c r="M549" s="12"/>
      <c r="N549" s="118"/>
      <c r="O549" s="118"/>
      <c r="P549" s="118"/>
    </row>
    <row r="550" spans="1:16" ht="12.75">
      <c r="A550" s="12"/>
      <c r="B550" s="12"/>
      <c r="C550" s="83"/>
      <c r="D550" s="12"/>
      <c r="E550" s="127"/>
      <c r="F550" s="127"/>
      <c r="G550" s="127"/>
      <c r="H550" s="86"/>
      <c r="I550" s="88"/>
      <c r="J550" s="12"/>
      <c r="K550" s="12"/>
      <c r="L550" s="12"/>
      <c r="M550" s="12"/>
      <c r="N550" s="118"/>
      <c r="O550" s="118"/>
      <c r="P550" s="118"/>
    </row>
    <row r="551" spans="1:16" ht="12.75">
      <c r="A551" s="12"/>
      <c r="B551" s="12"/>
      <c r="C551" s="83"/>
      <c r="D551" s="12"/>
      <c r="E551" s="127"/>
      <c r="F551" s="127"/>
      <c r="G551" s="127"/>
      <c r="H551" s="86"/>
      <c r="I551" s="88"/>
      <c r="J551" s="12"/>
      <c r="K551" s="12"/>
      <c r="L551" s="12"/>
      <c r="M551" s="12"/>
      <c r="N551" s="118"/>
      <c r="O551" s="118"/>
      <c r="P551" s="118"/>
    </row>
    <row r="552" spans="1:16" ht="12.75">
      <c r="A552" s="12"/>
      <c r="B552" s="12"/>
      <c r="C552" s="83"/>
      <c r="D552" s="12"/>
      <c r="E552" s="127"/>
      <c r="F552" s="127"/>
      <c r="G552" s="127"/>
      <c r="H552" s="86"/>
      <c r="I552" s="88"/>
      <c r="J552" s="12"/>
      <c r="K552" s="12"/>
      <c r="L552" s="12"/>
      <c r="M552" s="12"/>
      <c r="N552" s="118"/>
      <c r="O552" s="118"/>
      <c r="P552" s="118"/>
    </row>
    <row r="553" spans="1:16" ht="12.75">
      <c r="A553" s="12"/>
      <c r="B553" s="12"/>
      <c r="C553" s="83"/>
      <c r="D553" s="12"/>
      <c r="E553" s="127"/>
      <c r="F553" s="127"/>
      <c r="G553" s="127"/>
      <c r="H553" s="86"/>
      <c r="I553" s="88"/>
      <c r="J553" s="12"/>
      <c r="K553" s="12"/>
      <c r="L553" s="12"/>
      <c r="M553" s="12"/>
      <c r="N553" s="118"/>
      <c r="O553" s="118"/>
      <c r="P553" s="118"/>
    </row>
    <row r="554" spans="1:16" ht="12.75">
      <c r="A554" s="12"/>
      <c r="B554" s="12"/>
      <c r="C554" s="83"/>
      <c r="D554" s="12"/>
      <c r="E554" s="127"/>
      <c r="F554" s="127"/>
      <c r="G554" s="127"/>
      <c r="H554" s="86"/>
      <c r="I554" s="88"/>
      <c r="J554" s="12"/>
      <c r="K554" s="12"/>
      <c r="L554" s="12"/>
      <c r="M554" s="12"/>
      <c r="N554" s="118"/>
      <c r="O554" s="118"/>
      <c r="P554" s="118"/>
    </row>
    <row r="555" spans="1:16" ht="12.75">
      <c r="A555" s="12"/>
      <c r="B555" s="12"/>
      <c r="C555" s="83"/>
      <c r="D555" s="12"/>
      <c r="E555" s="127"/>
      <c r="F555" s="127"/>
      <c r="G555" s="127"/>
      <c r="H555" s="86"/>
      <c r="I555" s="88"/>
      <c r="J555" s="12"/>
      <c r="K555" s="12"/>
      <c r="L555" s="12"/>
      <c r="M555" s="12"/>
      <c r="N555" s="118"/>
      <c r="O555" s="118"/>
      <c r="P555" s="118"/>
    </row>
    <row r="556" spans="1:16" ht="12.75">
      <c r="A556" s="12"/>
      <c r="B556" s="12"/>
      <c r="C556" s="83"/>
      <c r="D556" s="12"/>
      <c r="E556" s="127"/>
      <c r="F556" s="127"/>
      <c r="G556" s="127"/>
      <c r="H556" s="86"/>
      <c r="I556" s="88"/>
      <c r="J556" s="12"/>
      <c r="K556" s="12"/>
      <c r="L556" s="12"/>
      <c r="M556" s="12"/>
      <c r="N556" s="118"/>
      <c r="O556" s="118"/>
      <c r="P556" s="118"/>
    </row>
    <row r="557" spans="1:16" ht="12.75">
      <c r="A557" s="12"/>
      <c r="B557" s="12"/>
      <c r="C557" s="83"/>
      <c r="D557" s="12"/>
      <c r="E557" s="127"/>
      <c r="F557" s="127"/>
      <c r="G557" s="127"/>
      <c r="H557" s="86"/>
      <c r="I557" s="88"/>
      <c r="J557" s="12"/>
      <c r="K557" s="12"/>
      <c r="L557" s="12"/>
      <c r="M557" s="12"/>
      <c r="N557" s="118"/>
      <c r="O557" s="118"/>
      <c r="P557" s="118"/>
    </row>
    <row r="558" spans="1:16" ht="12.75">
      <c r="A558" s="12"/>
      <c r="B558" s="12"/>
      <c r="C558" s="83"/>
      <c r="D558" s="12"/>
      <c r="E558" s="127"/>
      <c r="F558" s="127"/>
      <c r="G558" s="127"/>
      <c r="H558" s="86"/>
      <c r="I558" s="88"/>
      <c r="J558" s="12"/>
      <c r="K558" s="12"/>
      <c r="L558" s="12"/>
      <c r="M558" s="12"/>
      <c r="N558" s="118"/>
      <c r="O558" s="118"/>
      <c r="P558" s="118"/>
    </row>
    <row r="559" spans="1:16" ht="12.75">
      <c r="A559" s="12"/>
      <c r="B559" s="12"/>
      <c r="C559" s="83"/>
      <c r="D559" s="12"/>
      <c r="E559" s="127"/>
      <c r="F559" s="127"/>
      <c r="G559" s="127"/>
      <c r="H559" s="86"/>
      <c r="I559" s="88"/>
      <c r="J559" s="12"/>
      <c r="K559" s="12"/>
      <c r="L559" s="12"/>
      <c r="M559" s="12"/>
      <c r="N559" s="118"/>
      <c r="O559" s="118"/>
      <c r="P559" s="118"/>
    </row>
    <row r="560" spans="1:16" ht="12.75">
      <c r="A560" s="12"/>
      <c r="B560" s="12"/>
      <c r="C560" s="83"/>
      <c r="D560" s="12"/>
      <c r="E560" s="127"/>
      <c r="F560" s="127"/>
      <c r="G560" s="127"/>
      <c r="H560" s="86"/>
      <c r="I560" s="88"/>
      <c r="J560" s="12"/>
      <c r="K560" s="12"/>
      <c r="L560" s="12"/>
      <c r="M560" s="12"/>
      <c r="N560" s="118"/>
      <c r="O560" s="118"/>
      <c r="P560" s="118"/>
    </row>
    <row r="561" spans="1:16" ht="12.75">
      <c r="A561" s="12"/>
      <c r="B561" s="12"/>
      <c r="C561" s="83"/>
      <c r="D561" s="12"/>
      <c r="E561" s="127"/>
      <c r="F561" s="127"/>
      <c r="G561" s="127"/>
      <c r="H561" s="86"/>
      <c r="I561" s="88"/>
      <c r="J561" s="12"/>
      <c r="K561" s="12"/>
      <c r="L561" s="12"/>
      <c r="M561" s="12"/>
      <c r="N561" s="118"/>
      <c r="O561" s="118"/>
      <c r="P561" s="118"/>
    </row>
    <row r="562" spans="1:16" ht="12.75">
      <c r="A562" s="12"/>
      <c r="B562" s="12"/>
      <c r="C562" s="83"/>
      <c r="D562" s="12"/>
      <c r="E562" s="127"/>
      <c r="F562" s="127"/>
      <c r="G562" s="127"/>
      <c r="H562" s="86"/>
      <c r="I562" s="88"/>
      <c r="J562" s="12"/>
      <c r="K562" s="12"/>
      <c r="L562" s="12"/>
      <c r="M562" s="12"/>
      <c r="N562" s="118"/>
      <c r="O562" s="118"/>
      <c r="P562" s="118"/>
    </row>
    <row r="563" spans="1:16" ht="12.75">
      <c r="A563" s="12"/>
      <c r="B563" s="12"/>
      <c r="C563" s="83"/>
      <c r="D563" s="12"/>
      <c r="E563" s="127"/>
      <c r="F563" s="127"/>
      <c r="G563" s="127"/>
      <c r="H563" s="86"/>
      <c r="I563" s="88"/>
      <c r="J563" s="12"/>
      <c r="K563" s="12"/>
      <c r="L563" s="12"/>
      <c r="M563" s="12"/>
      <c r="N563" s="118"/>
      <c r="O563" s="118"/>
      <c r="P563" s="118"/>
    </row>
    <row r="564" spans="1:16" ht="12.75">
      <c r="A564" s="12"/>
      <c r="B564" s="12"/>
      <c r="C564" s="83"/>
      <c r="D564" s="12"/>
      <c r="E564" s="127"/>
      <c r="F564" s="127"/>
      <c r="G564" s="127"/>
      <c r="H564" s="86"/>
      <c r="I564" s="88"/>
      <c r="J564" s="12"/>
      <c r="K564" s="12"/>
      <c r="L564" s="12"/>
      <c r="M564" s="12"/>
      <c r="N564" s="118"/>
      <c r="O564" s="118"/>
      <c r="P564" s="118"/>
    </row>
    <row r="565" spans="1:16" ht="12.75">
      <c r="A565" s="12"/>
      <c r="B565" s="12"/>
      <c r="C565" s="83"/>
      <c r="D565" s="12"/>
      <c r="E565" s="127"/>
      <c r="F565" s="127"/>
      <c r="G565" s="127"/>
      <c r="H565" s="86"/>
      <c r="I565" s="88"/>
      <c r="J565" s="12"/>
      <c r="K565" s="12"/>
      <c r="L565" s="12"/>
      <c r="M565" s="12"/>
      <c r="N565" s="118"/>
      <c r="O565" s="118"/>
      <c r="P565" s="118"/>
    </row>
    <row r="566" spans="1:16" ht="12.75">
      <c r="A566" s="12"/>
      <c r="B566" s="12"/>
      <c r="C566" s="83"/>
      <c r="D566" s="12"/>
      <c r="E566" s="127"/>
      <c r="F566" s="127"/>
      <c r="G566" s="127"/>
      <c r="H566" s="86"/>
      <c r="I566" s="88"/>
      <c r="J566" s="12"/>
      <c r="K566" s="12"/>
      <c r="L566" s="12"/>
      <c r="M566" s="12"/>
      <c r="N566" s="118"/>
      <c r="O566" s="118"/>
      <c r="P566" s="118"/>
    </row>
    <row r="567" spans="1:16" ht="12.75">
      <c r="A567" s="12"/>
      <c r="B567" s="12"/>
      <c r="C567" s="83"/>
      <c r="D567" s="12"/>
      <c r="E567" s="127"/>
      <c r="F567" s="127"/>
      <c r="G567" s="127"/>
      <c r="H567" s="86"/>
      <c r="I567" s="88"/>
      <c r="J567" s="12"/>
      <c r="K567" s="12"/>
      <c r="L567" s="12"/>
      <c r="M567" s="12"/>
      <c r="N567" s="118"/>
      <c r="O567" s="118"/>
      <c r="P567" s="118"/>
    </row>
    <row r="568" spans="1:16" ht="12.75">
      <c r="A568" s="12"/>
      <c r="B568" s="12"/>
      <c r="C568" s="83"/>
      <c r="D568" s="12"/>
      <c r="E568" s="127"/>
      <c r="F568" s="127"/>
      <c r="G568" s="127"/>
      <c r="H568" s="86"/>
      <c r="I568" s="88"/>
      <c r="J568" s="12"/>
      <c r="K568" s="12"/>
      <c r="L568" s="12"/>
      <c r="M568" s="12"/>
      <c r="N568" s="118"/>
      <c r="O568" s="118"/>
      <c r="P568" s="118"/>
    </row>
    <row r="569" spans="1:16" ht="12.75">
      <c r="A569" s="12"/>
      <c r="B569" s="12"/>
      <c r="C569" s="83"/>
      <c r="D569" s="12"/>
      <c r="E569" s="127"/>
      <c r="F569" s="127"/>
      <c r="G569" s="127"/>
      <c r="H569" s="86"/>
      <c r="I569" s="88"/>
      <c r="J569" s="12"/>
      <c r="K569" s="12"/>
      <c r="L569" s="12"/>
      <c r="M569" s="12"/>
      <c r="N569" s="118"/>
      <c r="O569" s="118"/>
      <c r="P569" s="118"/>
    </row>
    <row r="570" spans="1:16" ht="12.75">
      <c r="A570" s="12"/>
      <c r="B570" s="12"/>
      <c r="C570" s="83"/>
      <c r="D570" s="12"/>
      <c r="E570" s="127"/>
      <c r="F570" s="127"/>
      <c r="G570" s="127"/>
      <c r="H570" s="86"/>
      <c r="I570" s="88"/>
      <c r="J570" s="12"/>
      <c r="K570" s="12"/>
      <c r="L570" s="12"/>
      <c r="M570" s="12"/>
      <c r="N570" s="118"/>
      <c r="O570" s="118"/>
      <c r="P570" s="118"/>
    </row>
    <row r="571" spans="1:16" ht="12.75">
      <c r="A571" s="12"/>
      <c r="B571" s="12"/>
      <c r="C571" s="83"/>
      <c r="D571" s="12"/>
      <c r="E571" s="127"/>
      <c r="F571" s="127"/>
      <c r="G571" s="127"/>
      <c r="H571" s="86"/>
      <c r="I571" s="88"/>
      <c r="J571" s="12"/>
      <c r="K571" s="12"/>
      <c r="L571" s="12"/>
      <c r="M571" s="12"/>
      <c r="N571" s="118"/>
      <c r="O571" s="118"/>
      <c r="P571" s="118"/>
    </row>
    <row r="572" spans="1:16" ht="12.75">
      <c r="A572" s="114"/>
      <c r="B572" s="114"/>
      <c r="C572" s="7"/>
      <c r="D572" s="114"/>
      <c r="E572" s="128"/>
      <c r="F572" s="128"/>
      <c r="G572" s="128"/>
      <c r="H572" s="114"/>
      <c r="I572" s="88"/>
      <c r="J572" s="114"/>
      <c r="K572" s="114"/>
      <c r="L572" s="114"/>
      <c r="M572" s="114"/>
      <c r="N572" s="118"/>
      <c r="O572" s="118"/>
      <c r="P572" s="118"/>
    </row>
    <row r="573" spans="1:16" ht="12.75">
      <c r="A573" s="114"/>
      <c r="B573" s="114"/>
      <c r="C573" s="7"/>
      <c r="D573" s="114"/>
      <c r="E573" s="128"/>
      <c r="F573" s="128"/>
      <c r="G573" s="128"/>
      <c r="H573" s="114"/>
      <c r="I573" s="88"/>
      <c r="J573" s="114"/>
      <c r="K573" s="114"/>
      <c r="L573" s="114"/>
      <c r="M573" s="114"/>
      <c r="N573" s="118"/>
      <c r="O573" s="118"/>
      <c r="P573" s="118"/>
    </row>
    <row r="574" spans="1:16" ht="12.75">
      <c r="A574" s="114"/>
      <c r="B574" s="114"/>
      <c r="C574" s="7"/>
      <c r="D574" s="114"/>
      <c r="E574" s="128"/>
      <c r="F574" s="128"/>
      <c r="G574" s="128"/>
      <c r="H574" s="114"/>
      <c r="I574" s="88"/>
      <c r="J574" s="114"/>
      <c r="K574" s="114"/>
      <c r="L574" s="114"/>
      <c r="M574" s="114"/>
      <c r="N574" s="118"/>
      <c r="O574" s="118"/>
      <c r="P574" s="118"/>
    </row>
    <row r="575" spans="1:16" ht="12.75">
      <c r="A575" s="114"/>
      <c r="B575" s="114"/>
      <c r="C575" s="7"/>
      <c r="D575" s="114"/>
      <c r="E575" s="128"/>
      <c r="F575" s="128"/>
      <c r="G575" s="128"/>
      <c r="H575" s="114"/>
      <c r="I575" s="88"/>
      <c r="J575" s="114"/>
      <c r="K575" s="114"/>
      <c r="L575" s="114"/>
      <c r="M575" s="114"/>
      <c r="N575" s="118"/>
      <c r="O575" s="118"/>
      <c r="P575" s="118"/>
    </row>
    <row r="576" spans="1:16" ht="12.75">
      <c r="A576" s="114"/>
      <c r="B576" s="114"/>
      <c r="C576" s="7"/>
      <c r="D576" s="114"/>
      <c r="E576" s="128"/>
      <c r="F576" s="128"/>
      <c r="G576" s="128"/>
      <c r="H576" s="114"/>
      <c r="I576" s="88"/>
      <c r="J576" s="114"/>
      <c r="K576" s="114"/>
      <c r="L576" s="114"/>
      <c r="M576" s="114"/>
      <c r="N576" s="118"/>
      <c r="O576" s="118"/>
      <c r="P576" s="118"/>
    </row>
    <row r="577" spans="1:16" ht="12.75">
      <c r="A577" s="114"/>
      <c r="B577" s="114"/>
      <c r="C577" s="7"/>
      <c r="D577" s="114"/>
      <c r="E577" s="128"/>
      <c r="F577" s="128"/>
      <c r="G577" s="128"/>
      <c r="H577" s="114"/>
      <c r="I577" s="88"/>
      <c r="J577" s="114"/>
      <c r="K577" s="114"/>
      <c r="L577" s="114"/>
      <c r="M577" s="114"/>
      <c r="N577" s="118"/>
      <c r="O577" s="118"/>
      <c r="P577" s="118"/>
    </row>
    <row r="578" spans="1:16" ht="12.75">
      <c r="A578" s="114"/>
      <c r="B578" s="114"/>
      <c r="C578" s="7"/>
      <c r="D578" s="114"/>
      <c r="E578" s="128"/>
      <c r="F578" s="128"/>
      <c r="G578" s="128"/>
      <c r="H578" s="114"/>
      <c r="I578" s="88"/>
      <c r="J578" s="114"/>
      <c r="K578" s="114"/>
      <c r="L578" s="114"/>
      <c r="M578" s="114"/>
      <c r="N578" s="118"/>
      <c r="O578" s="118"/>
      <c r="P578" s="118"/>
    </row>
    <row r="579" spans="1:16" ht="12.75">
      <c r="A579" s="114"/>
      <c r="B579" s="114"/>
      <c r="C579" s="7"/>
      <c r="D579" s="114"/>
      <c r="E579" s="128"/>
      <c r="F579" s="128"/>
      <c r="G579" s="128"/>
      <c r="H579" s="114"/>
      <c r="I579" s="88"/>
      <c r="J579" s="114"/>
      <c r="K579" s="114"/>
      <c r="L579" s="114"/>
      <c r="M579" s="114"/>
      <c r="N579" s="118"/>
      <c r="O579" s="118"/>
      <c r="P579" s="118"/>
    </row>
    <row r="580" spans="1:16" ht="12.75">
      <c r="A580" s="114"/>
      <c r="B580" s="114"/>
      <c r="C580" s="7"/>
      <c r="D580" s="114"/>
      <c r="E580" s="128"/>
      <c r="F580" s="128"/>
      <c r="G580" s="128"/>
      <c r="H580" s="114"/>
      <c r="I580" s="88"/>
      <c r="J580" s="114"/>
      <c r="K580" s="114"/>
      <c r="L580" s="114"/>
      <c r="M580" s="114"/>
      <c r="N580" s="118"/>
      <c r="O580" s="118"/>
      <c r="P580" s="118"/>
    </row>
    <row r="581" spans="1:16" ht="12.75">
      <c r="A581" s="114"/>
      <c r="B581" s="114"/>
      <c r="C581" s="7"/>
      <c r="D581" s="114"/>
      <c r="E581" s="128"/>
      <c r="F581" s="128"/>
      <c r="G581" s="128"/>
      <c r="H581" s="114"/>
      <c r="I581" s="88"/>
      <c r="J581" s="114"/>
      <c r="K581" s="114"/>
      <c r="L581" s="114"/>
      <c r="M581" s="114"/>
      <c r="N581" s="118"/>
      <c r="O581" s="118"/>
      <c r="P581" s="118"/>
    </row>
    <row r="582" spans="1:16" ht="12.75">
      <c r="A582" s="114"/>
      <c r="B582" s="114"/>
      <c r="C582" s="7"/>
      <c r="D582" s="114"/>
      <c r="E582" s="128"/>
      <c r="F582" s="128"/>
      <c r="G582" s="128"/>
      <c r="H582" s="114"/>
      <c r="I582" s="88"/>
      <c r="J582" s="114"/>
      <c r="K582" s="114"/>
      <c r="L582" s="114"/>
      <c r="M582" s="114"/>
      <c r="N582" s="118"/>
      <c r="O582" s="118"/>
      <c r="P582" s="118"/>
    </row>
    <row r="583" spans="1:16" ht="12.75">
      <c r="A583" s="114"/>
      <c r="B583" s="114"/>
      <c r="C583" s="7"/>
      <c r="D583" s="114"/>
      <c r="E583" s="128"/>
      <c r="F583" s="128"/>
      <c r="G583" s="128"/>
      <c r="H583" s="114"/>
      <c r="I583" s="88"/>
      <c r="J583" s="114"/>
      <c r="K583" s="114"/>
      <c r="L583" s="114"/>
      <c r="M583" s="114"/>
      <c r="N583" s="118"/>
      <c r="O583" s="118"/>
      <c r="P583" s="118"/>
    </row>
    <row r="584" spans="1:16" ht="12.75">
      <c r="A584" s="114"/>
      <c r="B584" s="114"/>
      <c r="C584" s="7"/>
      <c r="D584" s="114"/>
      <c r="E584" s="128"/>
      <c r="F584" s="128"/>
      <c r="G584" s="128"/>
      <c r="H584" s="114"/>
      <c r="I584" s="88"/>
      <c r="J584" s="114"/>
      <c r="K584" s="114"/>
      <c r="L584" s="114"/>
      <c r="M584" s="114"/>
      <c r="N584" s="118"/>
      <c r="O584" s="118"/>
      <c r="P584" s="118"/>
    </row>
    <row r="585" spans="1:16" ht="12.75">
      <c r="A585" s="114"/>
      <c r="B585" s="114"/>
      <c r="C585" s="7"/>
      <c r="D585" s="114"/>
      <c r="E585" s="128"/>
      <c r="F585" s="128"/>
      <c r="G585" s="128"/>
      <c r="H585" s="114"/>
      <c r="I585" s="88"/>
      <c r="J585" s="114"/>
      <c r="K585" s="114"/>
      <c r="L585" s="114"/>
      <c r="M585" s="114"/>
      <c r="N585" s="118"/>
      <c r="O585" s="118"/>
      <c r="P585" s="118"/>
    </row>
    <row r="586" spans="1:16" ht="12.75">
      <c r="A586" s="114"/>
      <c r="B586" s="114"/>
      <c r="C586" s="7"/>
      <c r="D586" s="114"/>
      <c r="E586" s="128"/>
      <c r="F586" s="128"/>
      <c r="G586" s="128"/>
      <c r="H586" s="114"/>
      <c r="I586" s="88"/>
      <c r="J586" s="114"/>
      <c r="K586" s="114"/>
      <c r="L586" s="114"/>
      <c r="M586" s="114"/>
      <c r="N586" s="118"/>
      <c r="O586" s="118"/>
      <c r="P586" s="118"/>
    </row>
    <row r="587" spans="1:16" ht="12.75">
      <c r="A587" s="114"/>
      <c r="B587" s="114"/>
      <c r="C587" s="7"/>
      <c r="D587" s="114"/>
      <c r="E587" s="128"/>
      <c r="F587" s="128"/>
      <c r="G587" s="128"/>
      <c r="H587" s="114"/>
      <c r="I587" s="88"/>
      <c r="J587" s="114"/>
      <c r="K587" s="114"/>
      <c r="L587" s="114"/>
      <c r="M587" s="114"/>
      <c r="N587" s="118"/>
      <c r="O587" s="118"/>
      <c r="P587" s="118"/>
    </row>
    <row r="588" spans="1:16" ht="12.75">
      <c r="A588" s="114"/>
      <c r="B588" s="114"/>
      <c r="C588" s="7"/>
      <c r="D588" s="114"/>
      <c r="E588" s="128"/>
      <c r="F588" s="128"/>
      <c r="G588" s="128"/>
      <c r="H588" s="114"/>
      <c r="I588" s="88"/>
      <c r="J588" s="114"/>
      <c r="K588" s="114"/>
      <c r="L588" s="114"/>
      <c r="M588" s="114"/>
      <c r="N588" s="118"/>
      <c r="O588" s="118"/>
      <c r="P588" s="118"/>
    </row>
    <row r="589" spans="1:16" ht="12.75">
      <c r="A589" s="114"/>
      <c r="B589" s="114"/>
      <c r="C589" s="7"/>
      <c r="D589" s="114"/>
      <c r="E589" s="128"/>
      <c r="F589" s="128"/>
      <c r="G589" s="128"/>
      <c r="H589" s="114"/>
      <c r="I589" s="88"/>
      <c r="J589" s="114"/>
      <c r="K589" s="114"/>
      <c r="L589" s="114"/>
      <c r="M589" s="114"/>
      <c r="N589" s="118"/>
      <c r="O589" s="118"/>
      <c r="P589" s="118"/>
    </row>
    <row r="590" spans="1:16" ht="12.75">
      <c r="A590" s="114"/>
      <c r="B590" s="114"/>
      <c r="C590" s="7"/>
      <c r="D590" s="114"/>
      <c r="E590" s="128"/>
      <c r="F590" s="128"/>
      <c r="G590" s="128"/>
      <c r="H590" s="114"/>
      <c r="I590" s="88"/>
      <c r="J590" s="114"/>
      <c r="K590" s="114"/>
      <c r="L590" s="114"/>
      <c r="M590" s="114"/>
      <c r="N590" s="118"/>
      <c r="O590" s="118"/>
      <c r="P590" s="118"/>
    </row>
    <row r="591" spans="1:16" ht="12.75">
      <c r="A591" s="114"/>
      <c r="B591" s="114"/>
      <c r="C591" s="7"/>
      <c r="D591" s="114"/>
      <c r="E591" s="128"/>
      <c r="F591" s="128"/>
      <c r="G591" s="128"/>
      <c r="H591" s="114"/>
      <c r="I591" s="88"/>
      <c r="J591" s="114"/>
      <c r="K591" s="114"/>
      <c r="L591" s="114"/>
      <c r="M591" s="114"/>
      <c r="N591" s="118"/>
      <c r="O591" s="118"/>
      <c r="P591" s="118"/>
    </row>
    <row r="592" spans="1:16" ht="12.75">
      <c r="A592" s="114"/>
      <c r="B592" s="114"/>
      <c r="C592" s="7"/>
      <c r="D592" s="114"/>
      <c r="E592" s="128"/>
      <c r="F592" s="128"/>
      <c r="G592" s="128"/>
      <c r="H592" s="114"/>
      <c r="I592" s="88"/>
      <c r="J592" s="114"/>
      <c r="K592" s="114"/>
      <c r="L592" s="114"/>
      <c r="M592" s="114"/>
      <c r="N592" s="118"/>
      <c r="O592" s="118"/>
      <c r="P592" s="118"/>
    </row>
    <row r="593" spans="1:16" ht="12.75">
      <c r="A593" s="114"/>
      <c r="B593" s="114"/>
      <c r="C593" s="7"/>
      <c r="D593" s="114"/>
      <c r="E593" s="128"/>
      <c r="F593" s="128"/>
      <c r="G593" s="128"/>
      <c r="H593" s="114"/>
      <c r="I593" s="88"/>
      <c r="J593" s="114"/>
      <c r="K593" s="114"/>
      <c r="L593" s="114"/>
      <c r="M593" s="114"/>
      <c r="N593" s="118"/>
      <c r="O593" s="118"/>
      <c r="P593" s="118"/>
    </row>
    <row r="594" spans="1:16" ht="12.75">
      <c r="A594" s="114"/>
      <c r="B594" s="114"/>
      <c r="C594" s="7"/>
      <c r="D594" s="114"/>
      <c r="E594" s="128"/>
      <c r="F594" s="128"/>
      <c r="G594" s="128"/>
      <c r="H594" s="114"/>
      <c r="I594" s="88"/>
      <c r="J594" s="114"/>
      <c r="K594" s="114"/>
      <c r="L594" s="114"/>
      <c r="M594" s="114"/>
      <c r="N594" s="118"/>
      <c r="O594" s="118"/>
      <c r="P594" s="118"/>
    </row>
    <row r="595" spans="1:16" ht="12.75">
      <c r="A595" s="114"/>
      <c r="B595" s="114"/>
      <c r="C595" s="7"/>
      <c r="D595" s="114"/>
      <c r="E595" s="128"/>
      <c r="F595" s="128"/>
      <c r="G595" s="128"/>
      <c r="H595" s="114"/>
      <c r="I595" s="88"/>
      <c r="J595" s="114"/>
      <c r="K595" s="114"/>
      <c r="L595" s="114"/>
      <c r="M595" s="114"/>
      <c r="N595" s="118"/>
      <c r="O595" s="118"/>
      <c r="P595" s="118"/>
    </row>
    <row r="596" spans="1:16" ht="12.75">
      <c r="A596" s="114"/>
      <c r="B596" s="114"/>
      <c r="C596" s="7"/>
      <c r="D596" s="114"/>
      <c r="E596" s="128"/>
      <c r="F596" s="128"/>
      <c r="G596" s="128"/>
      <c r="H596" s="114"/>
      <c r="I596" s="88"/>
      <c r="J596" s="114"/>
      <c r="K596" s="114"/>
      <c r="L596" s="114"/>
      <c r="M596" s="114"/>
      <c r="N596" s="118"/>
      <c r="O596" s="118"/>
      <c r="P596" s="118"/>
    </row>
    <row r="597" spans="1:16" ht="12.75">
      <c r="A597" s="114"/>
      <c r="B597" s="114"/>
      <c r="C597" s="7"/>
      <c r="D597" s="114"/>
      <c r="E597" s="128"/>
      <c r="F597" s="128"/>
      <c r="G597" s="128"/>
      <c r="H597" s="114"/>
      <c r="I597" s="88"/>
      <c r="J597" s="114"/>
      <c r="K597" s="114"/>
      <c r="L597" s="114"/>
      <c r="M597" s="114"/>
      <c r="N597" s="118"/>
      <c r="O597" s="118"/>
      <c r="P597" s="118"/>
    </row>
    <row r="598" spans="1:16" ht="12.75">
      <c r="A598" s="114"/>
      <c r="B598" s="114"/>
      <c r="C598" s="7"/>
      <c r="D598" s="114"/>
      <c r="E598" s="128"/>
      <c r="F598" s="128"/>
      <c r="G598" s="128"/>
      <c r="H598" s="114"/>
      <c r="I598" s="88"/>
      <c r="J598" s="114"/>
      <c r="K598" s="114"/>
      <c r="L598" s="114"/>
      <c r="M598" s="114"/>
      <c r="N598" s="118"/>
      <c r="O598" s="118"/>
      <c r="P598" s="118"/>
    </row>
    <row r="599" spans="1:16" ht="12.75">
      <c r="A599" s="114"/>
      <c r="B599" s="114"/>
      <c r="C599" s="7"/>
      <c r="D599" s="114"/>
      <c r="E599" s="128"/>
      <c r="F599" s="128"/>
      <c r="G599" s="128"/>
      <c r="H599" s="114"/>
      <c r="I599" s="88"/>
      <c r="J599" s="114"/>
      <c r="K599" s="114"/>
      <c r="L599" s="114"/>
      <c r="M599" s="114"/>
      <c r="N599" s="118"/>
      <c r="O599" s="118"/>
      <c r="P599" s="118"/>
    </row>
    <row r="600" spans="1:16" ht="12.75">
      <c r="A600" s="114"/>
      <c r="B600" s="114"/>
      <c r="C600" s="7"/>
      <c r="D600" s="114"/>
      <c r="E600" s="128"/>
      <c r="F600" s="128"/>
      <c r="G600" s="128"/>
      <c r="H600" s="114"/>
      <c r="I600" s="88"/>
      <c r="J600" s="114"/>
      <c r="K600" s="114"/>
      <c r="L600" s="114"/>
      <c r="M600" s="114"/>
      <c r="N600" s="118"/>
      <c r="O600" s="118"/>
      <c r="P600" s="118"/>
    </row>
    <row r="601" spans="1:16" ht="12.75">
      <c r="A601" s="114"/>
      <c r="B601" s="114"/>
      <c r="C601" s="7"/>
      <c r="D601" s="114"/>
      <c r="E601" s="128"/>
      <c r="F601" s="128"/>
      <c r="G601" s="128"/>
      <c r="H601" s="114"/>
      <c r="I601" s="88"/>
      <c r="J601" s="114"/>
      <c r="K601" s="114"/>
      <c r="L601" s="114"/>
      <c r="M601" s="114"/>
      <c r="N601" s="118"/>
      <c r="O601" s="118"/>
      <c r="P601" s="118"/>
    </row>
    <row r="602" spans="1:16" ht="12.75">
      <c r="A602" s="114"/>
      <c r="B602" s="114"/>
      <c r="C602" s="7"/>
      <c r="D602" s="114"/>
      <c r="E602" s="128"/>
      <c r="F602" s="128"/>
      <c r="G602" s="128"/>
      <c r="H602" s="114"/>
      <c r="I602" s="88"/>
      <c r="J602" s="114"/>
      <c r="K602" s="114"/>
      <c r="L602" s="114"/>
      <c r="M602" s="114"/>
      <c r="N602" s="118"/>
      <c r="O602" s="118"/>
      <c r="P602" s="118"/>
    </row>
    <row r="603" spans="1:16" ht="12.75">
      <c r="A603" s="114"/>
      <c r="B603" s="114"/>
      <c r="C603" s="7"/>
      <c r="D603" s="114"/>
      <c r="E603" s="128"/>
      <c r="F603" s="128"/>
      <c r="G603" s="128"/>
      <c r="H603" s="114"/>
      <c r="I603" s="88"/>
      <c r="J603" s="114"/>
      <c r="K603" s="114"/>
      <c r="L603" s="114"/>
      <c r="M603" s="114"/>
      <c r="N603" s="118"/>
      <c r="O603" s="118"/>
      <c r="P603" s="118"/>
    </row>
    <row r="604" spans="1:16" ht="12.75">
      <c r="A604" s="114"/>
      <c r="B604" s="114"/>
      <c r="C604" s="7"/>
      <c r="D604" s="114"/>
      <c r="E604" s="128"/>
      <c r="F604" s="128"/>
      <c r="G604" s="128"/>
      <c r="H604" s="114"/>
      <c r="I604" s="88"/>
      <c r="J604" s="114"/>
      <c r="K604" s="114"/>
      <c r="L604" s="114"/>
      <c r="M604" s="114"/>
      <c r="N604" s="118"/>
      <c r="O604" s="118"/>
      <c r="P604" s="118"/>
    </row>
    <row r="605" spans="1:16" ht="12.75">
      <c r="A605" s="114"/>
      <c r="B605" s="114"/>
      <c r="C605" s="7"/>
      <c r="D605" s="114"/>
      <c r="E605" s="128"/>
      <c r="F605" s="128"/>
      <c r="G605" s="128"/>
      <c r="H605" s="114"/>
      <c r="I605" s="88"/>
      <c r="J605" s="114"/>
      <c r="K605" s="114"/>
      <c r="L605" s="114"/>
      <c r="M605" s="114"/>
      <c r="N605" s="118"/>
      <c r="O605" s="118"/>
      <c r="P605" s="118"/>
    </row>
    <row r="606" spans="1:16" ht="12.75">
      <c r="A606" s="114"/>
      <c r="B606" s="114"/>
      <c r="C606" s="7"/>
      <c r="D606" s="114"/>
      <c r="E606" s="128"/>
      <c r="F606" s="128"/>
      <c r="G606" s="128"/>
      <c r="H606" s="114"/>
      <c r="I606" s="88"/>
      <c r="J606" s="114"/>
      <c r="K606" s="114"/>
      <c r="L606" s="114"/>
      <c r="M606" s="114"/>
      <c r="N606" s="118"/>
      <c r="O606" s="118"/>
      <c r="P606" s="118"/>
    </row>
    <row r="607" spans="1:16" ht="12.75">
      <c r="A607" s="114"/>
      <c r="B607" s="114"/>
      <c r="C607" s="7"/>
      <c r="D607" s="114"/>
      <c r="E607" s="128"/>
      <c r="F607" s="128"/>
      <c r="G607" s="128"/>
      <c r="H607" s="114"/>
      <c r="I607" s="88"/>
      <c r="J607" s="114"/>
      <c r="K607" s="114"/>
      <c r="L607" s="114"/>
      <c r="M607" s="114"/>
      <c r="N607" s="118"/>
      <c r="O607" s="118"/>
      <c r="P607" s="118"/>
    </row>
    <row r="608" spans="1:16" ht="12.75">
      <c r="A608" s="114"/>
      <c r="B608" s="114"/>
      <c r="C608" s="7"/>
      <c r="D608" s="114"/>
      <c r="E608" s="128"/>
      <c r="F608" s="128"/>
      <c r="G608" s="128"/>
      <c r="H608" s="114"/>
      <c r="I608" s="88"/>
      <c r="J608" s="114"/>
      <c r="K608" s="114"/>
      <c r="L608" s="114"/>
      <c r="M608" s="114"/>
      <c r="N608" s="118"/>
      <c r="O608" s="118"/>
      <c r="P608" s="118"/>
    </row>
    <row r="609" spans="1:16" ht="12.75">
      <c r="A609" s="114"/>
      <c r="B609" s="114"/>
      <c r="C609" s="7"/>
      <c r="D609" s="114"/>
      <c r="E609" s="128"/>
      <c r="F609" s="128"/>
      <c r="G609" s="128"/>
      <c r="H609" s="114"/>
      <c r="I609" s="88"/>
      <c r="J609" s="114"/>
      <c r="K609" s="114"/>
      <c r="L609" s="114"/>
      <c r="M609" s="114"/>
      <c r="N609" s="118"/>
      <c r="O609" s="118"/>
      <c r="P609" s="118"/>
    </row>
    <row r="610" spans="1:16" ht="12.75">
      <c r="A610" s="114"/>
      <c r="B610" s="114"/>
      <c r="C610" s="7"/>
      <c r="D610" s="114"/>
      <c r="E610" s="128"/>
      <c r="F610" s="128"/>
      <c r="G610" s="128"/>
      <c r="H610" s="114"/>
      <c r="I610" s="88"/>
      <c r="J610" s="114"/>
      <c r="K610" s="114"/>
      <c r="L610" s="114"/>
      <c r="M610" s="114"/>
      <c r="N610" s="118"/>
      <c r="O610" s="118"/>
      <c r="P610" s="118"/>
    </row>
    <row r="611" spans="1:16" ht="12.75">
      <c r="A611" s="114"/>
      <c r="B611" s="114"/>
      <c r="C611" s="7"/>
      <c r="D611" s="114"/>
      <c r="E611" s="128"/>
      <c r="F611" s="128"/>
      <c r="G611" s="128"/>
      <c r="H611" s="114"/>
      <c r="I611" s="88"/>
      <c r="J611" s="114"/>
      <c r="K611" s="114"/>
      <c r="L611" s="114"/>
      <c r="M611" s="114"/>
      <c r="N611" s="118"/>
      <c r="O611" s="118"/>
      <c r="P611" s="118"/>
    </row>
    <row r="612" spans="1:16" ht="12.75">
      <c r="A612" s="114"/>
      <c r="B612" s="114"/>
      <c r="C612" s="7"/>
      <c r="D612" s="114"/>
      <c r="E612" s="128"/>
      <c r="F612" s="128"/>
      <c r="G612" s="128"/>
      <c r="H612" s="114"/>
      <c r="I612" s="88"/>
      <c r="J612" s="114"/>
      <c r="K612" s="114"/>
      <c r="L612" s="114"/>
      <c r="M612" s="114"/>
      <c r="N612" s="118"/>
      <c r="O612" s="118"/>
      <c r="P612" s="118"/>
    </row>
    <row r="613" spans="1:16" ht="12.75">
      <c r="A613" s="114"/>
      <c r="B613" s="114"/>
      <c r="C613" s="7"/>
      <c r="D613" s="114"/>
      <c r="E613" s="128"/>
      <c r="F613" s="128"/>
      <c r="G613" s="128"/>
      <c r="H613" s="114"/>
      <c r="I613" s="88"/>
      <c r="J613" s="114"/>
      <c r="K613" s="114"/>
      <c r="L613" s="114"/>
      <c r="M613" s="114"/>
      <c r="N613" s="118"/>
      <c r="O613" s="118"/>
      <c r="P613" s="118"/>
    </row>
    <row r="614" spans="1:16" ht="12.75">
      <c r="A614" s="114"/>
      <c r="B614" s="114"/>
      <c r="C614" s="7"/>
      <c r="D614" s="114"/>
      <c r="E614" s="128"/>
      <c r="F614" s="128"/>
      <c r="G614" s="128"/>
      <c r="H614" s="114"/>
      <c r="I614" s="88"/>
      <c r="J614" s="114"/>
      <c r="K614" s="114"/>
      <c r="L614" s="114"/>
      <c r="M614" s="114"/>
      <c r="N614" s="118"/>
      <c r="O614" s="118"/>
      <c r="P614" s="118"/>
    </row>
    <row r="615" spans="1:16" ht="12.75">
      <c r="A615" s="114"/>
      <c r="B615" s="114"/>
      <c r="C615" s="7"/>
      <c r="D615" s="114"/>
      <c r="E615" s="128"/>
      <c r="F615" s="128"/>
      <c r="G615" s="128"/>
      <c r="H615" s="114"/>
      <c r="I615" s="88"/>
      <c r="J615" s="114"/>
      <c r="K615" s="114"/>
      <c r="L615" s="114"/>
      <c r="M615" s="114"/>
      <c r="N615" s="118"/>
      <c r="O615" s="118"/>
      <c r="P615" s="118"/>
    </row>
    <row r="616" spans="1:16" ht="12.75">
      <c r="A616" s="114"/>
      <c r="B616" s="114"/>
      <c r="C616" s="7"/>
      <c r="D616" s="114"/>
      <c r="E616" s="128"/>
      <c r="F616" s="128"/>
      <c r="G616" s="128"/>
      <c r="H616" s="114"/>
      <c r="I616" s="88"/>
      <c r="J616" s="114"/>
      <c r="K616" s="114"/>
      <c r="L616" s="114"/>
      <c r="M616" s="114"/>
      <c r="N616" s="118"/>
      <c r="O616" s="118"/>
      <c r="P616" s="118"/>
    </row>
    <row r="617" spans="1:16" ht="12.75">
      <c r="A617" s="114"/>
      <c r="B617" s="114"/>
      <c r="C617" s="7"/>
      <c r="D617" s="114"/>
      <c r="E617" s="128"/>
      <c r="F617" s="128"/>
      <c r="G617" s="128"/>
      <c r="H617" s="114"/>
      <c r="I617" s="88"/>
      <c r="J617" s="114"/>
      <c r="K617" s="114"/>
      <c r="L617" s="114"/>
      <c r="M617" s="114"/>
      <c r="N617" s="118"/>
      <c r="O617" s="118"/>
      <c r="P617" s="118"/>
    </row>
    <row r="618" spans="1:16" ht="12.75">
      <c r="A618" s="114"/>
      <c r="B618" s="114"/>
      <c r="C618" s="7"/>
      <c r="D618" s="114"/>
      <c r="E618" s="128"/>
      <c r="F618" s="128"/>
      <c r="G618" s="128"/>
      <c r="H618" s="114"/>
      <c r="I618" s="88"/>
      <c r="J618" s="114"/>
      <c r="K618" s="114"/>
      <c r="L618" s="114"/>
      <c r="M618" s="114"/>
      <c r="N618" s="118"/>
      <c r="O618" s="118"/>
      <c r="P618" s="118"/>
    </row>
    <row r="619" spans="1:16" ht="12.75">
      <c r="A619" s="114"/>
      <c r="B619" s="114"/>
      <c r="C619" s="7"/>
      <c r="D619" s="114"/>
      <c r="E619" s="128"/>
      <c r="F619" s="128"/>
      <c r="G619" s="128"/>
      <c r="H619" s="114"/>
      <c r="I619" s="88"/>
      <c r="J619" s="114"/>
      <c r="K619" s="114"/>
      <c r="L619" s="114"/>
      <c r="M619" s="114"/>
      <c r="N619" s="118"/>
      <c r="O619" s="118"/>
      <c r="P619" s="118"/>
    </row>
    <row r="620" spans="1:16" ht="12.75">
      <c r="A620" s="114"/>
      <c r="B620" s="114"/>
      <c r="C620" s="7"/>
      <c r="D620" s="114"/>
      <c r="E620" s="128"/>
      <c r="F620" s="128"/>
      <c r="G620" s="128"/>
      <c r="H620" s="114"/>
      <c r="I620" s="88"/>
      <c r="J620" s="114"/>
      <c r="K620" s="114"/>
      <c r="L620" s="114"/>
      <c r="M620" s="114"/>
      <c r="N620" s="118"/>
      <c r="O620" s="118"/>
      <c r="P620" s="118"/>
    </row>
    <row r="621" spans="1:16" ht="12.75">
      <c r="A621" s="114"/>
      <c r="B621" s="114"/>
      <c r="C621" s="7"/>
      <c r="D621" s="114"/>
      <c r="E621" s="128"/>
      <c r="F621" s="128"/>
      <c r="G621" s="128"/>
      <c r="H621" s="114"/>
      <c r="I621" s="88"/>
      <c r="J621" s="114"/>
      <c r="K621" s="114"/>
      <c r="L621" s="114"/>
      <c r="M621" s="114"/>
      <c r="N621" s="118"/>
      <c r="O621" s="118"/>
      <c r="P621" s="118"/>
    </row>
    <row r="622" spans="1:16" ht="12.75">
      <c r="A622" s="114"/>
      <c r="B622" s="114"/>
      <c r="C622" s="7"/>
      <c r="D622" s="114"/>
      <c r="E622" s="128"/>
      <c r="F622" s="128"/>
      <c r="G622" s="128"/>
      <c r="H622" s="114"/>
      <c r="I622" s="88"/>
      <c r="J622" s="114"/>
      <c r="K622" s="114"/>
      <c r="L622" s="114"/>
      <c r="M622" s="114"/>
      <c r="N622" s="118"/>
      <c r="O622" s="118"/>
      <c r="P622" s="118"/>
    </row>
    <row r="623" spans="1:16" ht="12.75">
      <c r="A623" s="114"/>
      <c r="B623" s="114"/>
      <c r="C623" s="7"/>
      <c r="D623" s="114"/>
      <c r="E623" s="128"/>
      <c r="F623" s="128"/>
      <c r="G623" s="128"/>
      <c r="H623" s="114"/>
      <c r="I623" s="88"/>
      <c r="J623" s="114"/>
      <c r="K623" s="114"/>
      <c r="L623" s="114"/>
      <c r="M623" s="114"/>
      <c r="N623" s="118"/>
      <c r="O623" s="118"/>
      <c r="P623" s="118"/>
    </row>
    <row r="624" spans="1:16" ht="12.75">
      <c r="A624" s="114"/>
      <c r="B624" s="114"/>
      <c r="C624" s="7"/>
      <c r="D624" s="114"/>
      <c r="E624" s="128"/>
      <c r="F624" s="128"/>
      <c r="G624" s="128"/>
      <c r="H624" s="114"/>
      <c r="I624" s="88"/>
      <c r="J624" s="114"/>
      <c r="K624" s="114"/>
      <c r="L624" s="114"/>
      <c r="M624" s="114"/>
      <c r="N624" s="118"/>
      <c r="O624" s="118"/>
      <c r="P624" s="118"/>
    </row>
    <row r="625" spans="1:16" ht="12.75">
      <c r="A625" s="114"/>
      <c r="B625" s="114"/>
      <c r="C625" s="7"/>
      <c r="D625" s="114"/>
      <c r="E625" s="128"/>
      <c r="F625" s="128"/>
      <c r="G625" s="128"/>
      <c r="H625" s="114"/>
      <c r="I625" s="88"/>
      <c r="J625" s="114"/>
      <c r="K625" s="114"/>
      <c r="L625" s="114"/>
      <c r="M625" s="114"/>
      <c r="N625" s="118"/>
      <c r="O625" s="118"/>
      <c r="P625" s="118"/>
    </row>
    <row r="626" spans="1:16" ht="12.75">
      <c r="A626" s="114"/>
      <c r="B626" s="114"/>
      <c r="C626" s="7"/>
      <c r="D626" s="114"/>
      <c r="E626" s="128"/>
      <c r="F626" s="128"/>
      <c r="G626" s="128"/>
      <c r="H626" s="114"/>
      <c r="I626" s="88"/>
      <c r="J626" s="114"/>
      <c r="K626" s="114"/>
      <c r="L626" s="114"/>
      <c r="M626" s="114"/>
      <c r="N626" s="118"/>
      <c r="O626" s="118"/>
      <c r="P626" s="118"/>
    </row>
    <row r="627" spans="1:16" ht="12.75">
      <c r="A627" s="114"/>
      <c r="B627" s="114"/>
      <c r="C627" s="7"/>
      <c r="D627" s="114"/>
      <c r="E627" s="128"/>
      <c r="F627" s="128"/>
      <c r="G627" s="128"/>
      <c r="H627" s="114"/>
      <c r="I627" s="88"/>
      <c r="J627" s="114"/>
      <c r="K627" s="114"/>
      <c r="L627" s="114"/>
      <c r="M627" s="114"/>
      <c r="N627" s="118"/>
      <c r="O627" s="118"/>
      <c r="P627" s="118"/>
    </row>
    <row r="628" spans="1:16" ht="12.75">
      <c r="A628" s="114"/>
      <c r="B628" s="114"/>
      <c r="C628" s="7"/>
      <c r="D628" s="114"/>
      <c r="E628" s="128"/>
      <c r="F628" s="128"/>
      <c r="G628" s="128"/>
      <c r="H628" s="114"/>
      <c r="I628" s="88"/>
      <c r="J628" s="114"/>
      <c r="K628" s="114"/>
      <c r="L628" s="114"/>
      <c r="M628" s="114"/>
      <c r="N628" s="118"/>
      <c r="O628" s="118"/>
      <c r="P628" s="118"/>
    </row>
    <row r="629" spans="1:16" ht="12.75">
      <c r="A629" s="114"/>
      <c r="B629" s="114"/>
      <c r="C629" s="7"/>
      <c r="D629" s="114"/>
      <c r="E629" s="128"/>
      <c r="F629" s="128"/>
      <c r="G629" s="128"/>
      <c r="H629" s="114"/>
      <c r="I629" s="88"/>
      <c r="J629" s="114"/>
      <c r="K629" s="114"/>
      <c r="L629" s="114"/>
      <c r="M629" s="114"/>
      <c r="N629" s="118"/>
      <c r="O629" s="118"/>
      <c r="P629" s="118"/>
    </row>
    <row r="630" spans="1:16" ht="12.75">
      <c r="A630" s="114"/>
      <c r="B630" s="114"/>
      <c r="C630" s="7"/>
      <c r="D630" s="114"/>
      <c r="E630" s="128"/>
      <c r="F630" s="128"/>
      <c r="G630" s="128"/>
      <c r="H630" s="114"/>
      <c r="I630" s="88"/>
      <c r="J630" s="114"/>
      <c r="K630" s="114"/>
      <c r="L630" s="114"/>
      <c r="M630" s="114"/>
      <c r="N630" s="118"/>
      <c r="O630" s="118"/>
      <c r="P630" s="118"/>
    </row>
    <row r="631" spans="1:16" ht="12.75">
      <c r="A631" s="114"/>
      <c r="B631" s="114"/>
      <c r="C631" s="7"/>
      <c r="D631" s="114"/>
      <c r="E631" s="128"/>
      <c r="F631" s="128"/>
      <c r="G631" s="128"/>
      <c r="H631" s="114"/>
      <c r="I631" s="88"/>
      <c r="J631" s="114"/>
      <c r="K631" s="114"/>
      <c r="L631" s="114"/>
      <c r="M631" s="114"/>
      <c r="N631" s="118"/>
      <c r="O631" s="118"/>
      <c r="P631" s="118"/>
    </row>
    <row r="632" spans="1:16" ht="12.75">
      <c r="A632" s="114"/>
      <c r="B632" s="114"/>
      <c r="C632" s="7"/>
      <c r="D632" s="114"/>
      <c r="E632" s="128"/>
      <c r="F632" s="128"/>
      <c r="G632" s="128"/>
      <c r="H632" s="114"/>
      <c r="I632" s="88"/>
      <c r="J632" s="114"/>
      <c r="K632" s="114"/>
      <c r="L632" s="114"/>
      <c r="M632" s="114"/>
      <c r="N632" s="118"/>
      <c r="O632" s="118"/>
      <c r="P632" s="118"/>
    </row>
    <row r="633" spans="1:16" ht="12.75">
      <c r="A633" s="114"/>
      <c r="B633" s="114"/>
      <c r="C633" s="7"/>
      <c r="D633" s="114"/>
      <c r="E633" s="128"/>
      <c r="F633" s="128"/>
      <c r="G633" s="128"/>
      <c r="H633" s="114"/>
      <c r="I633" s="88"/>
      <c r="J633" s="114"/>
      <c r="K633" s="114"/>
      <c r="L633" s="114"/>
      <c r="M633" s="114"/>
      <c r="N633" s="118"/>
      <c r="O633" s="118"/>
      <c r="P633" s="118"/>
    </row>
    <row r="634" spans="1:16" ht="12.75">
      <c r="A634" s="114"/>
      <c r="B634" s="114"/>
      <c r="C634" s="7"/>
      <c r="D634" s="114"/>
      <c r="E634" s="128"/>
      <c r="F634" s="128"/>
      <c r="G634" s="128"/>
      <c r="H634" s="114"/>
      <c r="I634" s="88"/>
      <c r="J634" s="114"/>
      <c r="K634" s="114"/>
      <c r="L634" s="114"/>
      <c r="M634" s="114"/>
      <c r="N634" s="118"/>
      <c r="O634" s="118"/>
      <c r="P634" s="118"/>
    </row>
    <row r="635" spans="1:16" ht="12.75">
      <c r="A635" s="114"/>
      <c r="B635" s="114"/>
      <c r="C635" s="7"/>
      <c r="D635" s="114"/>
      <c r="E635" s="128"/>
      <c r="F635" s="128"/>
      <c r="G635" s="128"/>
      <c r="H635" s="114"/>
      <c r="I635" s="88"/>
      <c r="J635" s="114"/>
      <c r="K635" s="114"/>
      <c r="L635" s="114"/>
      <c r="M635" s="114"/>
      <c r="N635" s="118"/>
      <c r="O635" s="118"/>
      <c r="P635" s="118"/>
    </row>
    <row r="636" spans="1:16" ht="12.75">
      <c r="A636" s="114"/>
      <c r="B636" s="114"/>
      <c r="C636" s="7"/>
      <c r="D636" s="114"/>
      <c r="E636" s="128"/>
      <c r="F636" s="128"/>
      <c r="G636" s="128"/>
      <c r="H636" s="114"/>
      <c r="I636" s="88"/>
      <c r="J636" s="114"/>
      <c r="K636" s="114"/>
      <c r="L636" s="114"/>
      <c r="M636" s="114"/>
      <c r="N636" s="118"/>
      <c r="O636" s="118"/>
      <c r="P636" s="118"/>
    </row>
    <row r="637" spans="1:16" ht="12.75">
      <c r="A637" s="114"/>
      <c r="B637" s="114"/>
      <c r="C637" s="7"/>
      <c r="D637" s="114"/>
      <c r="E637" s="128"/>
      <c r="F637" s="128"/>
      <c r="G637" s="128"/>
      <c r="H637" s="114"/>
      <c r="I637" s="88"/>
      <c r="J637" s="114"/>
      <c r="K637" s="114"/>
      <c r="L637" s="114"/>
      <c r="M637" s="114"/>
      <c r="N637" s="118"/>
      <c r="O637" s="118"/>
      <c r="P637" s="118"/>
    </row>
    <row r="638" spans="1:16" ht="12.75">
      <c r="A638" s="114"/>
      <c r="B638" s="114"/>
      <c r="C638" s="7"/>
      <c r="D638" s="114"/>
      <c r="E638" s="128"/>
      <c r="F638" s="128"/>
      <c r="G638" s="128"/>
      <c r="H638" s="114"/>
      <c r="I638" s="88"/>
      <c r="J638" s="114"/>
      <c r="K638" s="114"/>
      <c r="L638" s="114"/>
      <c r="M638" s="114"/>
      <c r="N638" s="118"/>
      <c r="O638" s="118"/>
      <c r="P638" s="118"/>
    </row>
    <row r="639" spans="1:16" ht="12.75">
      <c r="A639" s="114"/>
      <c r="B639" s="114"/>
      <c r="C639" s="7"/>
      <c r="D639" s="114"/>
      <c r="E639" s="128"/>
      <c r="F639" s="128"/>
      <c r="G639" s="128"/>
      <c r="H639" s="114"/>
      <c r="I639" s="88"/>
      <c r="J639" s="114"/>
      <c r="K639" s="114"/>
      <c r="L639" s="114"/>
      <c r="M639" s="114"/>
      <c r="N639" s="118"/>
      <c r="O639" s="118"/>
      <c r="P639" s="118"/>
    </row>
    <row r="640" spans="1:16" ht="12.75">
      <c r="A640" s="114"/>
      <c r="B640" s="114"/>
      <c r="C640" s="7"/>
      <c r="D640" s="114"/>
      <c r="E640" s="128"/>
      <c r="F640" s="128"/>
      <c r="G640" s="128"/>
      <c r="H640" s="114"/>
      <c r="I640" s="88"/>
      <c r="J640" s="114"/>
      <c r="K640" s="114"/>
      <c r="L640" s="114"/>
      <c r="M640" s="114"/>
      <c r="N640" s="118"/>
      <c r="O640" s="118"/>
      <c r="P640" s="118"/>
    </row>
    <row r="641" spans="1:16" ht="12.75">
      <c r="A641" s="114"/>
      <c r="B641" s="114"/>
      <c r="C641" s="7"/>
      <c r="D641" s="114"/>
      <c r="E641" s="128"/>
      <c r="F641" s="128"/>
      <c r="G641" s="128"/>
      <c r="H641" s="114"/>
      <c r="I641" s="88"/>
      <c r="J641" s="114"/>
      <c r="K641" s="114"/>
      <c r="L641" s="114"/>
      <c r="M641" s="114"/>
      <c r="N641" s="118"/>
      <c r="O641" s="118"/>
      <c r="P641" s="118"/>
    </row>
    <row r="642" spans="1:16" ht="12.75">
      <c r="A642" s="114"/>
      <c r="B642" s="114"/>
      <c r="C642" s="7"/>
      <c r="D642" s="114"/>
      <c r="E642" s="128"/>
      <c r="F642" s="128"/>
      <c r="G642" s="128"/>
      <c r="H642" s="114"/>
      <c r="I642" s="88"/>
      <c r="J642" s="114"/>
      <c r="K642" s="114"/>
      <c r="L642" s="114"/>
      <c r="M642" s="114"/>
      <c r="N642" s="118"/>
      <c r="O642" s="118"/>
      <c r="P642" s="118"/>
    </row>
    <row r="643" spans="1:16" ht="12.75">
      <c r="A643" s="114"/>
      <c r="B643" s="114"/>
      <c r="C643" s="7"/>
      <c r="D643" s="114"/>
      <c r="E643" s="128"/>
      <c r="F643" s="128"/>
      <c r="G643" s="128"/>
      <c r="H643" s="114"/>
      <c r="I643" s="88"/>
      <c r="J643" s="114"/>
      <c r="K643" s="114"/>
      <c r="L643" s="114"/>
      <c r="M643" s="114"/>
      <c r="N643" s="118"/>
      <c r="O643" s="118"/>
      <c r="P643" s="118"/>
    </row>
    <row r="644" spans="1:16" ht="12.75">
      <c r="A644" s="114"/>
      <c r="B644" s="114"/>
      <c r="C644" s="7"/>
      <c r="D644" s="114"/>
      <c r="E644" s="128"/>
      <c r="F644" s="128"/>
      <c r="G644" s="128"/>
      <c r="H644" s="114"/>
      <c r="I644" s="88"/>
      <c r="J644" s="114"/>
      <c r="K644" s="114"/>
      <c r="L644" s="114"/>
      <c r="M644" s="114"/>
      <c r="N644" s="118"/>
      <c r="O644" s="118"/>
      <c r="P644" s="118"/>
    </row>
    <row r="645" spans="1:16" ht="12.75">
      <c r="A645" s="114"/>
      <c r="B645" s="114"/>
      <c r="C645" s="7"/>
      <c r="D645" s="114"/>
      <c r="E645" s="128"/>
      <c r="F645" s="128"/>
      <c r="G645" s="128"/>
      <c r="H645" s="114"/>
      <c r="I645" s="88"/>
      <c r="J645" s="114"/>
      <c r="K645" s="114"/>
      <c r="L645" s="114"/>
      <c r="M645" s="114"/>
      <c r="N645" s="118"/>
      <c r="O645" s="118"/>
      <c r="P645" s="118"/>
    </row>
    <row r="646" spans="1:16" ht="12.75">
      <c r="A646" s="114"/>
      <c r="B646" s="114"/>
      <c r="C646" s="7"/>
      <c r="D646" s="114"/>
      <c r="E646" s="128"/>
      <c r="F646" s="128"/>
      <c r="G646" s="128"/>
      <c r="H646" s="114"/>
      <c r="I646" s="88"/>
      <c r="J646" s="114"/>
      <c r="K646" s="114"/>
      <c r="L646" s="114"/>
      <c r="M646" s="114"/>
      <c r="N646" s="118"/>
      <c r="O646" s="118"/>
      <c r="P646" s="118"/>
    </row>
    <row r="647" spans="1:16" ht="12.75">
      <c r="A647" s="114"/>
      <c r="B647" s="114"/>
      <c r="C647" s="7"/>
      <c r="D647" s="114"/>
      <c r="E647" s="128"/>
      <c r="F647" s="128"/>
      <c r="G647" s="128"/>
      <c r="H647" s="114"/>
      <c r="I647" s="88"/>
      <c r="J647" s="114"/>
      <c r="K647" s="114"/>
      <c r="L647" s="114"/>
      <c r="M647" s="114"/>
      <c r="N647" s="118"/>
      <c r="O647" s="118"/>
      <c r="P647" s="118"/>
    </row>
    <row r="648" spans="1:16" ht="12.75">
      <c r="A648" s="114"/>
      <c r="B648" s="114"/>
      <c r="C648" s="7"/>
      <c r="D648" s="114"/>
      <c r="E648" s="128"/>
      <c r="F648" s="128"/>
      <c r="G648" s="128"/>
      <c r="H648" s="114"/>
      <c r="I648" s="88"/>
      <c r="J648" s="114"/>
      <c r="K648" s="114"/>
      <c r="L648" s="114"/>
      <c r="M648" s="114"/>
      <c r="N648" s="118"/>
      <c r="O648" s="118"/>
      <c r="P648" s="118"/>
    </row>
    <row r="649" spans="1:16" ht="12.75">
      <c r="A649" s="114"/>
      <c r="B649" s="114"/>
      <c r="C649" s="7"/>
      <c r="D649" s="114"/>
      <c r="E649" s="128"/>
      <c r="F649" s="128"/>
      <c r="G649" s="128"/>
      <c r="H649" s="114"/>
      <c r="I649" s="88"/>
      <c r="J649" s="114"/>
      <c r="K649" s="114"/>
      <c r="L649" s="114"/>
      <c r="M649" s="114"/>
      <c r="N649" s="118"/>
      <c r="O649" s="118"/>
      <c r="P649" s="118"/>
    </row>
    <row r="650" spans="1:16" ht="12.75">
      <c r="A650" s="114"/>
      <c r="B650" s="114"/>
      <c r="C650" s="7"/>
      <c r="D650" s="114"/>
      <c r="E650" s="128"/>
      <c r="F650" s="128"/>
      <c r="G650" s="128"/>
      <c r="H650" s="114"/>
      <c r="I650" s="88"/>
      <c r="J650" s="114"/>
      <c r="K650" s="114"/>
      <c r="L650" s="114"/>
      <c r="M650" s="114"/>
      <c r="N650" s="118"/>
      <c r="O650" s="118"/>
      <c r="P650" s="118"/>
    </row>
    <row r="651" spans="1:16" ht="12.75">
      <c r="A651" s="114"/>
      <c r="B651" s="114"/>
      <c r="C651" s="7"/>
      <c r="D651" s="114"/>
      <c r="E651" s="128"/>
      <c r="F651" s="128"/>
      <c r="G651" s="128"/>
      <c r="H651" s="114"/>
      <c r="I651" s="88"/>
      <c r="J651" s="114"/>
      <c r="K651" s="114"/>
      <c r="L651" s="114"/>
      <c r="M651" s="114"/>
      <c r="N651" s="118"/>
      <c r="O651" s="118"/>
      <c r="P651" s="118"/>
    </row>
    <row r="652" spans="1:16" ht="12.75">
      <c r="A652" s="114"/>
      <c r="B652" s="114"/>
      <c r="C652" s="7"/>
      <c r="D652" s="114"/>
      <c r="E652" s="128"/>
      <c r="F652" s="128"/>
      <c r="G652" s="128"/>
      <c r="H652" s="114"/>
      <c r="I652" s="88"/>
      <c r="J652" s="114"/>
      <c r="K652" s="114"/>
      <c r="L652" s="114"/>
      <c r="M652" s="114"/>
      <c r="N652" s="118"/>
      <c r="O652" s="118"/>
      <c r="P652" s="118"/>
    </row>
    <row r="653" spans="1:16" ht="12.75">
      <c r="A653" s="114"/>
      <c r="B653" s="114"/>
      <c r="C653" s="7"/>
      <c r="D653" s="114"/>
      <c r="E653" s="128"/>
      <c r="F653" s="128"/>
      <c r="G653" s="128"/>
      <c r="H653" s="114"/>
      <c r="I653" s="88"/>
      <c r="J653" s="114"/>
      <c r="K653" s="114"/>
      <c r="L653" s="114"/>
      <c r="M653" s="114"/>
      <c r="N653" s="118"/>
      <c r="O653" s="118"/>
      <c r="P653" s="118"/>
    </row>
    <row r="654" spans="1:16" ht="12.75">
      <c r="A654" s="114"/>
      <c r="B654" s="114"/>
      <c r="C654" s="7"/>
      <c r="D654" s="114"/>
      <c r="E654" s="128"/>
      <c r="F654" s="128"/>
      <c r="G654" s="128"/>
      <c r="H654" s="114"/>
      <c r="I654" s="88"/>
      <c r="J654" s="114"/>
      <c r="K654" s="114"/>
      <c r="L654" s="114"/>
      <c r="M654" s="114"/>
      <c r="N654" s="118"/>
      <c r="O654" s="118"/>
      <c r="P654" s="118"/>
    </row>
    <row r="655" spans="1:16" ht="12.75">
      <c r="A655" s="114"/>
      <c r="B655" s="114"/>
      <c r="C655" s="7"/>
      <c r="D655" s="114"/>
      <c r="E655" s="128"/>
      <c r="F655" s="128"/>
      <c r="G655" s="128"/>
      <c r="H655" s="114"/>
      <c r="I655" s="88"/>
      <c r="J655" s="114"/>
      <c r="K655" s="114"/>
      <c r="L655" s="114"/>
      <c r="M655" s="114"/>
      <c r="N655" s="118"/>
      <c r="O655" s="118"/>
      <c r="P655" s="118"/>
    </row>
    <row r="656" spans="1:16" ht="12.75">
      <c r="A656" s="114"/>
      <c r="B656" s="114"/>
      <c r="C656" s="7"/>
      <c r="D656" s="114"/>
      <c r="E656" s="128"/>
      <c r="F656" s="128"/>
      <c r="G656" s="128"/>
      <c r="H656" s="114"/>
      <c r="I656" s="88"/>
      <c r="J656" s="114"/>
      <c r="K656" s="114"/>
      <c r="L656" s="114"/>
      <c r="M656" s="114"/>
      <c r="N656" s="118"/>
      <c r="O656" s="118"/>
      <c r="P656" s="118"/>
    </row>
    <row r="657" spans="1:16" ht="12.75">
      <c r="A657" s="114"/>
      <c r="B657" s="114"/>
      <c r="C657" s="7"/>
      <c r="D657" s="114"/>
      <c r="E657" s="128"/>
      <c r="F657" s="128"/>
      <c r="G657" s="128"/>
      <c r="H657" s="114"/>
      <c r="I657" s="88"/>
      <c r="J657" s="114"/>
      <c r="K657" s="114"/>
      <c r="L657" s="114"/>
      <c r="M657" s="114"/>
      <c r="N657" s="118"/>
      <c r="O657" s="118"/>
      <c r="P657" s="118"/>
    </row>
    <row r="658" spans="1:16" ht="12.75">
      <c r="A658" s="114"/>
      <c r="B658" s="114"/>
      <c r="C658" s="7"/>
      <c r="D658" s="114"/>
      <c r="E658" s="128"/>
      <c r="F658" s="128"/>
      <c r="G658" s="128"/>
      <c r="H658" s="114"/>
      <c r="I658" s="88"/>
      <c r="J658" s="114"/>
      <c r="K658" s="114"/>
      <c r="L658" s="114"/>
      <c r="M658" s="114"/>
      <c r="N658" s="118"/>
      <c r="O658" s="118"/>
      <c r="P658" s="118"/>
    </row>
    <row r="659" spans="1:16" ht="12.75">
      <c r="A659" s="114"/>
      <c r="B659" s="114"/>
      <c r="C659" s="7"/>
      <c r="D659" s="114"/>
      <c r="E659" s="128"/>
      <c r="F659" s="128"/>
      <c r="G659" s="128"/>
      <c r="H659" s="114"/>
      <c r="I659" s="88"/>
      <c r="J659" s="114"/>
      <c r="K659" s="114"/>
      <c r="L659" s="114"/>
      <c r="M659" s="114"/>
      <c r="N659" s="118"/>
      <c r="O659" s="118"/>
      <c r="P659" s="118"/>
    </row>
    <row r="660" spans="1:16" ht="12.75">
      <c r="A660" s="114"/>
      <c r="B660" s="114"/>
      <c r="C660" s="7"/>
      <c r="D660" s="114"/>
      <c r="E660" s="128"/>
      <c r="F660" s="128"/>
      <c r="G660" s="128"/>
      <c r="H660" s="114"/>
      <c r="I660" s="88"/>
      <c r="J660" s="114"/>
      <c r="K660" s="114"/>
      <c r="L660" s="114"/>
      <c r="M660" s="114"/>
      <c r="N660" s="118"/>
      <c r="O660" s="118"/>
      <c r="P660" s="118"/>
    </row>
    <row r="661" spans="1:16" ht="12.75">
      <c r="A661" s="114"/>
      <c r="B661" s="114"/>
      <c r="C661" s="7"/>
      <c r="D661" s="114"/>
      <c r="E661" s="128"/>
      <c r="F661" s="128"/>
      <c r="G661" s="128"/>
      <c r="H661" s="114"/>
      <c r="I661" s="88"/>
      <c r="J661" s="114"/>
      <c r="K661" s="114"/>
      <c r="L661" s="114"/>
      <c r="M661" s="114"/>
      <c r="N661" s="118"/>
      <c r="O661" s="118"/>
      <c r="P661" s="118"/>
    </row>
    <row r="662" spans="1:16" ht="12.75">
      <c r="A662" s="114"/>
      <c r="B662" s="114"/>
      <c r="C662" s="7"/>
      <c r="D662" s="114"/>
      <c r="E662" s="128"/>
      <c r="F662" s="128"/>
      <c r="G662" s="128"/>
      <c r="H662" s="114"/>
      <c r="I662" s="88"/>
      <c r="J662" s="114"/>
      <c r="K662" s="114"/>
      <c r="L662" s="114"/>
      <c r="M662" s="114"/>
      <c r="N662" s="118"/>
      <c r="O662" s="118"/>
      <c r="P662" s="118"/>
    </row>
    <row r="663" spans="1:16" ht="12.75">
      <c r="A663" s="114"/>
      <c r="B663" s="114"/>
      <c r="C663" s="7"/>
      <c r="D663" s="114"/>
      <c r="E663" s="128"/>
      <c r="F663" s="128"/>
      <c r="G663" s="128"/>
      <c r="H663" s="114"/>
      <c r="I663" s="88"/>
      <c r="J663" s="114"/>
      <c r="K663" s="114"/>
      <c r="L663" s="114"/>
      <c r="M663" s="114"/>
      <c r="N663" s="118"/>
      <c r="O663" s="118"/>
      <c r="P663" s="118"/>
    </row>
    <row r="664" spans="1:16" ht="12.75">
      <c r="A664" s="114"/>
      <c r="B664" s="114"/>
      <c r="C664" s="7"/>
      <c r="D664" s="114"/>
      <c r="E664" s="128"/>
      <c r="F664" s="128"/>
      <c r="G664" s="128"/>
      <c r="H664" s="114"/>
      <c r="I664" s="88"/>
      <c r="J664" s="114"/>
      <c r="K664" s="114"/>
      <c r="L664" s="114"/>
      <c r="M664" s="114"/>
      <c r="N664" s="118"/>
      <c r="O664" s="118"/>
      <c r="P664" s="118"/>
    </row>
    <row r="665" spans="1:16" ht="12.75">
      <c r="A665" s="114"/>
      <c r="B665" s="114"/>
      <c r="C665" s="7"/>
      <c r="D665" s="114"/>
      <c r="E665" s="128"/>
      <c r="F665" s="128"/>
      <c r="G665" s="128"/>
      <c r="H665" s="114"/>
      <c r="I665" s="88"/>
      <c r="J665" s="114"/>
      <c r="K665" s="114"/>
      <c r="L665" s="114"/>
      <c r="M665" s="114"/>
      <c r="N665" s="118"/>
      <c r="O665" s="118"/>
      <c r="P665" s="118"/>
    </row>
    <row r="666" spans="1:16" ht="12.75">
      <c r="A666" s="114"/>
      <c r="B666" s="114"/>
      <c r="C666" s="7"/>
      <c r="D666" s="114"/>
      <c r="E666" s="128"/>
      <c r="F666" s="128"/>
      <c r="G666" s="128"/>
      <c r="H666" s="114"/>
      <c r="I666" s="88"/>
      <c r="J666" s="114"/>
      <c r="K666" s="114"/>
      <c r="L666" s="114"/>
      <c r="M666" s="114"/>
      <c r="N666" s="118"/>
      <c r="O666" s="118"/>
      <c r="P666" s="118"/>
    </row>
    <row r="667" spans="1:16" ht="12.75">
      <c r="A667" s="114"/>
      <c r="B667" s="114"/>
      <c r="C667" s="7"/>
      <c r="D667" s="114"/>
      <c r="E667" s="128"/>
      <c r="F667" s="128"/>
      <c r="G667" s="128"/>
      <c r="H667" s="114"/>
      <c r="I667" s="88"/>
      <c r="J667" s="114"/>
      <c r="K667" s="114"/>
      <c r="L667" s="114"/>
      <c r="M667" s="114"/>
      <c r="N667" s="118"/>
      <c r="O667" s="118"/>
      <c r="P667" s="118"/>
    </row>
    <row r="668" spans="1:16" ht="12.75">
      <c r="A668" s="114"/>
      <c r="B668" s="114"/>
      <c r="C668" s="7"/>
      <c r="D668" s="114"/>
      <c r="E668" s="128"/>
      <c r="F668" s="128"/>
      <c r="G668" s="128"/>
      <c r="H668" s="114"/>
      <c r="I668" s="88"/>
      <c r="J668" s="114"/>
      <c r="K668" s="114"/>
      <c r="L668" s="114"/>
      <c r="M668" s="114"/>
      <c r="N668" s="118"/>
      <c r="O668" s="118"/>
      <c r="P668" s="118"/>
    </row>
    <row r="669" spans="1:16" ht="12.75">
      <c r="A669" s="114"/>
      <c r="B669" s="114"/>
      <c r="C669" s="7"/>
      <c r="D669" s="114"/>
      <c r="E669" s="128"/>
      <c r="F669" s="128"/>
      <c r="G669" s="128"/>
      <c r="H669" s="114"/>
      <c r="I669" s="88"/>
      <c r="J669" s="114"/>
      <c r="K669" s="114"/>
      <c r="L669" s="114"/>
      <c r="M669" s="114"/>
      <c r="N669" s="118"/>
      <c r="O669" s="118"/>
      <c r="P669" s="118"/>
    </row>
    <row r="670" spans="1:16" ht="12.75">
      <c r="A670" s="114"/>
      <c r="B670" s="114"/>
      <c r="C670" s="7"/>
      <c r="D670" s="114"/>
      <c r="E670" s="128"/>
      <c r="F670" s="128"/>
      <c r="G670" s="128"/>
      <c r="H670" s="114"/>
      <c r="I670" s="88"/>
      <c r="J670" s="114"/>
      <c r="K670" s="114"/>
      <c r="L670" s="114"/>
      <c r="M670" s="114"/>
      <c r="N670" s="118"/>
      <c r="O670" s="118"/>
      <c r="P670" s="118"/>
    </row>
    <row r="671" spans="1:16" ht="12.75">
      <c r="A671" s="114"/>
      <c r="B671" s="114"/>
      <c r="C671" s="7"/>
      <c r="D671" s="114"/>
      <c r="E671" s="128"/>
      <c r="F671" s="128"/>
      <c r="G671" s="128"/>
      <c r="H671" s="114"/>
      <c r="I671" s="88"/>
      <c r="J671" s="114"/>
      <c r="K671" s="114"/>
      <c r="L671" s="114"/>
      <c r="M671" s="114"/>
      <c r="N671" s="118"/>
      <c r="O671" s="118"/>
      <c r="P671" s="118"/>
    </row>
    <row r="672" spans="1:16" ht="12.75">
      <c r="A672" s="114"/>
      <c r="B672" s="114"/>
      <c r="C672" s="7"/>
      <c r="D672" s="114"/>
      <c r="E672" s="128"/>
      <c r="F672" s="128"/>
      <c r="G672" s="128"/>
      <c r="H672" s="114"/>
      <c r="I672" s="88"/>
      <c r="J672" s="114"/>
      <c r="K672" s="114"/>
      <c r="L672" s="114"/>
      <c r="M672" s="114"/>
      <c r="N672" s="118"/>
      <c r="O672" s="118"/>
      <c r="P672" s="118"/>
    </row>
    <row r="673" spans="1:16" ht="12.75">
      <c r="A673" s="114"/>
      <c r="B673" s="114"/>
      <c r="C673" s="7"/>
      <c r="D673" s="114"/>
      <c r="E673" s="128"/>
      <c r="F673" s="128"/>
      <c r="G673" s="128"/>
      <c r="H673" s="114"/>
      <c r="I673" s="88"/>
      <c r="J673" s="114"/>
      <c r="K673" s="114"/>
      <c r="L673" s="114"/>
      <c r="M673" s="114"/>
      <c r="N673" s="118"/>
      <c r="O673" s="118"/>
      <c r="P673" s="118"/>
    </row>
    <row r="674" spans="1:16" ht="12.75">
      <c r="A674" s="114"/>
      <c r="B674" s="114"/>
      <c r="C674" s="7"/>
      <c r="D674" s="114"/>
      <c r="E674" s="128"/>
      <c r="F674" s="128"/>
      <c r="G674" s="128"/>
      <c r="H674" s="114"/>
      <c r="I674" s="88"/>
      <c r="J674" s="114"/>
      <c r="K674" s="114"/>
      <c r="L674" s="114"/>
      <c r="M674" s="114"/>
      <c r="N674" s="118"/>
      <c r="O674" s="118"/>
      <c r="P674" s="118"/>
    </row>
    <row r="675" spans="1:16" ht="12.75">
      <c r="A675" s="114"/>
      <c r="B675" s="114"/>
      <c r="C675" s="7"/>
      <c r="D675" s="114"/>
      <c r="E675" s="128"/>
      <c r="F675" s="128"/>
      <c r="G675" s="128"/>
      <c r="H675" s="114"/>
      <c r="I675" s="88"/>
      <c r="J675" s="114"/>
      <c r="K675" s="114"/>
      <c r="L675" s="114"/>
      <c r="M675" s="114"/>
      <c r="N675" s="118"/>
      <c r="O675" s="118"/>
      <c r="P675" s="118"/>
    </row>
    <row r="676" spans="1:16" ht="12.75">
      <c r="A676" s="114"/>
      <c r="B676" s="114"/>
      <c r="C676" s="7"/>
      <c r="D676" s="114"/>
      <c r="E676" s="128"/>
      <c r="F676" s="128"/>
      <c r="G676" s="128"/>
      <c r="H676" s="114"/>
      <c r="I676" s="88"/>
      <c r="J676" s="114"/>
      <c r="K676" s="114"/>
      <c r="L676" s="114"/>
      <c r="M676" s="114"/>
      <c r="N676" s="118"/>
      <c r="O676" s="118"/>
      <c r="P676" s="118"/>
    </row>
    <row r="677" spans="1:16" ht="12.75">
      <c r="A677" s="114"/>
      <c r="B677" s="114"/>
      <c r="C677" s="7"/>
      <c r="D677" s="114"/>
      <c r="E677" s="128"/>
      <c r="F677" s="128"/>
      <c r="G677" s="128"/>
      <c r="H677" s="114"/>
      <c r="I677" s="88"/>
      <c r="J677" s="114"/>
      <c r="K677" s="114"/>
      <c r="L677" s="114"/>
      <c r="M677" s="114"/>
      <c r="N677" s="118"/>
      <c r="O677" s="118"/>
      <c r="P677" s="118"/>
    </row>
    <row r="678" spans="1:16" ht="12.75">
      <c r="A678" s="114"/>
      <c r="B678" s="114"/>
      <c r="C678" s="7"/>
      <c r="D678" s="114"/>
      <c r="E678" s="128"/>
      <c r="F678" s="128"/>
      <c r="G678" s="128"/>
      <c r="H678" s="114"/>
      <c r="I678" s="88"/>
      <c r="J678" s="114"/>
      <c r="K678" s="114"/>
      <c r="L678" s="114"/>
      <c r="M678" s="114"/>
      <c r="N678" s="118"/>
      <c r="O678" s="118"/>
      <c r="P678" s="118"/>
    </row>
    <row r="679" spans="1:16" ht="12.75">
      <c r="A679" s="114"/>
      <c r="B679" s="114"/>
      <c r="C679" s="7"/>
      <c r="D679" s="114"/>
      <c r="E679" s="128"/>
      <c r="F679" s="128"/>
      <c r="G679" s="128"/>
      <c r="H679" s="114"/>
      <c r="I679" s="88"/>
      <c r="J679" s="114"/>
      <c r="K679" s="114"/>
      <c r="L679" s="114"/>
      <c r="M679" s="114"/>
      <c r="N679" s="118"/>
      <c r="O679" s="118"/>
      <c r="P679" s="118"/>
    </row>
    <row r="680" spans="1:16" ht="12.75">
      <c r="A680" s="114"/>
      <c r="B680" s="114"/>
      <c r="C680" s="7"/>
      <c r="D680" s="114"/>
      <c r="E680" s="128"/>
      <c r="F680" s="128"/>
      <c r="G680" s="128"/>
      <c r="H680" s="114"/>
      <c r="I680" s="88"/>
      <c r="J680" s="114"/>
      <c r="K680" s="114"/>
      <c r="L680" s="114"/>
      <c r="M680" s="114"/>
      <c r="N680" s="118"/>
      <c r="O680" s="118"/>
      <c r="P680" s="118"/>
    </row>
    <row r="681" spans="1:16" ht="12.75">
      <c r="A681" s="114"/>
      <c r="B681" s="114"/>
      <c r="C681" s="7"/>
      <c r="D681" s="114"/>
      <c r="E681" s="128"/>
      <c r="F681" s="128"/>
      <c r="G681" s="128"/>
      <c r="H681" s="114"/>
      <c r="I681" s="88"/>
      <c r="J681" s="114"/>
      <c r="K681" s="114"/>
      <c r="L681" s="114"/>
      <c r="M681" s="114"/>
      <c r="N681" s="118"/>
      <c r="O681" s="118"/>
      <c r="P681" s="118"/>
    </row>
    <row r="682" spans="1:16" ht="12.75">
      <c r="A682" s="114"/>
      <c r="B682" s="114"/>
      <c r="C682" s="7"/>
      <c r="D682" s="114"/>
      <c r="E682" s="128"/>
      <c r="F682" s="128"/>
      <c r="G682" s="128"/>
      <c r="H682" s="114"/>
      <c r="I682" s="88"/>
      <c r="J682" s="114"/>
      <c r="K682" s="114"/>
      <c r="L682" s="114"/>
      <c r="M682" s="114"/>
      <c r="N682" s="118"/>
      <c r="O682" s="118"/>
      <c r="P682" s="118"/>
    </row>
    <row r="683" spans="1:16" ht="12.75">
      <c r="A683" s="114"/>
      <c r="B683" s="114"/>
      <c r="C683" s="7"/>
      <c r="D683" s="114"/>
      <c r="E683" s="128"/>
      <c r="F683" s="128"/>
      <c r="G683" s="128"/>
      <c r="H683" s="114"/>
      <c r="I683" s="88"/>
      <c r="J683" s="114"/>
      <c r="K683" s="114"/>
      <c r="L683" s="114"/>
      <c r="M683" s="114"/>
      <c r="N683" s="118"/>
      <c r="O683" s="118"/>
      <c r="P683" s="118"/>
    </row>
    <row r="684" spans="1:16" ht="12.75">
      <c r="A684" s="114"/>
      <c r="B684" s="114"/>
      <c r="C684" s="7"/>
      <c r="D684" s="114"/>
      <c r="E684" s="128"/>
      <c r="F684" s="128"/>
      <c r="G684" s="128"/>
      <c r="H684" s="114"/>
      <c r="I684" s="88"/>
      <c r="J684" s="114"/>
      <c r="K684" s="114"/>
      <c r="L684" s="114"/>
      <c r="M684" s="114"/>
      <c r="N684" s="118"/>
      <c r="O684" s="118"/>
      <c r="P684" s="118"/>
    </row>
    <row r="685" spans="1:16" ht="12.75">
      <c r="A685" s="114"/>
      <c r="B685" s="114"/>
      <c r="C685" s="7"/>
      <c r="D685" s="114"/>
      <c r="E685" s="128"/>
      <c r="F685" s="128"/>
      <c r="G685" s="128"/>
      <c r="H685" s="114"/>
      <c r="I685" s="88"/>
      <c r="J685" s="114"/>
      <c r="K685" s="114"/>
      <c r="L685" s="114"/>
      <c r="M685" s="114"/>
      <c r="N685" s="118"/>
      <c r="O685" s="118"/>
      <c r="P685" s="118"/>
    </row>
    <row r="686" spans="1:16" ht="12.75">
      <c r="A686" s="114"/>
      <c r="B686" s="114"/>
      <c r="C686" s="7"/>
      <c r="D686" s="114"/>
      <c r="E686" s="128"/>
      <c r="F686" s="128"/>
      <c r="G686" s="128"/>
      <c r="H686" s="114"/>
      <c r="I686" s="88"/>
      <c r="J686" s="114"/>
      <c r="K686" s="114"/>
      <c r="L686" s="114"/>
      <c r="M686" s="114"/>
      <c r="N686" s="118"/>
      <c r="O686" s="118"/>
      <c r="P686" s="118"/>
    </row>
    <row r="687" spans="1:16" ht="12.75">
      <c r="A687" s="114"/>
      <c r="B687" s="114"/>
      <c r="C687" s="7"/>
      <c r="D687" s="114"/>
      <c r="E687" s="128"/>
      <c r="F687" s="128"/>
      <c r="G687" s="128"/>
      <c r="H687" s="114"/>
      <c r="I687" s="88"/>
      <c r="J687" s="114"/>
      <c r="K687" s="114"/>
      <c r="L687" s="114"/>
      <c r="M687" s="114"/>
      <c r="N687" s="118"/>
      <c r="O687" s="118"/>
      <c r="P687" s="118"/>
    </row>
    <row r="688" spans="1:16" ht="12.75">
      <c r="A688" s="114"/>
      <c r="B688" s="114"/>
      <c r="C688" s="7"/>
      <c r="D688" s="114"/>
      <c r="E688" s="128"/>
      <c r="F688" s="128"/>
      <c r="G688" s="128"/>
      <c r="H688" s="114"/>
      <c r="I688" s="88"/>
      <c r="J688" s="114"/>
      <c r="K688" s="114"/>
      <c r="L688" s="114"/>
      <c r="M688" s="114"/>
      <c r="N688" s="118"/>
      <c r="O688" s="118"/>
      <c r="P688" s="118"/>
    </row>
    <row r="689" spans="1:16" ht="12.75">
      <c r="A689" s="114"/>
      <c r="B689" s="114"/>
      <c r="C689" s="7"/>
      <c r="D689" s="114"/>
      <c r="E689" s="128"/>
      <c r="F689" s="128"/>
      <c r="G689" s="128"/>
      <c r="H689" s="114"/>
      <c r="I689" s="88"/>
      <c r="J689" s="114"/>
      <c r="K689" s="114"/>
      <c r="L689" s="114"/>
      <c r="M689" s="114"/>
      <c r="N689" s="118"/>
      <c r="O689" s="118"/>
      <c r="P689" s="118"/>
    </row>
    <row r="690" spans="1:16" ht="12.75">
      <c r="A690" s="114"/>
      <c r="B690" s="114"/>
      <c r="C690" s="7"/>
      <c r="D690" s="114"/>
      <c r="E690" s="128"/>
      <c r="F690" s="128"/>
      <c r="G690" s="128"/>
      <c r="H690" s="114"/>
      <c r="I690" s="88"/>
      <c r="J690" s="114"/>
      <c r="K690" s="114"/>
      <c r="L690" s="114"/>
      <c r="M690" s="114"/>
      <c r="N690" s="118"/>
      <c r="O690" s="118"/>
      <c r="P690" s="118"/>
    </row>
    <row r="691" spans="1:16" ht="12.75">
      <c r="A691" s="114"/>
      <c r="B691" s="114"/>
      <c r="C691" s="7"/>
      <c r="D691" s="114"/>
      <c r="E691" s="128"/>
      <c r="F691" s="128"/>
      <c r="G691" s="128"/>
      <c r="H691" s="114"/>
      <c r="I691" s="88"/>
      <c r="J691" s="114"/>
      <c r="K691" s="114"/>
      <c r="L691" s="114"/>
      <c r="M691" s="114"/>
      <c r="N691" s="118"/>
      <c r="O691" s="118"/>
      <c r="P691" s="118"/>
    </row>
    <row r="692" spans="1:16" ht="12.75">
      <c r="A692" s="114"/>
      <c r="B692" s="114"/>
      <c r="C692" s="7"/>
      <c r="D692" s="114"/>
      <c r="E692" s="128"/>
      <c r="F692" s="128"/>
      <c r="G692" s="128"/>
      <c r="H692" s="114"/>
      <c r="I692" s="88"/>
      <c r="J692" s="114"/>
      <c r="K692" s="114"/>
      <c r="L692" s="114"/>
      <c r="M692" s="114"/>
      <c r="N692" s="118"/>
      <c r="O692" s="118"/>
      <c r="P692" s="118"/>
    </row>
    <row r="693" spans="1:16" ht="12.75">
      <c r="A693" s="114"/>
      <c r="B693" s="114"/>
      <c r="C693" s="7"/>
      <c r="D693" s="114"/>
      <c r="E693" s="128"/>
      <c r="F693" s="128"/>
      <c r="G693" s="128"/>
      <c r="H693" s="114"/>
      <c r="I693" s="88"/>
      <c r="J693" s="114"/>
      <c r="K693" s="114"/>
      <c r="L693" s="114"/>
      <c r="M693" s="114"/>
      <c r="N693" s="118"/>
      <c r="O693" s="118"/>
      <c r="P693" s="118"/>
    </row>
    <row r="694" spans="1:16" ht="12.75">
      <c r="A694" s="114"/>
      <c r="B694" s="114"/>
      <c r="C694" s="7"/>
      <c r="D694" s="114"/>
      <c r="E694" s="128"/>
      <c r="F694" s="128"/>
      <c r="G694" s="128"/>
      <c r="H694" s="114"/>
      <c r="I694" s="88"/>
      <c r="J694" s="114"/>
      <c r="K694" s="114"/>
      <c r="L694" s="114"/>
      <c r="M694" s="114"/>
      <c r="N694" s="118"/>
      <c r="O694" s="118"/>
      <c r="P694" s="118"/>
    </row>
    <row r="695" spans="1:16" ht="12.75">
      <c r="A695" s="114"/>
      <c r="B695" s="114"/>
      <c r="C695" s="7"/>
      <c r="D695" s="114"/>
      <c r="E695" s="128"/>
      <c r="F695" s="128"/>
      <c r="G695" s="128"/>
      <c r="H695" s="114"/>
      <c r="I695" s="88"/>
      <c r="J695" s="114"/>
      <c r="K695" s="114"/>
      <c r="L695" s="114"/>
      <c r="M695" s="114"/>
      <c r="N695" s="118"/>
      <c r="O695" s="118"/>
      <c r="P695" s="118"/>
    </row>
    <row r="696" spans="1:16" ht="12.75">
      <c r="A696" s="114"/>
      <c r="B696" s="114"/>
      <c r="C696" s="7"/>
      <c r="D696" s="114"/>
      <c r="E696" s="128"/>
      <c r="F696" s="128"/>
      <c r="G696" s="128"/>
      <c r="H696" s="114"/>
      <c r="I696" s="88"/>
      <c r="J696" s="114"/>
      <c r="K696" s="114"/>
      <c r="L696" s="114"/>
      <c r="M696" s="114"/>
      <c r="N696" s="118"/>
      <c r="O696" s="118"/>
      <c r="P696" s="118"/>
    </row>
    <row r="697" spans="1:16" ht="12.75">
      <c r="A697" s="114"/>
      <c r="B697" s="114"/>
      <c r="C697" s="7"/>
      <c r="D697" s="114"/>
      <c r="E697" s="128"/>
      <c r="F697" s="128"/>
      <c r="G697" s="128"/>
      <c r="H697" s="114"/>
      <c r="I697" s="88"/>
      <c r="J697" s="114"/>
      <c r="K697" s="114"/>
      <c r="L697" s="114"/>
      <c r="M697" s="114"/>
      <c r="N697" s="118"/>
      <c r="O697" s="118"/>
      <c r="P697" s="118"/>
    </row>
    <row r="698" spans="1:16" ht="12.75">
      <c r="A698" s="114"/>
      <c r="B698" s="114"/>
      <c r="C698" s="7"/>
      <c r="D698" s="114"/>
      <c r="E698" s="128"/>
      <c r="F698" s="128"/>
      <c r="G698" s="128"/>
      <c r="H698" s="114"/>
      <c r="I698" s="88"/>
      <c r="J698" s="114"/>
      <c r="K698" s="114"/>
      <c r="L698" s="114"/>
      <c r="M698" s="114"/>
      <c r="N698" s="118"/>
      <c r="O698" s="118"/>
      <c r="P698" s="118"/>
    </row>
    <row r="699" spans="1:16" ht="12.75">
      <c r="A699" s="114"/>
      <c r="B699" s="114"/>
      <c r="C699" s="7"/>
      <c r="D699" s="114"/>
      <c r="E699" s="128"/>
      <c r="F699" s="128"/>
      <c r="G699" s="128"/>
      <c r="H699" s="114"/>
      <c r="I699" s="88"/>
      <c r="J699" s="114"/>
      <c r="K699" s="114"/>
      <c r="L699" s="114"/>
      <c r="M699" s="114"/>
      <c r="N699" s="118"/>
      <c r="O699" s="118"/>
      <c r="P699" s="118"/>
    </row>
    <row r="700" spans="1:16" ht="12.75">
      <c r="A700" s="114"/>
      <c r="B700" s="114"/>
      <c r="C700" s="7"/>
      <c r="D700" s="114"/>
      <c r="E700" s="128"/>
      <c r="F700" s="128"/>
      <c r="G700" s="128"/>
      <c r="H700" s="114"/>
      <c r="I700" s="88"/>
      <c r="J700" s="114"/>
      <c r="K700" s="114"/>
      <c r="L700" s="114"/>
      <c r="M700" s="114"/>
      <c r="N700" s="118"/>
      <c r="O700" s="118"/>
      <c r="P700" s="118"/>
    </row>
    <row r="701" spans="1:16" ht="12.75">
      <c r="A701" s="114"/>
      <c r="B701" s="114"/>
      <c r="C701" s="7"/>
      <c r="D701" s="114"/>
      <c r="E701" s="128"/>
      <c r="F701" s="128"/>
      <c r="G701" s="128"/>
      <c r="H701" s="114"/>
      <c r="I701" s="88"/>
      <c r="J701" s="114"/>
      <c r="K701" s="114"/>
      <c r="L701" s="114"/>
      <c r="M701" s="114"/>
      <c r="N701" s="118"/>
      <c r="O701" s="118"/>
      <c r="P701" s="118"/>
    </row>
    <row r="702" spans="1:16" ht="12.75">
      <c r="A702" s="114"/>
      <c r="B702" s="114"/>
      <c r="C702" s="7"/>
      <c r="D702" s="114"/>
      <c r="E702" s="128"/>
      <c r="F702" s="128"/>
      <c r="G702" s="128"/>
      <c r="H702" s="114"/>
      <c r="I702" s="88"/>
      <c r="J702" s="114"/>
      <c r="K702" s="114"/>
      <c r="L702" s="114"/>
      <c r="M702" s="114"/>
      <c r="N702" s="118"/>
      <c r="O702" s="118"/>
      <c r="P702" s="118"/>
    </row>
    <row r="703" spans="1:16" ht="12.75">
      <c r="A703" s="114"/>
      <c r="B703" s="114"/>
      <c r="C703" s="7"/>
      <c r="D703" s="114"/>
      <c r="E703" s="128"/>
      <c r="F703" s="128"/>
      <c r="G703" s="128"/>
      <c r="H703" s="114"/>
      <c r="I703" s="88"/>
      <c r="J703" s="114"/>
      <c r="K703" s="114"/>
      <c r="L703" s="114"/>
      <c r="M703" s="114"/>
      <c r="N703" s="118"/>
      <c r="O703" s="118"/>
      <c r="P703" s="118"/>
    </row>
    <row r="704" spans="1:16" ht="12.75">
      <c r="A704" s="114"/>
      <c r="B704" s="114"/>
      <c r="C704" s="7"/>
      <c r="D704" s="114"/>
      <c r="E704" s="128"/>
      <c r="F704" s="128"/>
      <c r="G704" s="128"/>
      <c r="H704" s="114"/>
      <c r="I704" s="88"/>
      <c r="J704" s="114"/>
      <c r="K704" s="114"/>
      <c r="L704" s="114"/>
      <c r="M704" s="114"/>
      <c r="N704" s="118"/>
      <c r="O704" s="118"/>
      <c r="P704" s="118"/>
    </row>
    <row r="705" spans="1:16" ht="12.75">
      <c r="A705" s="114"/>
      <c r="B705" s="114"/>
      <c r="C705" s="7"/>
      <c r="D705" s="114"/>
      <c r="E705" s="128"/>
      <c r="F705" s="128"/>
      <c r="G705" s="128"/>
      <c r="H705" s="114"/>
      <c r="I705" s="88"/>
      <c r="J705" s="114"/>
      <c r="K705" s="114"/>
      <c r="L705" s="114"/>
      <c r="M705" s="114"/>
      <c r="N705" s="118"/>
      <c r="O705" s="118"/>
      <c r="P705" s="118"/>
    </row>
    <row r="706" spans="1:16" ht="12.75">
      <c r="A706" s="114"/>
      <c r="B706" s="114"/>
      <c r="C706" s="7"/>
      <c r="D706" s="114"/>
      <c r="E706" s="128"/>
      <c r="F706" s="128"/>
      <c r="G706" s="128"/>
      <c r="H706" s="114"/>
      <c r="I706" s="88"/>
      <c r="J706" s="114"/>
      <c r="K706" s="114"/>
      <c r="L706" s="114"/>
      <c r="M706" s="114"/>
      <c r="N706" s="118"/>
      <c r="O706" s="118"/>
      <c r="P706" s="118"/>
    </row>
    <row r="707" spans="1:16" ht="12.75">
      <c r="A707" s="114"/>
      <c r="B707" s="114"/>
      <c r="C707" s="7"/>
      <c r="D707" s="114"/>
      <c r="E707" s="128"/>
      <c r="F707" s="128"/>
      <c r="G707" s="128"/>
      <c r="H707" s="114"/>
      <c r="I707" s="88"/>
      <c r="J707" s="114"/>
      <c r="K707" s="114"/>
      <c r="L707" s="114"/>
      <c r="M707" s="114"/>
      <c r="N707" s="118"/>
      <c r="O707" s="118"/>
      <c r="P707" s="118"/>
    </row>
    <row r="708" spans="1:16" ht="12.75">
      <c r="A708" s="114"/>
      <c r="B708" s="114"/>
      <c r="C708" s="7"/>
      <c r="D708" s="114"/>
      <c r="E708" s="128"/>
      <c r="F708" s="128"/>
      <c r="G708" s="128"/>
      <c r="H708" s="114"/>
      <c r="I708" s="88"/>
      <c r="J708" s="114"/>
      <c r="K708" s="114"/>
      <c r="L708" s="114"/>
      <c r="M708" s="114"/>
      <c r="N708" s="118"/>
      <c r="O708" s="118"/>
      <c r="P708" s="118"/>
    </row>
    <row r="709" spans="1:16" ht="12.75">
      <c r="A709" s="114"/>
      <c r="B709" s="114"/>
      <c r="C709" s="7"/>
      <c r="D709" s="114"/>
      <c r="E709" s="128"/>
      <c r="F709" s="128"/>
      <c r="G709" s="128"/>
      <c r="H709" s="114"/>
      <c r="I709" s="88"/>
      <c r="J709" s="114"/>
      <c r="K709" s="114"/>
      <c r="L709" s="114"/>
      <c r="M709" s="114"/>
      <c r="N709" s="118"/>
      <c r="O709" s="118"/>
      <c r="P709" s="118"/>
    </row>
    <row r="710" spans="1:16" ht="12.75">
      <c r="A710" s="114"/>
      <c r="B710" s="114"/>
      <c r="C710" s="7"/>
      <c r="D710" s="114"/>
      <c r="E710" s="128"/>
      <c r="F710" s="128"/>
      <c r="G710" s="128"/>
      <c r="H710" s="114"/>
      <c r="I710" s="88"/>
      <c r="J710" s="114"/>
      <c r="K710" s="114"/>
      <c r="L710" s="114"/>
      <c r="M710" s="114"/>
      <c r="N710" s="118"/>
      <c r="O710" s="118"/>
      <c r="P710" s="118"/>
    </row>
    <row r="711" spans="1:16" ht="12.75">
      <c r="A711" s="114"/>
      <c r="B711" s="114"/>
      <c r="C711" s="7"/>
      <c r="D711" s="114"/>
      <c r="E711" s="128"/>
      <c r="F711" s="128"/>
      <c r="G711" s="128"/>
      <c r="H711" s="114"/>
      <c r="I711" s="88"/>
      <c r="J711" s="114"/>
      <c r="K711" s="114"/>
      <c r="L711" s="114"/>
      <c r="M711" s="114"/>
      <c r="N711" s="118"/>
      <c r="O711" s="118"/>
      <c r="P711" s="118"/>
    </row>
    <row r="712" spans="1:16" ht="12.75">
      <c r="A712" s="114"/>
      <c r="B712" s="114"/>
      <c r="C712" s="7"/>
      <c r="D712" s="114"/>
      <c r="E712" s="128"/>
      <c r="F712" s="128"/>
      <c r="G712" s="128"/>
      <c r="H712" s="114"/>
      <c r="I712" s="88"/>
      <c r="J712" s="114"/>
      <c r="K712" s="114"/>
      <c r="L712" s="114"/>
      <c r="M712" s="114"/>
      <c r="N712" s="118"/>
      <c r="O712" s="118"/>
      <c r="P712" s="118"/>
    </row>
    <row r="713" spans="1:16" ht="12.75">
      <c r="A713" s="114"/>
      <c r="B713" s="114"/>
      <c r="C713" s="7"/>
      <c r="D713" s="114"/>
      <c r="E713" s="128"/>
      <c r="F713" s="128"/>
      <c r="G713" s="128"/>
      <c r="H713" s="114"/>
      <c r="I713" s="88"/>
      <c r="J713" s="114"/>
      <c r="K713" s="114"/>
      <c r="L713" s="114"/>
      <c r="M713" s="114"/>
      <c r="N713" s="118"/>
      <c r="O713" s="118"/>
      <c r="P713" s="118"/>
    </row>
    <row r="714" spans="1:16" ht="12.75">
      <c r="A714" s="114"/>
      <c r="B714" s="114"/>
      <c r="C714" s="7"/>
      <c r="D714" s="114"/>
      <c r="E714" s="128"/>
      <c r="F714" s="128"/>
      <c r="G714" s="128"/>
      <c r="H714" s="114"/>
      <c r="I714" s="88"/>
      <c r="J714" s="114"/>
      <c r="K714" s="114"/>
      <c r="L714" s="114"/>
      <c r="M714" s="114"/>
      <c r="N714" s="118"/>
      <c r="O714" s="118"/>
      <c r="P714" s="118"/>
    </row>
    <row r="715" spans="1:16" ht="12.75">
      <c r="A715" s="114"/>
      <c r="B715" s="114"/>
      <c r="C715" s="7"/>
      <c r="D715" s="114"/>
      <c r="E715" s="128"/>
      <c r="F715" s="128"/>
      <c r="G715" s="128"/>
      <c r="H715" s="114"/>
      <c r="I715" s="88"/>
      <c r="J715" s="114"/>
      <c r="K715" s="114"/>
      <c r="L715" s="114"/>
      <c r="M715" s="114"/>
      <c r="N715" s="118"/>
      <c r="O715" s="118"/>
      <c r="P715" s="118"/>
    </row>
    <row r="716" spans="1:16" ht="12.75">
      <c r="A716" s="114"/>
      <c r="B716" s="114"/>
      <c r="C716" s="7"/>
      <c r="D716" s="114"/>
      <c r="E716" s="128"/>
      <c r="F716" s="128"/>
      <c r="G716" s="128"/>
      <c r="H716" s="114"/>
      <c r="I716" s="88"/>
      <c r="J716" s="114"/>
      <c r="K716" s="114"/>
      <c r="L716" s="114"/>
      <c r="M716" s="114"/>
      <c r="N716" s="118"/>
      <c r="O716" s="118"/>
      <c r="P716" s="118"/>
    </row>
    <row r="717" spans="1:16" ht="12.75">
      <c r="A717" s="114"/>
      <c r="B717" s="114"/>
      <c r="C717" s="7"/>
      <c r="D717" s="114"/>
      <c r="E717" s="128"/>
      <c r="F717" s="128"/>
      <c r="G717" s="128"/>
      <c r="H717" s="114"/>
      <c r="I717" s="88"/>
      <c r="J717" s="114"/>
      <c r="K717" s="114"/>
      <c r="L717" s="114"/>
      <c r="M717" s="114"/>
      <c r="N717" s="118"/>
      <c r="O717" s="118"/>
      <c r="P717" s="118"/>
    </row>
    <row r="718" spans="1:16" ht="12.75">
      <c r="A718" s="114"/>
      <c r="B718" s="114"/>
      <c r="C718" s="7"/>
      <c r="D718" s="114"/>
      <c r="E718" s="128"/>
      <c r="F718" s="128"/>
      <c r="G718" s="128"/>
      <c r="H718" s="114"/>
      <c r="I718" s="88"/>
      <c r="J718" s="114"/>
      <c r="K718" s="114"/>
      <c r="L718" s="114"/>
      <c r="M718" s="114"/>
      <c r="N718" s="118"/>
      <c r="O718" s="118"/>
      <c r="P718" s="118"/>
    </row>
    <row r="719" spans="1:16" ht="12.75">
      <c r="A719" s="114"/>
      <c r="B719" s="114"/>
      <c r="C719" s="7"/>
      <c r="D719" s="114"/>
      <c r="E719" s="128"/>
      <c r="F719" s="128"/>
      <c r="G719" s="128"/>
      <c r="H719" s="114"/>
      <c r="I719" s="88"/>
      <c r="J719" s="114"/>
      <c r="K719" s="114"/>
      <c r="L719" s="114"/>
      <c r="M719" s="114"/>
      <c r="N719" s="118"/>
      <c r="O719" s="118"/>
      <c r="P719" s="118"/>
    </row>
    <row r="720" spans="1:16" ht="12.75">
      <c r="A720" s="114"/>
      <c r="B720" s="114"/>
      <c r="C720" s="7"/>
      <c r="D720" s="114"/>
      <c r="E720" s="128"/>
      <c r="F720" s="128"/>
      <c r="G720" s="128"/>
      <c r="H720" s="114"/>
      <c r="I720" s="88"/>
      <c r="J720" s="114"/>
      <c r="K720" s="114"/>
      <c r="L720" s="114"/>
      <c r="M720" s="114"/>
      <c r="N720" s="118"/>
      <c r="O720" s="118"/>
      <c r="P720" s="118"/>
    </row>
    <row r="721" spans="1:16" ht="12.75">
      <c r="A721" s="114"/>
      <c r="B721" s="114"/>
      <c r="C721" s="7"/>
      <c r="D721" s="114"/>
      <c r="E721" s="128"/>
      <c r="F721" s="128"/>
      <c r="G721" s="128"/>
      <c r="H721" s="114"/>
      <c r="I721" s="88"/>
      <c r="J721" s="114"/>
      <c r="K721" s="114"/>
      <c r="L721" s="114"/>
      <c r="M721" s="114"/>
      <c r="N721" s="118"/>
      <c r="O721" s="118"/>
      <c r="P721" s="118"/>
    </row>
    <row r="722" spans="1:16" ht="12.75">
      <c r="A722" s="114"/>
      <c r="B722" s="114"/>
      <c r="C722" s="7"/>
      <c r="D722" s="114"/>
      <c r="E722" s="128"/>
      <c r="F722" s="128"/>
      <c r="G722" s="128"/>
      <c r="H722" s="114"/>
      <c r="I722" s="88"/>
      <c r="J722" s="114"/>
      <c r="K722" s="114"/>
      <c r="L722" s="114"/>
      <c r="M722" s="114"/>
      <c r="N722" s="118"/>
      <c r="O722" s="118"/>
      <c r="P722" s="118"/>
    </row>
    <row r="723" spans="1:16" ht="12.75">
      <c r="A723" s="114"/>
      <c r="B723" s="114"/>
      <c r="C723" s="7"/>
      <c r="D723" s="114"/>
      <c r="E723" s="128"/>
      <c r="F723" s="128"/>
      <c r="G723" s="128"/>
      <c r="H723" s="114"/>
      <c r="I723" s="88"/>
      <c r="J723" s="114"/>
      <c r="K723" s="114"/>
      <c r="L723" s="114"/>
      <c r="M723" s="114"/>
      <c r="N723" s="118"/>
      <c r="O723" s="118"/>
      <c r="P723" s="118"/>
    </row>
    <row r="724" spans="1:16" ht="12.75">
      <c r="A724" s="114"/>
      <c r="B724" s="114"/>
      <c r="C724" s="7"/>
      <c r="D724" s="114"/>
      <c r="E724" s="128"/>
      <c r="F724" s="128"/>
      <c r="G724" s="128"/>
      <c r="H724" s="114"/>
      <c r="I724" s="88"/>
      <c r="J724" s="114"/>
      <c r="K724" s="114"/>
      <c r="L724" s="114"/>
      <c r="M724" s="114"/>
      <c r="N724" s="118"/>
      <c r="O724" s="118"/>
      <c r="P724" s="118"/>
    </row>
    <row r="725" spans="1:16" ht="12.75">
      <c r="A725" s="114"/>
      <c r="B725" s="114"/>
      <c r="C725" s="7"/>
      <c r="D725" s="114"/>
      <c r="E725" s="128"/>
      <c r="F725" s="128"/>
      <c r="G725" s="128"/>
      <c r="H725" s="114"/>
      <c r="I725" s="88"/>
      <c r="J725" s="114"/>
      <c r="K725" s="114"/>
      <c r="L725" s="114"/>
      <c r="M725" s="114"/>
      <c r="N725" s="118"/>
      <c r="O725" s="118"/>
      <c r="P725" s="118"/>
    </row>
    <row r="726" spans="1:16" ht="12.75">
      <c r="A726" s="114"/>
      <c r="B726" s="114"/>
      <c r="C726" s="7"/>
      <c r="D726" s="114"/>
      <c r="E726" s="128"/>
      <c r="F726" s="128"/>
      <c r="G726" s="128"/>
      <c r="H726" s="114"/>
      <c r="I726" s="88"/>
      <c r="J726" s="114"/>
      <c r="K726" s="114"/>
      <c r="L726" s="114"/>
      <c r="M726" s="114"/>
      <c r="N726" s="118"/>
      <c r="O726" s="118"/>
      <c r="P726" s="118"/>
    </row>
    <row r="727" spans="1:16" ht="12.75">
      <c r="A727" s="114"/>
      <c r="B727" s="114"/>
      <c r="C727" s="7"/>
      <c r="D727" s="114"/>
      <c r="E727" s="128"/>
      <c r="F727" s="128"/>
      <c r="G727" s="128"/>
      <c r="H727" s="114"/>
      <c r="I727" s="88"/>
      <c r="J727" s="114"/>
      <c r="K727" s="114"/>
      <c r="L727" s="114"/>
      <c r="M727" s="114"/>
      <c r="N727" s="118"/>
      <c r="O727" s="118"/>
      <c r="P727" s="118"/>
    </row>
    <row r="728" spans="1:16" ht="12.75">
      <c r="A728" s="114"/>
      <c r="B728" s="114"/>
      <c r="C728" s="7"/>
      <c r="D728" s="114"/>
      <c r="E728" s="128"/>
      <c r="F728" s="128"/>
      <c r="G728" s="128"/>
      <c r="H728" s="114"/>
      <c r="I728" s="88"/>
      <c r="J728" s="114"/>
      <c r="K728" s="114"/>
      <c r="L728" s="114"/>
      <c r="M728" s="114"/>
      <c r="N728" s="118"/>
      <c r="O728" s="118"/>
      <c r="P728" s="118"/>
    </row>
    <row r="729" spans="1:16" ht="12.75">
      <c r="A729" s="114"/>
      <c r="B729" s="114"/>
      <c r="C729" s="7"/>
      <c r="D729" s="114"/>
      <c r="E729" s="128"/>
      <c r="F729" s="128"/>
      <c r="G729" s="128"/>
      <c r="H729" s="114"/>
      <c r="I729" s="88"/>
      <c r="J729" s="114"/>
      <c r="K729" s="114"/>
      <c r="L729" s="114"/>
      <c r="M729" s="114"/>
      <c r="N729" s="118"/>
      <c r="O729" s="118"/>
      <c r="P729" s="118"/>
    </row>
    <row r="730" spans="1:16" ht="12.75">
      <c r="A730" s="114"/>
      <c r="B730" s="114"/>
      <c r="C730" s="7"/>
      <c r="D730" s="114"/>
      <c r="E730" s="128"/>
      <c r="F730" s="128"/>
      <c r="G730" s="128"/>
      <c r="H730" s="114"/>
      <c r="I730" s="88"/>
      <c r="J730" s="114"/>
      <c r="K730" s="114"/>
      <c r="L730" s="114"/>
      <c r="M730" s="114"/>
      <c r="N730" s="118"/>
      <c r="O730" s="118"/>
      <c r="P730" s="118"/>
    </row>
    <row r="731" spans="1:16" ht="12.75">
      <c r="A731" s="114"/>
      <c r="B731" s="114"/>
      <c r="C731" s="7"/>
      <c r="D731" s="114"/>
      <c r="E731" s="128"/>
      <c r="F731" s="128"/>
      <c r="G731" s="128"/>
      <c r="H731" s="114"/>
      <c r="I731" s="88"/>
      <c r="J731" s="114"/>
      <c r="K731" s="114"/>
      <c r="L731" s="114"/>
      <c r="M731" s="114"/>
      <c r="N731" s="118"/>
      <c r="O731" s="118"/>
      <c r="P731" s="118"/>
    </row>
    <row r="732" spans="1:16" ht="12.75">
      <c r="A732" s="114"/>
      <c r="B732" s="114"/>
      <c r="C732" s="7"/>
      <c r="D732" s="114"/>
      <c r="E732" s="128"/>
      <c r="F732" s="128"/>
      <c r="G732" s="128"/>
      <c r="H732" s="114"/>
      <c r="I732" s="88"/>
      <c r="J732" s="114"/>
      <c r="K732" s="114"/>
      <c r="L732" s="114"/>
      <c r="M732" s="114"/>
      <c r="N732" s="118"/>
      <c r="O732" s="118"/>
      <c r="P732" s="118"/>
    </row>
    <row r="733" spans="1:16" ht="12.75">
      <c r="A733" s="114"/>
      <c r="B733" s="114"/>
      <c r="C733" s="7"/>
      <c r="D733" s="114"/>
      <c r="E733" s="128"/>
      <c r="F733" s="128"/>
      <c r="G733" s="128"/>
      <c r="H733" s="114"/>
      <c r="I733" s="88"/>
      <c r="J733" s="114"/>
      <c r="K733" s="114"/>
      <c r="L733" s="114"/>
      <c r="M733" s="114"/>
      <c r="N733" s="118"/>
      <c r="O733" s="118"/>
      <c r="P733" s="118"/>
    </row>
    <row r="734" spans="1:16" ht="12.75">
      <c r="A734" s="114"/>
      <c r="B734" s="114"/>
      <c r="C734" s="7"/>
      <c r="D734" s="114"/>
      <c r="E734" s="128"/>
      <c r="F734" s="128"/>
      <c r="G734" s="128"/>
      <c r="H734" s="114"/>
      <c r="I734" s="88"/>
      <c r="J734" s="114"/>
      <c r="K734" s="114"/>
      <c r="L734" s="114"/>
      <c r="M734" s="114"/>
      <c r="N734" s="118"/>
      <c r="O734" s="118"/>
      <c r="P734" s="118"/>
    </row>
    <row r="735" spans="1:16" ht="12.75">
      <c r="A735" s="114"/>
      <c r="B735" s="114"/>
      <c r="C735" s="7"/>
      <c r="D735" s="114"/>
      <c r="E735" s="128"/>
      <c r="F735" s="128"/>
      <c r="G735" s="128"/>
      <c r="H735" s="114"/>
      <c r="I735" s="88"/>
      <c r="J735" s="114"/>
      <c r="K735" s="114"/>
      <c r="L735" s="114"/>
      <c r="M735" s="114"/>
      <c r="N735" s="118"/>
      <c r="O735" s="118"/>
      <c r="P735" s="118"/>
    </row>
    <row r="736" spans="1:16" ht="12.75">
      <c r="A736" s="114"/>
      <c r="B736" s="114"/>
      <c r="C736" s="7"/>
      <c r="D736" s="114"/>
      <c r="E736" s="128"/>
      <c r="F736" s="128"/>
      <c r="G736" s="128"/>
      <c r="H736" s="114"/>
      <c r="I736" s="88"/>
      <c r="J736" s="114"/>
      <c r="K736" s="114"/>
      <c r="L736" s="114"/>
      <c r="M736" s="114"/>
      <c r="N736" s="118"/>
      <c r="O736" s="118"/>
      <c r="P736" s="118"/>
    </row>
    <row r="737" spans="1:16" ht="12.75">
      <c r="A737" s="114"/>
      <c r="B737" s="114"/>
      <c r="C737" s="7"/>
      <c r="D737" s="114"/>
      <c r="E737" s="128"/>
      <c r="F737" s="128"/>
      <c r="G737" s="128"/>
      <c r="H737" s="114"/>
      <c r="I737" s="88"/>
      <c r="J737" s="114"/>
      <c r="K737" s="114"/>
      <c r="L737" s="114"/>
      <c r="M737" s="114"/>
      <c r="N737" s="118"/>
      <c r="O737" s="118"/>
      <c r="P737" s="118"/>
    </row>
    <row r="738" spans="1:16" ht="12.75">
      <c r="A738" s="114"/>
      <c r="B738" s="114"/>
      <c r="C738" s="7"/>
      <c r="D738" s="114"/>
      <c r="E738" s="128"/>
      <c r="F738" s="128"/>
      <c r="G738" s="128"/>
      <c r="H738" s="114"/>
      <c r="I738" s="88"/>
      <c r="J738" s="114"/>
      <c r="K738" s="114"/>
      <c r="L738" s="114"/>
      <c r="M738" s="114"/>
      <c r="N738" s="118"/>
      <c r="O738" s="118"/>
      <c r="P738" s="118"/>
    </row>
    <row r="739" spans="1:16" ht="12.75">
      <c r="A739" s="114"/>
      <c r="B739" s="114"/>
      <c r="C739" s="7"/>
      <c r="D739" s="114"/>
      <c r="E739" s="128"/>
      <c r="F739" s="128"/>
      <c r="G739" s="128"/>
      <c r="H739" s="114"/>
      <c r="I739" s="88"/>
      <c r="J739" s="114"/>
      <c r="K739" s="114"/>
      <c r="L739" s="114"/>
      <c r="M739" s="114"/>
      <c r="N739" s="118"/>
      <c r="O739" s="118"/>
      <c r="P739" s="118"/>
    </row>
    <row r="740" spans="1:16" ht="12.75">
      <c r="A740" s="114"/>
      <c r="B740" s="114"/>
      <c r="C740" s="7"/>
      <c r="D740" s="114"/>
      <c r="E740" s="128"/>
      <c r="F740" s="128"/>
      <c r="G740" s="128"/>
      <c r="H740" s="114"/>
      <c r="I740" s="88"/>
      <c r="J740" s="114"/>
      <c r="K740" s="114"/>
      <c r="L740" s="114"/>
      <c r="M740" s="114"/>
      <c r="N740" s="118"/>
      <c r="O740" s="118"/>
      <c r="P740" s="118"/>
    </row>
    <row r="741" spans="1:16" ht="12.75">
      <c r="A741" s="114"/>
      <c r="B741" s="114"/>
      <c r="C741" s="7"/>
      <c r="D741" s="114"/>
      <c r="E741" s="128"/>
      <c r="F741" s="128"/>
      <c r="G741" s="128"/>
      <c r="H741" s="114"/>
      <c r="I741" s="88"/>
      <c r="J741" s="114"/>
      <c r="K741" s="114"/>
      <c r="L741" s="114"/>
      <c r="M741" s="114"/>
      <c r="N741" s="118"/>
      <c r="O741" s="118"/>
      <c r="P741" s="118"/>
    </row>
    <row r="742" spans="1:16" ht="12.75">
      <c r="A742" s="114"/>
      <c r="B742" s="114"/>
      <c r="C742" s="7"/>
      <c r="D742" s="114"/>
      <c r="E742" s="128"/>
      <c r="F742" s="128"/>
      <c r="G742" s="128"/>
      <c r="H742" s="114"/>
      <c r="I742" s="88"/>
      <c r="J742" s="114"/>
      <c r="K742" s="114"/>
      <c r="L742" s="114"/>
      <c r="M742" s="114"/>
      <c r="N742" s="118"/>
      <c r="O742" s="118"/>
      <c r="P742" s="118"/>
    </row>
    <row r="743" spans="1:16" ht="12.75">
      <c r="A743" s="114"/>
      <c r="B743" s="114"/>
      <c r="C743" s="7"/>
      <c r="D743" s="114"/>
      <c r="E743" s="128"/>
      <c r="F743" s="128"/>
      <c r="G743" s="128"/>
      <c r="H743" s="114"/>
      <c r="I743" s="88"/>
      <c r="J743" s="114"/>
      <c r="K743" s="114"/>
      <c r="L743" s="114"/>
      <c r="M743" s="114"/>
      <c r="N743" s="118"/>
      <c r="O743" s="118"/>
      <c r="P743" s="118"/>
    </row>
    <row r="744" spans="1:16" ht="12.75">
      <c r="A744" s="114"/>
      <c r="B744" s="114"/>
      <c r="C744" s="7"/>
      <c r="D744" s="114"/>
      <c r="E744" s="128"/>
      <c r="F744" s="128"/>
      <c r="G744" s="128"/>
      <c r="H744" s="114"/>
      <c r="I744" s="88"/>
      <c r="J744" s="114"/>
      <c r="K744" s="114"/>
      <c r="L744" s="114"/>
      <c r="M744" s="114"/>
      <c r="N744" s="118"/>
      <c r="O744" s="118"/>
      <c r="P744" s="118"/>
    </row>
    <row r="745" spans="1:16" ht="12.75">
      <c r="A745" s="114"/>
      <c r="B745" s="114"/>
      <c r="C745" s="7"/>
      <c r="D745" s="114"/>
      <c r="E745" s="128"/>
      <c r="F745" s="128"/>
      <c r="G745" s="128"/>
      <c r="H745" s="114"/>
      <c r="I745" s="88"/>
      <c r="J745" s="114"/>
      <c r="K745" s="114"/>
      <c r="L745" s="114"/>
      <c r="M745" s="114"/>
      <c r="N745" s="118"/>
      <c r="O745" s="118"/>
      <c r="P745" s="118"/>
    </row>
    <row r="746" spans="1:16" ht="12.75">
      <c r="A746" s="114"/>
      <c r="B746" s="114"/>
      <c r="C746" s="7"/>
      <c r="D746" s="114"/>
      <c r="E746" s="128"/>
      <c r="F746" s="128"/>
      <c r="G746" s="128"/>
      <c r="H746" s="114"/>
      <c r="I746" s="88"/>
      <c r="J746" s="114"/>
      <c r="K746" s="114"/>
      <c r="L746" s="114"/>
      <c r="M746" s="114"/>
      <c r="N746" s="118"/>
      <c r="O746" s="118"/>
      <c r="P746" s="118"/>
    </row>
    <row r="747" spans="1:16" ht="12.75">
      <c r="A747" s="114"/>
      <c r="B747" s="114"/>
      <c r="C747" s="7"/>
      <c r="D747" s="114"/>
      <c r="E747" s="128"/>
      <c r="F747" s="128"/>
      <c r="G747" s="128"/>
      <c r="H747" s="114"/>
      <c r="I747" s="88"/>
      <c r="J747" s="114"/>
      <c r="K747" s="114"/>
      <c r="L747" s="114"/>
      <c r="M747" s="114"/>
      <c r="N747" s="118"/>
      <c r="O747" s="118"/>
      <c r="P747" s="118"/>
    </row>
    <row r="748" spans="1:16" ht="12.75">
      <c r="A748" s="114"/>
      <c r="B748" s="114"/>
      <c r="C748" s="7"/>
      <c r="D748" s="114"/>
      <c r="E748" s="128"/>
      <c r="F748" s="128"/>
      <c r="G748" s="128"/>
      <c r="H748" s="114"/>
      <c r="I748" s="88"/>
      <c r="J748" s="114"/>
      <c r="K748" s="114"/>
      <c r="L748" s="114"/>
      <c r="M748" s="114"/>
      <c r="N748" s="118"/>
      <c r="O748" s="118"/>
      <c r="P748" s="118"/>
    </row>
    <row r="749" spans="1:16" ht="12.75">
      <c r="A749" s="114"/>
      <c r="B749" s="114"/>
      <c r="C749" s="7"/>
      <c r="D749" s="114"/>
      <c r="E749" s="128"/>
      <c r="F749" s="128"/>
      <c r="G749" s="128"/>
      <c r="H749" s="114"/>
      <c r="I749" s="88"/>
      <c r="J749" s="114"/>
      <c r="K749" s="114"/>
      <c r="L749" s="114"/>
      <c r="M749" s="114"/>
      <c r="N749" s="118"/>
      <c r="O749" s="118"/>
      <c r="P749" s="118"/>
    </row>
    <row r="750" spans="1:16" ht="12.75">
      <c r="A750" s="114"/>
      <c r="B750" s="114"/>
      <c r="C750" s="7"/>
      <c r="D750" s="114"/>
      <c r="E750" s="128"/>
      <c r="F750" s="128"/>
      <c r="G750" s="128"/>
      <c r="H750" s="114"/>
      <c r="I750" s="88"/>
      <c r="J750" s="114"/>
      <c r="K750" s="114"/>
      <c r="L750" s="114"/>
      <c r="M750" s="114"/>
      <c r="N750" s="118"/>
      <c r="O750" s="118"/>
      <c r="P750" s="118"/>
    </row>
    <row r="751" spans="1:16" ht="12.75">
      <c r="A751" s="114"/>
      <c r="B751" s="114"/>
      <c r="C751" s="7"/>
      <c r="D751" s="114"/>
      <c r="E751" s="128"/>
      <c r="F751" s="128"/>
      <c r="G751" s="128"/>
      <c r="H751" s="114"/>
      <c r="I751" s="88"/>
      <c r="J751" s="114"/>
      <c r="K751" s="114"/>
      <c r="L751" s="114"/>
      <c r="M751" s="114"/>
      <c r="N751" s="118"/>
      <c r="O751" s="118"/>
      <c r="P751" s="118"/>
    </row>
    <row r="752" spans="1:16" ht="12.75">
      <c r="A752" s="114"/>
      <c r="B752" s="114"/>
      <c r="C752" s="7"/>
      <c r="D752" s="114"/>
      <c r="E752" s="128"/>
      <c r="F752" s="128"/>
      <c r="G752" s="128"/>
      <c r="H752" s="114"/>
      <c r="I752" s="88"/>
      <c r="J752" s="114"/>
      <c r="K752" s="114"/>
      <c r="L752" s="114"/>
      <c r="M752" s="114"/>
      <c r="N752" s="118"/>
      <c r="O752" s="118"/>
      <c r="P752" s="118"/>
    </row>
    <row r="753" spans="1:16" ht="12.75">
      <c r="A753" s="114"/>
      <c r="B753" s="114"/>
      <c r="C753" s="7"/>
      <c r="D753" s="114"/>
      <c r="E753" s="128"/>
      <c r="F753" s="128"/>
      <c r="G753" s="128"/>
      <c r="H753" s="114"/>
      <c r="I753" s="88"/>
      <c r="J753" s="114"/>
      <c r="K753" s="114"/>
      <c r="L753" s="114"/>
      <c r="M753" s="114"/>
      <c r="N753" s="118"/>
      <c r="O753" s="118"/>
      <c r="P753" s="118"/>
    </row>
    <row r="754" spans="1:16" ht="12.75">
      <c r="A754" s="114"/>
      <c r="B754" s="114"/>
      <c r="C754" s="7"/>
      <c r="D754" s="114"/>
      <c r="E754" s="128"/>
      <c r="F754" s="128"/>
      <c r="G754" s="128"/>
      <c r="H754" s="114"/>
      <c r="I754" s="88"/>
      <c r="J754" s="114"/>
      <c r="K754" s="114"/>
      <c r="L754" s="114"/>
      <c r="M754" s="114"/>
      <c r="N754" s="118"/>
      <c r="O754" s="118"/>
      <c r="P754" s="118"/>
    </row>
    <row r="755" spans="1:16" ht="12.75">
      <c r="A755" s="114"/>
      <c r="B755" s="114"/>
      <c r="C755" s="7"/>
      <c r="D755" s="114"/>
      <c r="E755" s="128"/>
      <c r="F755" s="128"/>
      <c r="G755" s="128"/>
      <c r="H755" s="114"/>
      <c r="I755" s="88"/>
      <c r="J755" s="114"/>
      <c r="K755" s="114"/>
      <c r="L755" s="114"/>
      <c r="M755" s="114"/>
      <c r="N755" s="118"/>
      <c r="O755" s="118"/>
      <c r="P755" s="118"/>
    </row>
    <row r="756" spans="1:16" ht="12.75">
      <c r="A756" s="114"/>
      <c r="B756" s="114"/>
      <c r="C756" s="7"/>
      <c r="D756" s="114"/>
      <c r="E756" s="128"/>
      <c r="F756" s="128"/>
      <c r="G756" s="128"/>
      <c r="H756" s="114"/>
      <c r="I756" s="88"/>
      <c r="J756" s="114"/>
      <c r="K756" s="114"/>
      <c r="L756" s="114"/>
      <c r="M756" s="114"/>
      <c r="N756" s="118"/>
      <c r="O756" s="118"/>
      <c r="P756" s="118"/>
    </row>
    <row r="757" spans="1:16" ht="12.75">
      <c r="A757" s="114"/>
      <c r="B757" s="114"/>
      <c r="C757" s="7"/>
      <c r="D757" s="114"/>
      <c r="E757" s="128"/>
      <c r="F757" s="128"/>
      <c r="G757" s="128"/>
      <c r="H757" s="114"/>
      <c r="I757" s="88"/>
      <c r="J757" s="114"/>
      <c r="K757" s="114"/>
      <c r="L757" s="114"/>
      <c r="M757" s="114"/>
      <c r="N757" s="118"/>
      <c r="O757" s="118"/>
      <c r="P757" s="118"/>
    </row>
    <row r="758" spans="1:16" ht="12.75">
      <c r="A758" s="114"/>
      <c r="B758" s="114"/>
      <c r="C758" s="7"/>
      <c r="D758" s="114"/>
      <c r="E758" s="128"/>
      <c r="F758" s="128"/>
      <c r="G758" s="128"/>
      <c r="H758" s="114"/>
      <c r="I758" s="88"/>
      <c r="J758" s="114"/>
      <c r="K758" s="114"/>
      <c r="L758" s="114"/>
      <c r="M758" s="114"/>
      <c r="N758" s="118"/>
      <c r="O758" s="118"/>
      <c r="P758" s="118"/>
    </row>
    <row r="759" spans="1:16" ht="12.75">
      <c r="A759" s="114"/>
      <c r="B759" s="114"/>
      <c r="C759" s="7"/>
      <c r="D759" s="114"/>
      <c r="E759" s="128"/>
      <c r="F759" s="128"/>
      <c r="G759" s="128"/>
      <c r="H759" s="114"/>
      <c r="I759" s="88"/>
      <c r="J759" s="114"/>
      <c r="K759" s="114"/>
      <c r="L759" s="114"/>
      <c r="M759" s="114"/>
      <c r="N759" s="118"/>
      <c r="O759" s="118"/>
      <c r="P759" s="118"/>
    </row>
    <row r="760" spans="1:16" ht="12.75">
      <c r="A760" s="114"/>
      <c r="B760" s="114"/>
      <c r="C760" s="7"/>
      <c r="D760" s="114"/>
      <c r="E760" s="128"/>
      <c r="F760" s="128"/>
      <c r="G760" s="128"/>
      <c r="H760" s="114"/>
      <c r="I760" s="88"/>
      <c r="J760" s="114"/>
      <c r="K760" s="114"/>
      <c r="L760" s="114"/>
      <c r="M760" s="114"/>
      <c r="N760" s="118"/>
      <c r="O760" s="118"/>
      <c r="P760" s="118"/>
    </row>
    <row r="761" spans="1:16" ht="12.75">
      <c r="A761" s="114"/>
      <c r="B761" s="114"/>
      <c r="C761" s="7"/>
      <c r="D761" s="114"/>
      <c r="E761" s="128"/>
      <c r="F761" s="128"/>
      <c r="G761" s="128"/>
      <c r="H761" s="114"/>
      <c r="I761" s="88"/>
      <c r="J761" s="114"/>
      <c r="K761" s="114"/>
      <c r="L761" s="114"/>
      <c r="M761" s="114"/>
      <c r="N761" s="118"/>
      <c r="O761" s="118"/>
      <c r="P761" s="118"/>
    </row>
    <row r="762" spans="1:16" ht="12.75">
      <c r="A762" s="114"/>
      <c r="B762" s="114"/>
      <c r="C762" s="7"/>
      <c r="D762" s="114"/>
      <c r="E762" s="128"/>
      <c r="F762" s="128"/>
      <c r="G762" s="128"/>
      <c r="H762" s="114"/>
      <c r="I762" s="88"/>
      <c r="J762" s="114"/>
      <c r="K762" s="114"/>
      <c r="L762" s="114"/>
      <c r="M762" s="114"/>
      <c r="N762" s="118"/>
      <c r="O762" s="118"/>
      <c r="P762" s="118"/>
    </row>
    <row r="763" spans="1:16" ht="12.75">
      <c r="A763" s="114"/>
      <c r="B763" s="114"/>
      <c r="C763" s="7"/>
      <c r="D763" s="114"/>
      <c r="E763" s="128"/>
      <c r="F763" s="128"/>
      <c r="G763" s="128"/>
      <c r="H763" s="114"/>
      <c r="I763" s="88"/>
      <c r="J763" s="114"/>
      <c r="K763" s="114"/>
      <c r="L763" s="114"/>
      <c r="M763" s="114"/>
      <c r="N763" s="118"/>
      <c r="O763" s="118"/>
      <c r="P763" s="118"/>
    </row>
    <row r="764" spans="1:16" ht="12.75">
      <c r="A764" s="114"/>
      <c r="B764" s="114"/>
      <c r="C764" s="7"/>
      <c r="D764" s="114"/>
      <c r="E764" s="128"/>
      <c r="F764" s="128"/>
      <c r="G764" s="128"/>
      <c r="H764" s="114"/>
      <c r="I764" s="88"/>
      <c r="J764" s="114"/>
      <c r="K764" s="114"/>
      <c r="L764" s="114"/>
      <c r="M764" s="114"/>
      <c r="N764" s="118"/>
      <c r="O764" s="118"/>
      <c r="P764" s="118"/>
    </row>
    <row r="765" spans="1:16" ht="12.75">
      <c r="A765" s="114"/>
      <c r="B765" s="114"/>
      <c r="C765" s="7"/>
      <c r="D765" s="114"/>
      <c r="E765" s="128"/>
      <c r="F765" s="128"/>
      <c r="G765" s="128"/>
      <c r="H765" s="114"/>
      <c r="I765" s="88"/>
      <c r="J765" s="114"/>
      <c r="K765" s="114"/>
      <c r="L765" s="114"/>
      <c r="M765" s="114"/>
      <c r="N765" s="118"/>
      <c r="O765" s="118"/>
      <c r="P765" s="118"/>
    </row>
    <row r="766" spans="1:16" ht="12.75">
      <c r="A766" s="114"/>
      <c r="B766" s="114"/>
      <c r="C766" s="7"/>
      <c r="D766" s="114"/>
      <c r="E766" s="128"/>
      <c r="F766" s="128"/>
      <c r="G766" s="128"/>
      <c r="H766" s="114"/>
      <c r="I766" s="88"/>
      <c r="J766" s="114"/>
      <c r="K766" s="114"/>
      <c r="L766" s="114"/>
      <c r="M766" s="114"/>
      <c r="N766" s="118"/>
      <c r="O766" s="118"/>
      <c r="P766" s="118"/>
    </row>
    <row r="767" spans="1:16" ht="12.75">
      <c r="A767" s="114"/>
      <c r="B767" s="114"/>
      <c r="C767" s="7"/>
      <c r="D767" s="114"/>
      <c r="E767" s="128"/>
      <c r="F767" s="128"/>
      <c r="G767" s="128"/>
      <c r="H767" s="114"/>
      <c r="I767" s="88"/>
      <c r="J767" s="114"/>
      <c r="K767" s="114"/>
      <c r="L767" s="114"/>
      <c r="M767" s="114"/>
      <c r="N767" s="118"/>
      <c r="O767" s="118"/>
      <c r="P767" s="118"/>
    </row>
    <row r="768" spans="1:16" ht="12.75">
      <c r="A768" s="114"/>
      <c r="B768" s="114"/>
      <c r="C768" s="7"/>
      <c r="D768" s="114"/>
      <c r="E768" s="128"/>
      <c r="F768" s="128"/>
      <c r="G768" s="128"/>
      <c r="H768" s="114"/>
      <c r="I768" s="88"/>
      <c r="J768" s="114"/>
      <c r="K768" s="114"/>
      <c r="L768" s="114"/>
      <c r="M768" s="114"/>
      <c r="N768" s="118"/>
      <c r="O768" s="118"/>
      <c r="P768" s="118"/>
    </row>
    <row r="769" spans="1:16" ht="12.75">
      <c r="A769" s="114"/>
      <c r="B769" s="114"/>
      <c r="C769" s="7"/>
      <c r="D769" s="114"/>
      <c r="E769" s="128"/>
      <c r="F769" s="128"/>
      <c r="G769" s="128"/>
      <c r="H769" s="114"/>
      <c r="I769" s="88"/>
      <c r="J769" s="114"/>
      <c r="K769" s="114"/>
      <c r="L769" s="114"/>
      <c r="M769" s="114"/>
      <c r="N769" s="118"/>
      <c r="O769" s="118"/>
      <c r="P769" s="118"/>
    </row>
    <row r="770" spans="1:16" ht="12.75">
      <c r="A770" s="114"/>
      <c r="B770" s="114"/>
      <c r="C770" s="7"/>
      <c r="D770" s="114"/>
      <c r="E770" s="128"/>
      <c r="F770" s="128"/>
      <c r="G770" s="128"/>
      <c r="H770" s="114"/>
      <c r="I770" s="88"/>
      <c r="J770" s="114"/>
      <c r="K770" s="114"/>
      <c r="L770" s="114"/>
      <c r="M770" s="114"/>
      <c r="N770" s="118"/>
      <c r="O770" s="118"/>
      <c r="P770" s="118"/>
    </row>
    <row r="771" spans="1:16" ht="12.75">
      <c r="A771" s="114"/>
      <c r="B771" s="114"/>
      <c r="C771" s="7"/>
      <c r="D771" s="114"/>
      <c r="E771" s="128"/>
      <c r="F771" s="128"/>
      <c r="G771" s="128"/>
      <c r="H771" s="114"/>
      <c r="I771" s="88"/>
      <c r="J771" s="114"/>
      <c r="K771" s="114"/>
      <c r="L771" s="114"/>
      <c r="M771" s="114"/>
      <c r="N771" s="118"/>
      <c r="O771" s="118"/>
      <c r="P771" s="118"/>
    </row>
    <row r="772" spans="1:16" ht="12.75">
      <c r="A772" s="114"/>
      <c r="B772" s="114"/>
      <c r="C772" s="7"/>
      <c r="D772" s="114"/>
      <c r="E772" s="128"/>
      <c r="F772" s="128"/>
      <c r="G772" s="128"/>
      <c r="H772" s="114"/>
      <c r="I772" s="88"/>
      <c r="J772" s="114"/>
      <c r="K772" s="114"/>
      <c r="L772" s="114"/>
      <c r="M772" s="114"/>
      <c r="N772" s="118"/>
      <c r="O772" s="118"/>
      <c r="P772" s="118"/>
    </row>
    <row r="773" spans="1:16" ht="12.75">
      <c r="A773" s="114"/>
      <c r="B773" s="114"/>
      <c r="C773" s="7"/>
      <c r="D773" s="114"/>
      <c r="E773" s="128"/>
      <c r="F773" s="128"/>
      <c r="G773" s="128"/>
      <c r="H773" s="114"/>
      <c r="I773" s="88"/>
      <c r="J773" s="114"/>
      <c r="K773" s="114"/>
      <c r="L773" s="114"/>
      <c r="M773" s="114"/>
      <c r="N773" s="118"/>
      <c r="O773" s="118"/>
      <c r="P773" s="118"/>
    </row>
    <row r="774" spans="1:16" ht="12.75">
      <c r="A774" s="114"/>
      <c r="B774" s="114"/>
      <c r="C774" s="7"/>
      <c r="D774" s="114"/>
      <c r="E774" s="128"/>
      <c r="F774" s="128"/>
      <c r="G774" s="128"/>
      <c r="H774" s="114"/>
      <c r="I774" s="88"/>
      <c r="J774" s="114"/>
      <c r="K774" s="114"/>
      <c r="L774" s="114"/>
      <c r="M774" s="114"/>
      <c r="N774" s="118"/>
      <c r="O774" s="118"/>
      <c r="P774" s="118"/>
    </row>
    <row r="775" spans="1:16" ht="12.75">
      <c r="A775" s="114"/>
      <c r="B775" s="114"/>
      <c r="C775" s="7"/>
      <c r="D775" s="114"/>
      <c r="E775" s="128"/>
      <c r="F775" s="128"/>
      <c r="G775" s="128"/>
      <c r="H775" s="114"/>
      <c r="I775" s="88"/>
      <c r="J775" s="114"/>
      <c r="K775" s="114"/>
      <c r="L775" s="114"/>
      <c r="M775" s="114"/>
      <c r="N775" s="118"/>
      <c r="O775" s="118"/>
      <c r="P775" s="118"/>
    </row>
    <row r="776" spans="1:16" ht="12.75">
      <c r="A776" s="114"/>
      <c r="B776" s="114"/>
      <c r="C776" s="7"/>
      <c r="D776" s="114"/>
      <c r="E776" s="128"/>
      <c r="F776" s="128"/>
      <c r="G776" s="128"/>
      <c r="H776" s="114"/>
      <c r="I776" s="88"/>
      <c r="J776" s="114"/>
      <c r="K776" s="114"/>
      <c r="L776" s="114"/>
      <c r="M776" s="114"/>
      <c r="N776" s="118"/>
      <c r="O776" s="118"/>
      <c r="P776" s="118"/>
    </row>
    <row r="777" spans="1:16" ht="12.75">
      <c r="A777" s="114"/>
      <c r="B777" s="114"/>
      <c r="C777" s="7"/>
      <c r="D777" s="114"/>
      <c r="E777" s="128"/>
      <c r="F777" s="128"/>
      <c r="G777" s="128"/>
      <c r="H777" s="114"/>
      <c r="I777" s="88"/>
      <c r="J777" s="114"/>
      <c r="K777" s="114"/>
      <c r="L777" s="114"/>
      <c r="M777" s="114"/>
      <c r="N777" s="118"/>
      <c r="O777" s="118"/>
      <c r="P777" s="118"/>
    </row>
    <row r="778" spans="1:16" ht="12.75">
      <c r="A778" s="114"/>
      <c r="B778" s="114"/>
      <c r="C778" s="7"/>
      <c r="D778" s="114"/>
      <c r="E778" s="128"/>
      <c r="F778" s="128"/>
      <c r="G778" s="128"/>
      <c r="H778" s="114"/>
      <c r="I778" s="88"/>
      <c r="J778" s="114"/>
      <c r="K778" s="114"/>
      <c r="L778" s="114"/>
      <c r="M778" s="114"/>
      <c r="N778" s="118"/>
      <c r="O778" s="118"/>
      <c r="P778" s="118"/>
    </row>
    <row r="779" spans="1:16" ht="12.75">
      <c r="A779" s="114"/>
      <c r="B779" s="114"/>
      <c r="C779" s="7"/>
      <c r="D779" s="114"/>
      <c r="E779" s="128"/>
      <c r="F779" s="128"/>
      <c r="G779" s="128"/>
      <c r="H779" s="114"/>
      <c r="I779" s="88"/>
      <c r="J779" s="114"/>
      <c r="K779" s="114"/>
      <c r="L779" s="114"/>
      <c r="M779" s="114"/>
      <c r="N779" s="118"/>
      <c r="O779" s="118"/>
      <c r="P779" s="118"/>
    </row>
    <row r="780" spans="1:16" ht="12.75">
      <c r="A780" s="114"/>
      <c r="B780" s="114"/>
      <c r="C780" s="7"/>
      <c r="D780" s="114"/>
      <c r="E780" s="128"/>
      <c r="F780" s="128"/>
      <c r="G780" s="128"/>
      <c r="H780" s="114"/>
      <c r="I780" s="88"/>
      <c r="J780" s="114"/>
      <c r="K780" s="114"/>
      <c r="L780" s="114"/>
      <c r="M780" s="114"/>
      <c r="N780" s="118"/>
      <c r="O780" s="118"/>
      <c r="P780" s="118"/>
    </row>
    <row r="781" spans="1:16" ht="12.75">
      <c r="A781" s="114"/>
      <c r="B781" s="114"/>
      <c r="C781" s="7"/>
      <c r="D781" s="114"/>
      <c r="E781" s="128"/>
      <c r="F781" s="128"/>
      <c r="G781" s="128"/>
      <c r="H781" s="114"/>
      <c r="I781" s="88"/>
      <c r="J781" s="114"/>
      <c r="K781" s="114"/>
      <c r="L781" s="114"/>
      <c r="M781" s="114"/>
      <c r="N781" s="118"/>
      <c r="O781" s="118"/>
      <c r="P781" s="118"/>
    </row>
    <row r="782" spans="1:16" ht="12.75">
      <c r="A782" s="114"/>
      <c r="B782" s="114"/>
      <c r="C782" s="7"/>
      <c r="D782" s="114"/>
      <c r="E782" s="128"/>
      <c r="F782" s="128"/>
      <c r="G782" s="128"/>
      <c r="H782" s="114"/>
      <c r="I782" s="88"/>
      <c r="J782" s="114"/>
      <c r="K782" s="114"/>
      <c r="L782" s="114"/>
      <c r="M782" s="114"/>
      <c r="N782" s="118"/>
      <c r="O782" s="118"/>
      <c r="P782" s="118"/>
    </row>
    <row r="783" spans="1:16" ht="12.75">
      <c r="A783" s="114"/>
      <c r="B783" s="114"/>
      <c r="C783" s="7"/>
      <c r="D783" s="114"/>
      <c r="E783" s="128"/>
      <c r="F783" s="128"/>
      <c r="G783" s="128"/>
      <c r="H783" s="114"/>
      <c r="I783" s="88"/>
      <c r="J783" s="114"/>
      <c r="K783" s="114"/>
      <c r="L783" s="114"/>
      <c r="M783" s="114"/>
      <c r="N783" s="118"/>
      <c r="O783" s="118"/>
      <c r="P783" s="118"/>
    </row>
    <row r="784" spans="1:16" ht="12.75">
      <c r="A784" s="114"/>
      <c r="B784" s="114"/>
      <c r="C784" s="7"/>
      <c r="D784" s="114"/>
      <c r="E784" s="128"/>
      <c r="F784" s="128"/>
      <c r="G784" s="128"/>
      <c r="H784" s="114"/>
      <c r="I784" s="88"/>
      <c r="J784" s="114"/>
      <c r="K784" s="114"/>
      <c r="L784" s="114"/>
      <c r="M784" s="114"/>
      <c r="N784" s="118"/>
      <c r="O784" s="118"/>
      <c r="P784" s="118"/>
    </row>
    <row r="785" spans="1:16" ht="12.75">
      <c r="A785" s="114"/>
      <c r="B785" s="114"/>
      <c r="C785" s="7"/>
      <c r="D785" s="114"/>
      <c r="E785" s="128"/>
      <c r="F785" s="128"/>
      <c r="G785" s="128"/>
      <c r="H785" s="114"/>
      <c r="I785" s="88"/>
      <c r="J785" s="114"/>
      <c r="K785" s="114"/>
      <c r="L785" s="114"/>
      <c r="M785" s="114"/>
      <c r="N785" s="118"/>
      <c r="O785" s="118"/>
      <c r="P785" s="118"/>
    </row>
    <row r="786" spans="1:16" ht="12.75">
      <c r="A786" s="114"/>
      <c r="B786" s="114"/>
      <c r="C786" s="7"/>
      <c r="D786" s="114"/>
      <c r="E786" s="128"/>
      <c r="F786" s="128"/>
      <c r="G786" s="128"/>
      <c r="H786" s="114"/>
      <c r="I786" s="88"/>
      <c r="J786" s="114"/>
      <c r="K786" s="114"/>
      <c r="L786" s="114"/>
      <c r="M786" s="114"/>
      <c r="N786" s="118"/>
      <c r="O786" s="118"/>
      <c r="P786" s="118"/>
    </row>
    <row r="787" spans="1:16" ht="12.75">
      <c r="A787" s="114"/>
      <c r="B787" s="114"/>
      <c r="C787" s="7"/>
      <c r="D787" s="114"/>
      <c r="E787" s="128"/>
      <c r="F787" s="128"/>
      <c r="G787" s="128"/>
      <c r="H787" s="114"/>
      <c r="I787" s="88"/>
      <c r="J787" s="114"/>
      <c r="K787" s="114"/>
      <c r="L787" s="114"/>
      <c r="M787" s="114"/>
      <c r="N787" s="118"/>
      <c r="O787" s="118"/>
      <c r="P787" s="118"/>
    </row>
    <row r="788" spans="1:16" ht="12.75">
      <c r="A788" s="114"/>
      <c r="B788" s="114"/>
      <c r="C788" s="7"/>
      <c r="D788" s="114"/>
      <c r="E788" s="128"/>
      <c r="F788" s="128"/>
      <c r="G788" s="128"/>
      <c r="H788" s="114"/>
      <c r="I788" s="88"/>
      <c r="J788" s="114"/>
      <c r="K788" s="114"/>
      <c r="L788" s="114"/>
      <c r="M788" s="114"/>
      <c r="N788" s="118"/>
      <c r="O788" s="118"/>
      <c r="P788" s="118"/>
    </row>
    <row r="789" spans="1:16" ht="12.75">
      <c r="A789" s="114"/>
      <c r="B789" s="114"/>
      <c r="C789" s="7"/>
      <c r="D789" s="114"/>
      <c r="E789" s="128"/>
      <c r="F789" s="128"/>
      <c r="G789" s="128"/>
      <c r="H789" s="114"/>
      <c r="I789" s="88"/>
      <c r="J789" s="114"/>
      <c r="K789" s="114"/>
      <c r="L789" s="114"/>
      <c r="M789" s="114"/>
      <c r="N789" s="118"/>
      <c r="O789" s="118"/>
      <c r="P789" s="118"/>
    </row>
    <row r="790" spans="1:16" ht="12.75">
      <c r="A790" s="114"/>
      <c r="B790" s="114"/>
      <c r="C790" s="7"/>
      <c r="D790" s="114"/>
      <c r="E790" s="128"/>
      <c r="F790" s="128"/>
      <c r="G790" s="128"/>
      <c r="H790" s="114"/>
      <c r="I790" s="88"/>
      <c r="J790" s="114"/>
      <c r="K790" s="114"/>
      <c r="L790" s="114"/>
      <c r="M790" s="114"/>
      <c r="N790" s="118"/>
      <c r="O790" s="118"/>
      <c r="P790" s="118"/>
    </row>
    <row r="791" spans="1:16" ht="12.75">
      <c r="A791" s="114"/>
      <c r="B791" s="114"/>
      <c r="C791" s="7"/>
      <c r="D791" s="114"/>
      <c r="E791" s="128"/>
      <c r="F791" s="128"/>
      <c r="G791" s="128"/>
      <c r="H791" s="114"/>
      <c r="I791" s="88"/>
      <c r="J791" s="114"/>
      <c r="K791" s="114"/>
      <c r="L791" s="114"/>
      <c r="M791" s="114"/>
      <c r="N791" s="118"/>
      <c r="O791" s="118"/>
      <c r="P791" s="118"/>
    </row>
    <row r="792" spans="1:16" ht="12.75">
      <c r="A792" s="114"/>
      <c r="B792" s="114"/>
      <c r="C792" s="7"/>
      <c r="D792" s="114"/>
      <c r="E792" s="128"/>
      <c r="F792" s="128"/>
      <c r="G792" s="128"/>
      <c r="H792" s="114"/>
      <c r="I792" s="88"/>
      <c r="J792" s="114"/>
      <c r="K792" s="114"/>
      <c r="L792" s="114"/>
      <c r="M792" s="114"/>
      <c r="N792" s="118"/>
      <c r="O792" s="118"/>
      <c r="P792" s="118"/>
    </row>
    <row r="793" spans="1:16" ht="12.75">
      <c r="A793" s="114"/>
      <c r="B793" s="114"/>
      <c r="C793" s="7"/>
      <c r="D793" s="114"/>
      <c r="E793" s="128"/>
      <c r="F793" s="128"/>
      <c r="G793" s="128"/>
      <c r="H793" s="114"/>
      <c r="I793" s="88"/>
      <c r="J793" s="114"/>
      <c r="K793" s="114"/>
      <c r="L793" s="114"/>
      <c r="M793" s="114"/>
      <c r="N793" s="118"/>
      <c r="O793" s="118"/>
      <c r="P793" s="118"/>
    </row>
    <row r="794" spans="1:16" ht="12.75">
      <c r="A794" s="114"/>
      <c r="B794" s="114"/>
      <c r="C794" s="7"/>
      <c r="D794" s="114"/>
      <c r="E794" s="128"/>
      <c r="F794" s="128"/>
      <c r="G794" s="128"/>
      <c r="H794" s="114"/>
      <c r="I794" s="88"/>
      <c r="J794" s="114"/>
      <c r="K794" s="114"/>
      <c r="L794" s="114"/>
      <c r="M794" s="114"/>
      <c r="N794" s="118"/>
      <c r="O794" s="118"/>
      <c r="P794" s="118"/>
    </row>
    <row r="795" spans="1:16" ht="12.75">
      <c r="A795" s="114"/>
      <c r="B795" s="114"/>
      <c r="C795" s="7"/>
      <c r="D795" s="114"/>
      <c r="E795" s="128"/>
      <c r="F795" s="128"/>
      <c r="G795" s="128"/>
      <c r="H795" s="114"/>
      <c r="I795" s="88"/>
      <c r="J795" s="114"/>
      <c r="K795" s="114"/>
      <c r="L795" s="114"/>
      <c r="M795" s="114"/>
      <c r="N795" s="118"/>
      <c r="O795" s="118"/>
      <c r="P795" s="118"/>
    </row>
    <row r="796" spans="1:16" ht="12.75">
      <c r="A796" s="114"/>
      <c r="B796" s="114"/>
      <c r="C796" s="7"/>
      <c r="D796" s="114"/>
      <c r="E796" s="128"/>
      <c r="F796" s="128"/>
      <c r="G796" s="128"/>
      <c r="H796" s="114"/>
      <c r="I796" s="88"/>
      <c r="J796" s="114"/>
      <c r="K796" s="114"/>
      <c r="L796" s="114"/>
      <c r="M796" s="114"/>
      <c r="N796" s="118"/>
      <c r="O796" s="118"/>
      <c r="P796" s="118"/>
    </row>
    <row r="797" spans="1:16" ht="12.75">
      <c r="A797" s="114"/>
      <c r="B797" s="114"/>
      <c r="C797" s="7"/>
      <c r="D797" s="114"/>
      <c r="E797" s="128"/>
      <c r="F797" s="128"/>
      <c r="G797" s="128"/>
      <c r="H797" s="114"/>
      <c r="I797" s="88"/>
      <c r="J797" s="114"/>
      <c r="K797" s="114"/>
      <c r="L797" s="114"/>
      <c r="M797" s="114"/>
      <c r="N797" s="118"/>
      <c r="O797" s="118"/>
      <c r="P797" s="118"/>
    </row>
    <row r="798" spans="1:16" ht="12.75">
      <c r="A798" s="114"/>
      <c r="B798" s="114"/>
      <c r="C798" s="7"/>
      <c r="D798" s="114"/>
      <c r="E798" s="128"/>
      <c r="F798" s="128"/>
      <c r="G798" s="128"/>
      <c r="H798" s="114"/>
      <c r="I798" s="88"/>
      <c r="J798" s="114"/>
      <c r="K798" s="114"/>
      <c r="L798" s="114"/>
      <c r="M798" s="114"/>
      <c r="N798" s="118"/>
      <c r="O798" s="118"/>
      <c r="P798" s="118"/>
    </row>
    <row r="799" spans="1:16" ht="12.75">
      <c r="A799" s="114"/>
      <c r="B799" s="114"/>
      <c r="C799" s="7"/>
      <c r="D799" s="114"/>
      <c r="E799" s="128"/>
      <c r="F799" s="128"/>
      <c r="G799" s="128"/>
      <c r="H799" s="114"/>
      <c r="I799" s="88"/>
      <c r="J799" s="114"/>
      <c r="K799" s="114"/>
      <c r="L799" s="114"/>
      <c r="M799" s="114"/>
      <c r="N799" s="118"/>
      <c r="O799" s="118"/>
      <c r="P799" s="118"/>
    </row>
    <row r="800" spans="1:16" ht="12.75">
      <c r="A800" s="114"/>
      <c r="B800" s="114"/>
      <c r="C800" s="7"/>
      <c r="D800" s="114"/>
      <c r="E800" s="128"/>
      <c r="F800" s="128"/>
      <c r="G800" s="128"/>
      <c r="H800" s="114"/>
      <c r="I800" s="88"/>
      <c r="J800" s="114"/>
      <c r="K800" s="114"/>
      <c r="L800" s="114"/>
      <c r="M800" s="114"/>
      <c r="N800" s="118"/>
      <c r="O800" s="118"/>
      <c r="P800" s="118"/>
    </row>
    <row r="801" spans="1:16" ht="12.75">
      <c r="A801" s="114"/>
      <c r="B801" s="114"/>
      <c r="C801" s="7"/>
      <c r="D801" s="114"/>
      <c r="E801" s="128"/>
      <c r="F801" s="128"/>
      <c r="G801" s="128"/>
      <c r="H801" s="114"/>
      <c r="I801" s="88"/>
      <c r="J801" s="114"/>
      <c r="K801" s="114"/>
      <c r="L801" s="114"/>
      <c r="M801" s="114"/>
      <c r="N801" s="118"/>
      <c r="O801" s="118"/>
      <c r="P801" s="118"/>
    </row>
    <row r="802" spans="1:16" ht="12.75">
      <c r="A802" s="114"/>
      <c r="B802" s="114"/>
      <c r="C802" s="7"/>
      <c r="D802" s="114"/>
      <c r="E802" s="128"/>
      <c r="F802" s="128"/>
      <c r="G802" s="128"/>
      <c r="H802" s="114"/>
      <c r="I802" s="88"/>
      <c r="J802" s="114"/>
      <c r="K802" s="114"/>
      <c r="L802" s="114"/>
      <c r="M802" s="114"/>
      <c r="N802" s="118"/>
      <c r="O802" s="118"/>
      <c r="P802" s="118"/>
    </row>
    <row r="803" spans="1:16" ht="12.75">
      <c r="A803" s="114"/>
      <c r="B803" s="114"/>
      <c r="C803" s="7"/>
      <c r="D803" s="114"/>
      <c r="E803" s="128"/>
      <c r="F803" s="128"/>
      <c r="G803" s="128"/>
      <c r="H803" s="114"/>
      <c r="I803" s="88"/>
      <c r="J803" s="114"/>
      <c r="K803" s="114"/>
      <c r="L803" s="114"/>
      <c r="M803" s="114"/>
      <c r="N803" s="118"/>
      <c r="O803" s="118"/>
      <c r="P803" s="118"/>
    </row>
    <row r="804" spans="1:16" ht="12.75">
      <c r="A804" s="114"/>
      <c r="B804" s="114"/>
      <c r="C804" s="7"/>
      <c r="D804" s="114"/>
      <c r="E804" s="128"/>
      <c r="F804" s="128"/>
      <c r="G804" s="128"/>
      <c r="H804" s="114"/>
      <c r="I804" s="88"/>
      <c r="J804" s="114"/>
      <c r="K804" s="114"/>
      <c r="L804" s="114"/>
      <c r="M804" s="114"/>
      <c r="N804" s="118"/>
      <c r="O804" s="118"/>
      <c r="P804" s="118"/>
    </row>
    <row r="805" spans="1:16" ht="12.75">
      <c r="A805" s="114"/>
      <c r="B805" s="114"/>
      <c r="C805" s="7"/>
      <c r="D805" s="114"/>
      <c r="E805" s="128"/>
      <c r="F805" s="128"/>
      <c r="G805" s="128"/>
      <c r="H805" s="114"/>
      <c r="I805" s="88"/>
      <c r="J805" s="114"/>
      <c r="K805" s="114"/>
      <c r="L805" s="114"/>
      <c r="M805" s="114"/>
      <c r="N805" s="118"/>
      <c r="O805" s="118"/>
      <c r="P805" s="118"/>
    </row>
    <row r="806" spans="1:16" ht="12.75">
      <c r="A806" s="114"/>
      <c r="B806" s="114"/>
      <c r="C806" s="7"/>
      <c r="D806" s="114"/>
      <c r="E806" s="128"/>
      <c r="F806" s="128"/>
      <c r="G806" s="128"/>
      <c r="H806" s="114"/>
      <c r="I806" s="88"/>
      <c r="J806" s="114"/>
      <c r="K806" s="114"/>
      <c r="L806" s="114"/>
      <c r="M806" s="114"/>
      <c r="N806" s="118"/>
      <c r="O806" s="118"/>
      <c r="P806" s="118"/>
    </row>
    <row r="807" spans="1:16" ht="12.75">
      <c r="A807" s="114"/>
      <c r="B807" s="114"/>
      <c r="C807" s="7"/>
      <c r="D807" s="114"/>
      <c r="E807" s="128"/>
      <c r="F807" s="128"/>
      <c r="G807" s="128"/>
      <c r="H807" s="114"/>
      <c r="I807" s="88"/>
      <c r="J807" s="114"/>
      <c r="K807" s="114"/>
      <c r="L807" s="114"/>
      <c r="M807" s="114"/>
      <c r="N807" s="118"/>
      <c r="O807" s="118"/>
      <c r="P807" s="118"/>
    </row>
    <row r="808" spans="1:16" ht="12.75">
      <c r="A808" s="114"/>
      <c r="B808" s="114"/>
      <c r="C808" s="7"/>
      <c r="D808" s="114"/>
      <c r="E808" s="128"/>
      <c r="F808" s="128"/>
      <c r="G808" s="128"/>
      <c r="H808" s="114"/>
      <c r="I808" s="88"/>
      <c r="J808" s="114"/>
      <c r="K808" s="114"/>
      <c r="L808" s="114"/>
      <c r="M808" s="114"/>
      <c r="N808" s="118"/>
      <c r="O808" s="118"/>
      <c r="P808" s="118"/>
    </row>
    <row r="809" spans="1:16" ht="12.75">
      <c r="A809" s="114"/>
      <c r="B809" s="114"/>
      <c r="C809" s="7"/>
      <c r="D809" s="114"/>
      <c r="E809" s="128"/>
      <c r="F809" s="128"/>
      <c r="G809" s="128"/>
      <c r="H809" s="114"/>
      <c r="I809" s="88"/>
      <c r="J809" s="114"/>
      <c r="K809" s="114"/>
      <c r="L809" s="114"/>
      <c r="M809" s="114"/>
      <c r="N809" s="118"/>
      <c r="O809" s="118"/>
      <c r="P809" s="118"/>
    </row>
    <row r="810" spans="1:16" ht="12.75">
      <c r="A810" s="114"/>
      <c r="B810" s="114"/>
      <c r="C810" s="7"/>
      <c r="D810" s="114"/>
      <c r="E810" s="128"/>
      <c r="F810" s="128"/>
      <c r="G810" s="128"/>
      <c r="H810" s="114"/>
      <c r="I810" s="88"/>
      <c r="J810" s="114"/>
      <c r="K810" s="114"/>
      <c r="L810" s="114"/>
      <c r="M810" s="114"/>
      <c r="N810" s="118"/>
      <c r="O810" s="118"/>
      <c r="P810" s="118"/>
    </row>
    <row r="811" spans="1:16" ht="12.75">
      <c r="A811" s="114"/>
      <c r="B811" s="114"/>
      <c r="C811" s="7"/>
      <c r="D811" s="114"/>
      <c r="E811" s="128"/>
      <c r="F811" s="128"/>
      <c r="G811" s="128"/>
      <c r="H811" s="114"/>
      <c r="I811" s="88"/>
      <c r="J811" s="114"/>
      <c r="K811" s="114"/>
      <c r="L811" s="114"/>
      <c r="M811" s="114"/>
      <c r="N811" s="118"/>
      <c r="O811" s="118"/>
      <c r="P811" s="118"/>
    </row>
    <row r="812" spans="1:16" ht="12.75">
      <c r="A812" s="114"/>
      <c r="B812" s="114"/>
      <c r="C812" s="7"/>
      <c r="D812" s="114"/>
      <c r="E812" s="128"/>
      <c r="F812" s="128"/>
      <c r="G812" s="128"/>
      <c r="H812" s="114"/>
      <c r="I812" s="88"/>
      <c r="J812" s="114"/>
      <c r="K812" s="114"/>
      <c r="L812" s="114"/>
      <c r="M812" s="114"/>
      <c r="N812" s="118"/>
      <c r="O812" s="118"/>
      <c r="P812" s="118"/>
    </row>
    <row r="813" spans="1:16" ht="12.75">
      <c r="A813" s="114"/>
      <c r="B813" s="114"/>
      <c r="C813" s="7"/>
      <c r="D813" s="114"/>
      <c r="E813" s="128"/>
      <c r="F813" s="128"/>
      <c r="G813" s="128"/>
      <c r="H813" s="114"/>
      <c r="I813" s="88"/>
      <c r="J813" s="114"/>
      <c r="K813" s="114"/>
      <c r="L813" s="114"/>
      <c r="M813" s="114"/>
      <c r="N813" s="118"/>
      <c r="O813" s="118"/>
      <c r="P813" s="118"/>
    </row>
    <row r="814" spans="1:16" ht="12.75">
      <c r="A814" s="114"/>
      <c r="B814" s="114"/>
      <c r="C814" s="7"/>
      <c r="D814" s="114"/>
      <c r="E814" s="128"/>
      <c r="F814" s="128"/>
      <c r="G814" s="128"/>
      <c r="H814" s="114"/>
      <c r="I814" s="88"/>
      <c r="J814" s="114"/>
      <c r="K814" s="114"/>
      <c r="L814" s="114"/>
      <c r="M814" s="114"/>
      <c r="N814" s="118"/>
      <c r="O814" s="118"/>
      <c r="P814" s="118"/>
    </row>
    <row r="815" spans="1:16" ht="12.75">
      <c r="A815" s="114"/>
      <c r="B815" s="114"/>
      <c r="C815" s="7"/>
      <c r="D815" s="114"/>
      <c r="E815" s="128"/>
      <c r="F815" s="128"/>
      <c r="G815" s="128"/>
      <c r="H815" s="114"/>
      <c r="I815" s="88"/>
      <c r="J815" s="114"/>
      <c r="K815" s="114"/>
      <c r="L815" s="114"/>
      <c r="M815" s="114"/>
      <c r="N815" s="118"/>
      <c r="O815" s="118"/>
      <c r="P815" s="118"/>
    </row>
    <row r="816" spans="1:16" ht="12.75">
      <c r="A816" s="114"/>
      <c r="B816" s="114"/>
      <c r="C816" s="7"/>
      <c r="D816" s="114"/>
      <c r="E816" s="128"/>
      <c r="F816" s="128"/>
      <c r="G816" s="128"/>
      <c r="H816" s="114"/>
      <c r="I816" s="88"/>
      <c r="J816" s="114"/>
      <c r="K816" s="114"/>
      <c r="L816" s="114"/>
      <c r="M816" s="114"/>
      <c r="N816" s="118"/>
      <c r="O816" s="118"/>
      <c r="P816" s="118"/>
    </row>
    <row r="817" spans="1:16" ht="12.75">
      <c r="A817" s="114"/>
      <c r="B817" s="114"/>
      <c r="C817" s="7"/>
      <c r="D817" s="114"/>
      <c r="E817" s="128"/>
      <c r="F817" s="128"/>
      <c r="G817" s="128"/>
      <c r="H817" s="114"/>
      <c r="I817" s="88"/>
      <c r="J817" s="114"/>
      <c r="K817" s="114"/>
      <c r="L817" s="114"/>
      <c r="M817" s="114"/>
      <c r="N817" s="118"/>
      <c r="O817" s="118"/>
      <c r="P817" s="118"/>
    </row>
    <row r="818" spans="1:16" ht="12.75">
      <c r="A818" s="114"/>
      <c r="B818" s="114"/>
      <c r="C818" s="7"/>
      <c r="D818" s="114"/>
      <c r="E818" s="128"/>
      <c r="F818" s="128"/>
      <c r="G818" s="128"/>
      <c r="H818" s="114"/>
      <c r="I818" s="88"/>
      <c r="J818" s="114"/>
      <c r="K818" s="114"/>
      <c r="L818" s="114"/>
      <c r="M818" s="114"/>
      <c r="N818" s="118"/>
      <c r="O818" s="118"/>
      <c r="P818" s="118"/>
    </row>
    <row r="819" spans="1:16" ht="12.75">
      <c r="A819" s="114"/>
      <c r="B819" s="114"/>
      <c r="C819" s="7"/>
      <c r="D819" s="114"/>
      <c r="E819" s="128"/>
      <c r="F819" s="128"/>
      <c r="G819" s="128"/>
      <c r="H819" s="114"/>
      <c r="I819" s="88"/>
      <c r="J819" s="114"/>
      <c r="K819" s="114"/>
      <c r="L819" s="114"/>
      <c r="M819" s="114"/>
      <c r="N819" s="118"/>
      <c r="O819" s="118"/>
      <c r="P819" s="118"/>
    </row>
    <row r="820" spans="1:16" ht="12.75">
      <c r="A820" s="114"/>
      <c r="B820" s="114"/>
      <c r="C820" s="7"/>
      <c r="D820" s="114"/>
      <c r="E820" s="128"/>
      <c r="F820" s="128"/>
      <c r="G820" s="128"/>
      <c r="H820" s="114"/>
      <c r="I820" s="88"/>
      <c r="J820" s="114"/>
      <c r="K820" s="114"/>
      <c r="L820" s="114"/>
      <c r="M820" s="114"/>
      <c r="N820" s="118"/>
      <c r="O820" s="118"/>
      <c r="P820" s="118"/>
    </row>
    <row r="821" spans="1:16" ht="12.75">
      <c r="A821" s="114"/>
      <c r="B821" s="114"/>
      <c r="C821" s="7"/>
      <c r="D821" s="114"/>
      <c r="E821" s="128"/>
      <c r="F821" s="128"/>
      <c r="G821" s="128"/>
      <c r="H821" s="114"/>
      <c r="I821" s="88"/>
      <c r="J821" s="114"/>
      <c r="K821" s="114"/>
      <c r="L821" s="114"/>
      <c r="M821" s="114"/>
      <c r="N821" s="118"/>
      <c r="O821" s="118"/>
      <c r="P821" s="118"/>
    </row>
    <row r="822" spans="1:16" ht="12.75">
      <c r="A822" s="114"/>
      <c r="B822" s="114"/>
      <c r="C822" s="7"/>
      <c r="D822" s="114"/>
      <c r="E822" s="128"/>
      <c r="F822" s="128"/>
      <c r="G822" s="128"/>
      <c r="H822" s="114"/>
      <c r="I822" s="88"/>
      <c r="J822" s="114"/>
      <c r="K822" s="114"/>
      <c r="L822" s="114"/>
      <c r="M822" s="114"/>
      <c r="N822" s="118"/>
      <c r="O822" s="118"/>
      <c r="P822" s="118"/>
    </row>
    <row r="823" spans="1:16" ht="12.75">
      <c r="A823" s="114"/>
      <c r="B823" s="114"/>
      <c r="C823" s="7"/>
      <c r="D823" s="114"/>
      <c r="E823" s="128"/>
      <c r="F823" s="128"/>
      <c r="G823" s="128"/>
      <c r="H823" s="114"/>
      <c r="I823" s="88"/>
      <c r="J823" s="114"/>
      <c r="K823" s="114"/>
      <c r="L823" s="114"/>
      <c r="M823" s="114"/>
      <c r="N823" s="118"/>
      <c r="O823" s="118"/>
      <c r="P823" s="118"/>
    </row>
    <row r="824" spans="1:16" ht="12.75">
      <c r="A824" s="114"/>
      <c r="B824" s="114"/>
      <c r="C824" s="7"/>
      <c r="D824" s="114"/>
      <c r="E824" s="128"/>
      <c r="F824" s="128"/>
      <c r="G824" s="128"/>
      <c r="H824" s="114"/>
      <c r="I824" s="88"/>
      <c r="J824" s="114"/>
      <c r="K824" s="114"/>
      <c r="L824" s="114"/>
      <c r="M824" s="114"/>
      <c r="N824" s="118"/>
      <c r="O824" s="118"/>
      <c r="P824" s="118"/>
    </row>
    <row r="825" spans="1:16" ht="12.75">
      <c r="A825" s="114"/>
      <c r="B825" s="114"/>
      <c r="C825" s="7"/>
      <c r="D825" s="114"/>
      <c r="E825" s="128"/>
      <c r="F825" s="128"/>
      <c r="G825" s="128"/>
      <c r="H825" s="114"/>
      <c r="I825" s="88"/>
      <c r="J825" s="114"/>
      <c r="K825" s="114"/>
      <c r="L825" s="114"/>
      <c r="M825" s="114"/>
      <c r="N825" s="118"/>
      <c r="O825" s="118"/>
      <c r="P825" s="118"/>
    </row>
    <row r="826" spans="1:16" ht="12.75">
      <c r="A826" s="114"/>
      <c r="B826" s="114"/>
      <c r="C826" s="7"/>
      <c r="D826" s="114"/>
      <c r="E826" s="128"/>
      <c r="F826" s="128"/>
      <c r="G826" s="128"/>
      <c r="H826" s="114"/>
      <c r="I826" s="88"/>
      <c r="J826" s="114"/>
      <c r="K826" s="114"/>
      <c r="L826" s="114"/>
      <c r="M826" s="114"/>
      <c r="N826" s="118"/>
      <c r="O826" s="118"/>
      <c r="P826" s="118"/>
    </row>
    <row r="827" spans="1:16" ht="12.75">
      <c r="A827" s="114"/>
      <c r="B827" s="114"/>
      <c r="C827" s="7"/>
      <c r="D827" s="114"/>
      <c r="E827" s="128"/>
      <c r="F827" s="128"/>
      <c r="G827" s="128"/>
      <c r="H827" s="114"/>
      <c r="I827" s="88"/>
      <c r="J827" s="114"/>
      <c r="K827" s="114"/>
      <c r="L827" s="114"/>
      <c r="M827" s="114"/>
      <c r="N827" s="118"/>
      <c r="O827" s="118"/>
      <c r="P827" s="118"/>
    </row>
    <row r="828" spans="1:16" ht="12.75">
      <c r="A828" s="114"/>
      <c r="B828" s="114"/>
      <c r="C828" s="7"/>
      <c r="D828" s="114"/>
      <c r="E828" s="128"/>
      <c r="F828" s="128"/>
      <c r="G828" s="128"/>
      <c r="H828" s="114"/>
      <c r="I828" s="88"/>
      <c r="J828" s="114"/>
      <c r="K828" s="114"/>
      <c r="L828" s="114"/>
      <c r="M828" s="114"/>
      <c r="N828" s="118"/>
      <c r="O828" s="118"/>
      <c r="P828" s="118"/>
    </row>
    <row r="829" spans="1:16" ht="12.75">
      <c r="A829" s="114"/>
      <c r="B829" s="114"/>
      <c r="C829" s="7"/>
      <c r="D829" s="114"/>
      <c r="E829" s="128"/>
      <c r="F829" s="128"/>
      <c r="G829" s="128"/>
      <c r="H829" s="114"/>
      <c r="I829" s="88"/>
      <c r="J829" s="114"/>
      <c r="K829" s="114"/>
      <c r="L829" s="114"/>
      <c r="M829" s="114"/>
      <c r="N829" s="118"/>
      <c r="O829" s="118"/>
      <c r="P829" s="118"/>
    </row>
    <row r="830" spans="1:16" ht="12.75">
      <c r="A830" s="114"/>
      <c r="B830" s="114"/>
      <c r="C830" s="7"/>
      <c r="D830" s="114"/>
      <c r="E830" s="128"/>
      <c r="F830" s="128"/>
      <c r="G830" s="128"/>
      <c r="H830" s="114"/>
      <c r="I830" s="88"/>
      <c r="J830" s="114"/>
      <c r="K830" s="114"/>
      <c r="L830" s="114"/>
      <c r="M830" s="114"/>
      <c r="N830" s="118"/>
      <c r="O830" s="118"/>
      <c r="P830" s="118"/>
    </row>
    <row r="831" spans="1:16" ht="12.75">
      <c r="A831" s="114"/>
      <c r="B831" s="114"/>
      <c r="C831" s="7"/>
      <c r="D831" s="114"/>
      <c r="E831" s="128"/>
      <c r="F831" s="128"/>
      <c r="G831" s="128"/>
      <c r="H831" s="114"/>
      <c r="I831" s="88"/>
      <c r="J831" s="114"/>
      <c r="K831" s="114"/>
      <c r="L831" s="114"/>
      <c r="M831" s="114"/>
      <c r="N831" s="118"/>
      <c r="O831" s="118"/>
      <c r="P831" s="118"/>
    </row>
    <row r="832" spans="1:16" ht="12.75">
      <c r="A832" s="114"/>
      <c r="B832" s="114"/>
      <c r="C832" s="7"/>
      <c r="D832" s="114"/>
      <c r="E832" s="128"/>
      <c r="F832" s="128"/>
      <c r="G832" s="128"/>
      <c r="H832" s="114"/>
      <c r="I832" s="88"/>
      <c r="J832" s="114"/>
      <c r="K832" s="114"/>
      <c r="L832" s="114"/>
      <c r="M832" s="114"/>
      <c r="N832" s="118"/>
      <c r="O832" s="118"/>
      <c r="P832" s="118"/>
    </row>
    <row r="833" spans="1:16" ht="12.75">
      <c r="A833" s="114"/>
      <c r="B833" s="114"/>
      <c r="C833" s="7"/>
      <c r="D833" s="114"/>
      <c r="E833" s="128"/>
      <c r="F833" s="128"/>
      <c r="G833" s="128"/>
      <c r="H833" s="114"/>
      <c r="I833" s="88"/>
      <c r="J833" s="114"/>
      <c r="K833" s="114"/>
      <c r="L833" s="114"/>
      <c r="M833" s="114"/>
      <c r="N833" s="118"/>
      <c r="O833" s="118"/>
      <c r="P833" s="118"/>
    </row>
    <row r="834" spans="1:16" ht="12.75">
      <c r="A834" s="114"/>
      <c r="B834" s="114"/>
      <c r="C834" s="7"/>
      <c r="D834" s="114"/>
      <c r="E834" s="128"/>
      <c r="F834" s="128"/>
      <c r="G834" s="128"/>
      <c r="H834" s="114"/>
      <c r="I834" s="88"/>
      <c r="J834" s="114"/>
      <c r="K834" s="114"/>
      <c r="L834" s="114"/>
      <c r="M834" s="114"/>
      <c r="N834" s="118"/>
      <c r="O834" s="118"/>
      <c r="P834" s="118"/>
    </row>
    <row r="835" spans="1:16" ht="12.75">
      <c r="A835" s="114"/>
      <c r="B835" s="114"/>
      <c r="C835" s="7"/>
      <c r="D835" s="114"/>
      <c r="E835" s="128"/>
      <c r="F835" s="128"/>
      <c r="G835" s="128"/>
      <c r="H835" s="114"/>
      <c r="I835" s="88"/>
      <c r="J835" s="114"/>
      <c r="K835" s="114"/>
      <c r="L835" s="114"/>
      <c r="M835" s="114"/>
      <c r="N835" s="118"/>
      <c r="O835" s="118"/>
      <c r="P835" s="118"/>
    </row>
    <row r="836" spans="1:16" ht="12.75">
      <c r="A836" s="114"/>
      <c r="B836" s="114"/>
      <c r="C836" s="7"/>
      <c r="D836" s="114"/>
      <c r="E836" s="128"/>
      <c r="F836" s="128"/>
      <c r="G836" s="128"/>
      <c r="H836" s="114"/>
      <c r="I836" s="88"/>
      <c r="J836" s="114"/>
      <c r="K836" s="114"/>
      <c r="L836" s="114"/>
      <c r="M836" s="114"/>
      <c r="N836" s="118"/>
      <c r="O836" s="118"/>
      <c r="P836" s="118"/>
    </row>
    <row r="837" spans="1:16" ht="12.75">
      <c r="A837" s="114"/>
      <c r="B837" s="114"/>
      <c r="C837" s="7"/>
      <c r="D837" s="114"/>
      <c r="E837" s="128"/>
      <c r="F837" s="128"/>
      <c r="G837" s="128"/>
      <c r="H837" s="114"/>
      <c r="I837" s="88"/>
      <c r="J837" s="114"/>
      <c r="K837" s="114"/>
      <c r="L837" s="114"/>
      <c r="M837" s="114"/>
      <c r="N837" s="118"/>
      <c r="O837" s="118"/>
      <c r="P837" s="118"/>
    </row>
    <row r="838" spans="1:16" ht="12.75">
      <c r="A838" s="114"/>
      <c r="B838" s="114"/>
      <c r="C838" s="7"/>
      <c r="D838" s="114"/>
      <c r="E838" s="128"/>
      <c r="F838" s="128"/>
      <c r="G838" s="128"/>
      <c r="H838" s="114"/>
      <c r="I838" s="88"/>
      <c r="J838" s="114"/>
      <c r="K838" s="114"/>
      <c r="L838" s="114"/>
      <c r="M838" s="114"/>
      <c r="N838" s="118"/>
      <c r="O838" s="118"/>
      <c r="P838" s="118"/>
    </row>
    <row r="839" spans="1:16" ht="12.75">
      <c r="A839" s="114"/>
      <c r="B839" s="114"/>
      <c r="C839" s="7"/>
      <c r="D839" s="114"/>
      <c r="E839" s="128"/>
      <c r="F839" s="128"/>
      <c r="G839" s="128"/>
      <c r="H839" s="114"/>
      <c r="I839" s="88"/>
      <c r="J839" s="114"/>
      <c r="K839" s="114"/>
      <c r="L839" s="114"/>
      <c r="M839" s="114"/>
      <c r="N839" s="118"/>
      <c r="O839" s="118"/>
      <c r="P839" s="118"/>
    </row>
    <row r="840" spans="1:16" ht="12.75">
      <c r="A840" s="114"/>
      <c r="B840" s="114"/>
      <c r="C840" s="7"/>
      <c r="D840" s="114"/>
      <c r="E840" s="128"/>
      <c r="F840" s="128"/>
      <c r="G840" s="128"/>
      <c r="H840" s="114"/>
      <c r="I840" s="88"/>
      <c r="J840" s="114"/>
      <c r="K840" s="114"/>
      <c r="L840" s="114"/>
      <c r="M840" s="114"/>
      <c r="N840" s="118"/>
      <c r="O840" s="118"/>
      <c r="P840" s="118"/>
    </row>
    <row r="841" spans="1:16" ht="12.75">
      <c r="A841" s="114"/>
      <c r="B841" s="114"/>
      <c r="C841" s="7"/>
      <c r="D841" s="114"/>
      <c r="E841" s="128"/>
      <c r="F841" s="128"/>
      <c r="G841" s="128"/>
      <c r="H841" s="114"/>
      <c r="I841" s="88"/>
      <c r="J841" s="114"/>
      <c r="K841" s="114"/>
      <c r="L841" s="114"/>
      <c r="M841" s="114"/>
      <c r="N841" s="118"/>
      <c r="O841" s="118"/>
      <c r="P841" s="118"/>
    </row>
    <row r="842" spans="1:16" ht="12.75">
      <c r="A842" s="114"/>
      <c r="B842" s="114"/>
      <c r="C842" s="7"/>
      <c r="D842" s="114"/>
      <c r="E842" s="128"/>
      <c r="F842" s="128"/>
      <c r="G842" s="128"/>
      <c r="H842" s="114"/>
      <c r="I842" s="88"/>
      <c r="J842" s="114"/>
      <c r="K842" s="114"/>
      <c r="L842" s="114"/>
      <c r="M842" s="114"/>
      <c r="N842" s="118"/>
      <c r="O842" s="118"/>
      <c r="P842" s="118"/>
    </row>
    <row r="843" spans="1:16" ht="12.75">
      <c r="A843" s="114"/>
      <c r="B843" s="114"/>
      <c r="C843" s="7"/>
      <c r="D843" s="114"/>
      <c r="E843" s="128"/>
      <c r="F843" s="128"/>
      <c r="G843" s="128"/>
      <c r="H843" s="114"/>
      <c r="I843" s="88"/>
      <c r="J843" s="114"/>
      <c r="K843" s="114"/>
      <c r="L843" s="114"/>
      <c r="M843" s="114"/>
      <c r="N843" s="118"/>
      <c r="O843" s="118"/>
      <c r="P843" s="118"/>
    </row>
    <row r="844" spans="1:16" ht="12.75">
      <c r="A844" s="114"/>
      <c r="B844" s="114"/>
      <c r="C844" s="7"/>
      <c r="D844" s="114"/>
      <c r="E844" s="128"/>
      <c r="F844" s="128"/>
      <c r="G844" s="128"/>
      <c r="H844" s="114"/>
      <c r="I844" s="88"/>
      <c r="J844" s="114"/>
      <c r="K844" s="114"/>
      <c r="L844" s="114"/>
      <c r="M844" s="114"/>
      <c r="N844" s="118"/>
      <c r="O844" s="118"/>
      <c r="P844" s="118"/>
    </row>
    <row r="845" spans="1:16" ht="12.75">
      <c r="A845" s="114"/>
      <c r="B845" s="114"/>
      <c r="C845" s="7"/>
      <c r="D845" s="114"/>
      <c r="E845" s="128"/>
      <c r="F845" s="128"/>
      <c r="G845" s="128"/>
      <c r="H845" s="114"/>
      <c r="I845" s="88"/>
      <c r="J845" s="114"/>
      <c r="K845" s="114"/>
      <c r="L845" s="114"/>
      <c r="M845" s="114"/>
      <c r="N845" s="118"/>
      <c r="O845" s="118"/>
      <c r="P845" s="118"/>
    </row>
    <row r="846" spans="1:16" ht="12.75">
      <c r="A846" s="114"/>
      <c r="B846" s="114"/>
      <c r="C846" s="7"/>
      <c r="D846" s="114"/>
      <c r="E846" s="128"/>
      <c r="F846" s="128"/>
      <c r="G846" s="128"/>
      <c r="H846" s="114"/>
      <c r="I846" s="88"/>
      <c r="J846" s="114"/>
      <c r="K846" s="114"/>
      <c r="L846" s="114"/>
      <c r="M846" s="114"/>
      <c r="N846" s="118"/>
      <c r="O846" s="118"/>
      <c r="P846" s="118"/>
    </row>
    <row r="847" spans="1:16" ht="12.75">
      <c r="A847" s="114"/>
      <c r="B847" s="114"/>
      <c r="C847" s="7"/>
      <c r="D847" s="114"/>
      <c r="E847" s="128"/>
      <c r="F847" s="128"/>
      <c r="G847" s="128"/>
      <c r="H847" s="114"/>
      <c r="I847" s="88"/>
      <c r="J847" s="114"/>
      <c r="K847" s="114"/>
      <c r="L847" s="114"/>
      <c r="M847" s="114"/>
      <c r="N847" s="118"/>
      <c r="O847" s="118"/>
      <c r="P847" s="118"/>
    </row>
    <row r="848" spans="1:16" ht="12.75">
      <c r="A848" s="114"/>
      <c r="B848" s="114"/>
      <c r="C848" s="7"/>
      <c r="D848" s="114"/>
      <c r="E848" s="128"/>
      <c r="F848" s="128"/>
      <c r="G848" s="128"/>
      <c r="H848" s="114"/>
      <c r="I848" s="88"/>
      <c r="J848" s="114"/>
      <c r="K848" s="114"/>
      <c r="L848" s="114"/>
      <c r="M848" s="114"/>
      <c r="N848" s="118"/>
      <c r="O848" s="118"/>
      <c r="P848" s="118"/>
    </row>
    <row r="849" spans="1:16" ht="12.75">
      <c r="A849" s="114"/>
      <c r="B849" s="114"/>
      <c r="C849" s="7"/>
      <c r="D849" s="114"/>
      <c r="E849" s="128"/>
      <c r="F849" s="128"/>
      <c r="G849" s="128"/>
      <c r="H849" s="114"/>
      <c r="I849" s="88"/>
      <c r="J849" s="114"/>
      <c r="K849" s="114"/>
      <c r="L849" s="114"/>
      <c r="M849" s="114"/>
      <c r="N849" s="118"/>
      <c r="O849" s="118"/>
      <c r="P849" s="118"/>
    </row>
    <row r="850" spans="1:16" ht="12.75">
      <c r="A850" s="114"/>
      <c r="B850" s="114"/>
      <c r="C850" s="7"/>
      <c r="D850" s="114"/>
      <c r="E850" s="128"/>
      <c r="F850" s="128"/>
      <c r="G850" s="128"/>
      <c r="H850" s="114"/>
      <c r="I850" s="88"/>
      <c r="J850" s="114"/>
      <c r="K850" s="114"/>
      <c r="L850" s="114"/>
      <c r="M850" s="114"/>
      <c r="N850" s="118"/>
      <c r="O850" s="118"/>
      <c r="P850" s="118"/>
    </row>
    <row r="851" spans="1:16" ht="12.75">
      <c r="A851" s="114"/>
      <c r="B851" s="114"/>
      <c r="C851" s="7"/>
      <c r="D851" s="114"/>
      <c r="E851" s="128"/>
      <c r="F851" s="128"/>
      <c r="G851" s="128"/>
      <c r="H851" s="114"/>
      <c r="I851" s="88"/>
      <c r="J851" s="114"/>
      <c r="K851" s="114"/>
      <c r="L851" s="114"/>
      <c r="M851" s="114"/>
      <c r="N851" s="118"/>
      <c r="O851" s="118"/>
      <c r="P851" s="118"/>
    </row>
    <row r="852" spans="1:16" ht="12.75">
      <c r="A852" s="114"/>
      <c r="B852" s="114"/>
      <c r="C852" s="7"/>
      <c r="D852" s="114"/>
      <c r="E852" s="128"/>
      <c r="F852" s="128"/>
      <c r="G852" s="128"/>
      <c r="H852" s="114"/>
      <c r="I852" s="88"/>
      <c r="J852" s="114"/>
      <c r="K852" s="114"/>
      <c r="L852" s="114"/>
      <c r="M852" s="114"/>
      <c r="N852" s="118"/>
      <c r="O852" s="118"/>
      <c r="P852" s="118"/>
    </row>
    <row r="853" spans="1:16" ht="12.75">
      <c r="A853" s="114"/>
      <c r="B853" s="114"/>
      <c r="C853" s="7"/>
      <c r="D853" s="114"/>
      <c r="E853" s="128"/>
      <c r="F853" s="128"/>
      <c r="G853" s="128"/>
      <c r="H853" s="114"/>
      <c r="I853" s="88"/>
      <c r="J853" s="114"/>
      <c r="K853" s="114"/>
      <c r="L853" s="114"/>
      <c r="M853" s="114"/>
      <c r="N853" s="118"/>
      <c r="O853" s="118"/>
      <c r="P853" s="118"/>
    </row>
    <row r="854" spans="1:16" ht="12.75">
      <c r="A854" s="114"/>
      <c r="B854" s="114"/>
      <c r="C854" s="7"/>
      <c r="D854" s="114"/>
      <c r="E854" s="128"/>
      <c r="F854" s="128"/>
      <c r="G854" s="128"/>
      <c r="H854" s="114"/>
      <c r="I854" s="88"/>
      <c r="J854" s="114"/>
      <c r="K854" s="114"/>
      <c r="L854" s="114"/>
      <c r="M854" s="114"/>
      <c r="N854" s="118"/>
      <c r="O854" s="118"/>
      <c r="P854" s="118"/>
    </row>
    <row r="855" spans="1:16" ht="12.75">
      <c r="A855" s="114"/>
      <c r="B855" s="114"/>
      <c r="C855" s="7"/>
      <c r="D855" s="114"/>
      <c r="E855" s="128"/>
      <c r="F855" s="128"/>
      <c r="G855" s="128"/>
      <c r="H855" s="114"/>
      <c r="I855" s="88"/>
      <c r="J855" s="114"/>
      <c r="K855" s="114"/>
      <c r="L855" s="114"/>
      <c r="M855" s="114"/>
      <c r="N855" s="118"/>
      <c r="O855" s="118"/>
      <c r="P855" s="118"/>
    </row>
    <row r="856" spans="1:16" ht="12.75">
      <c r="A856" s="114"/>
      <c r="B856" s="114"/>
      <c r="C856" s="7"/>
      <c r="D856" s="114"/>
      <c r="E856" s="128"/>
      <c r="F856" s="128"/>
      <c r="G856" s="128"/>
      <c r="H856" s="114"/>
      <c r="I856" s="88"/>
      <c r="J856" s="114"/>
      <c r="K856" s="114"/>
      <c r="L856" s="114"/>
      <c r="M856" s="114"/>
      <c r="N856" s="118"/>
      <c r="O856" s="118"/>
      <c r="P856" s="118"/>
    </row>
    <row r="857" spans="1:16" ht="12.75">
      <c r="A857" s="114"/>
      <c r="B857" s="114"/>
      <c r="C857" s="7"/>
      <c r="D857" s="114"/>
      <c r="E857" s="128"/>
      <c r="F857" s="128"/>
      <c r="G857" s="128"/>
      <c r="H857" s="114"/>
      <c r="I857" s="88"/>
      <c r="J857" s="114"/>
      <c r="K857" s="114"/>
      <c r="L857" s="114"/>
      <c r="M857" s="114"/>
      <c r="N857" s="118"/>
      <c r="O857" s="118"/>
      <c r="P857" s="118"/>
    </row>
    <row r="858" spans="1:16" ht="12.75">
      <c r="A858" s="114"/>
      <c r="B858" s="114"/>
      <c r="C858" s="7"/>
      <c r="D858" s="114"/>
      <c r="E858" s="128"/>
      <c r="F858" s="128"/>
      <c r="G858" s="128"/>
      <c r="H858" s="114"/>
      <c r="I858" s="88"/>
      <c r="J858" s="114"/>
      <c r="K858" s="114"/>
      <c r="L858" s="114"/>
      <c r="M858" s="114"/>
      <c r="N858" s="118"/>
      <c r="O858" s="118"/>
      <c r="P858" s="118"/>
    </row>
    <row r="859" spans="1:16" ht="12.75">
      <c r="A859" s="114"/>
      <c r="B859" s="114"/>
      <c r="C859" s="7"/>
      <c r="D859" s="114"/>
      <c r="E859" s="128"/>
      <c r="F859" s="128"/>
      <c r="G859" s="128"/>
      <c r="H859" s="114"/>
      <c r="I859" s="88"/>
      <c r="J859" s="114"/>
      <c r="K859" s="114"/>
      <c r="L859" s="114"/>
      <c r="M859" s="114"/>
      <c r="N859" s="118"/>
      <c r="O859" s="118"/>
      <c r="P859" s="118"/>
    </row>
    <row r="860" spans="1:16" ht="12.75">
      <c r="A860" s="114"/>
      <c r="B860" s="114"/>
      <c r="C860" s="7"/>
      <c r="D860" s="114"/>
      <c r="E860" s="128"/>
      <c r="F860" s="128"/>
      <c r="G860" s="128"/>
      <c r="H860" s="114"/>
      <c r="I860" s="88"/>
      <c r="J860" s="114"/>
      <c r="K860" s="114"/>
      <c r="L860" s="114"/>
      <c r="M860" s="114"/>
      <c r="N860" s="118"/>
      <c r="O860" s="118"/>
      <c r="P860" s="118"/>
    </row>
    <row r="861" spans="1:16" ht="12.75">
      <c r="A861" s="114"/>
      <c r="B861" s="114"/>
      <c r="C861" s="7"/>
      <c r="D861" s="114"/>
      <c r="E861" s="128"/>
      <c r="F861" s="128"/>
      <c r="G861" s="128"/>
      <c r="H861" s="114"/>
      <c r="I861" s="88"/>
      <c r="J861" s="114"/>
      <c r="K861" s="114"/>
      <c r="L861" s="114"/>
      <c r="M861" s="114"/>
      <c r="N861" s="118"/>
      <c r="O861" s="118"/>
      <c r="P861" s="118"/>
    </row>
    <row r="862" spans="1:16" ht="12.75">
      <c r="A862" s="114"/>
      <c r="B862" s="114"/>
      <c r="C862" s="7"/>
      <c r="D862" s="114"/>
      <c r="E862" s="128"/>
      <c r="F862" s="128"/>
      <c r="G862" s="128"/>
      <c r="H862" s="114"/>
      <c r="I862" s="88"/>
      <c r="J862" s="114"/>
      <c r="K862" s="114"/>
      <c r="L862" s="114"/>
      <c r="M862" s="114"/>
      <c r="N862" s="118"/>
      <c r="O862" s="118"/>
      <c r="P862" s="118"/>
    </row>
    <row r="863" spans="1:16" ht="12.75">
      <c r="A863" s="114"/>
      <c r="B863" s="114"/>
      <c r="C863" s="7"/>
      <c r="D863" s="114"/>
      <c r="E863" s="128"/>
      <c r="F863" s="128"/>
      <c r="G863" s="128"/>
      <c r="H863" s="114"/>
      <c r="I863" s="88"/>
      <c r="J863" s="114"/>
      <c r="K863" s="114"/>
      <c r="L863" s="114"/>
      <c r="M863" s="114"/>
      <c r="N863" s="118"/>
      <c r="O863" s="118"/>
      <c r="P863" s="118"/>
    </row>
    <row r="864" spans="1:16" ht="12.75">
      <c r="A864" s="114"/>
      <c r="B864" s="114"/>
      <c r="C864" s="7"/>
      <c r="D864" s="114"/>
      <c r="E864" s="128"/>
      <c r="F864" s="128"/>
      <c r="G864" s="128"/>
      <c r="H864" s="114"/>
      <c r="I864" s="88"/>
      <c r="J864" s="114"/>
      <c r="K864" s="114"/>
      <c r="L864" s="114"/>
      <c r="M864" s="114"/>
      <c r="N864" s="118"/>
      <c r="O864" s="118"/>
      <c r="P864" s="118"/>
    </row>
    <row r="865" spans="1:16" ht="12.75">
      <c r="A865" s="114"/>
      <c r="B865" s="114"/>
      <c r="C865" s="7"/>
      <c r="D865" s="114"/>
      <c r="E865" s="128"/>
      <c r="F865" s="128"/>
      <c r="G865" s="128"/>
      <c r="H865" s="114"/>
      <c r="I865" s="88"/>
      <c r="J865" s="114"/>
      <c r="K865" s="114"/>
      <c r="L865" s="114"/>
      <c r="M865" s="114"/>
      <c r="N865" s="118"/>
      <c r="O865" s="118"/>
      <c r="P865" s="118"/>
    </row>
    <row r="866" spans="1:16" ht="12.75">
      <c r="A866" s="114"/>
      <c r="B866" s="114"/>
      <c r="C866" s="7"/>
      <c r="D866" s="114"/>
      <c r="E866" s="128"/>
      <c r="F866" s="128"/>
      <c r="G866" s="128"/>
      <c r="H866" s="114"/>
      <c r="I866" s="88"/>
      <c r="J866" s="114"/>
      <c r="K866" s="114"/>
      <c r="L866" s="114"/>
      <c r="M866" s="114"/>
      <c r="N866" s="118"/>
      <c r="O866" s="118"/>
      <c r="P866" s="118"/>
    </row>
    <row r="867" spans="1:16" ht="12.75">
      <c r="A867" s="114"/>
      <c r="B867" s="114"/>
      <c r="C867" s="7"/>
      <c r="D867" s="114"/>
      <c r="E867" s="128"/>
      <c r="F867" s="128"/>
      <c r="G867" s="128"/>
      <c r="H867" s="114"/>
      <c r="I867" s="88"/>
      <c r="J867" s="114"/>
      <c r="K867" s="114"/>
      <c r="L867" s="114"/>
      <c r="M867" s="114"/>
      <c r="N867" s="118"/>
      <c r="O867" s="118"/>
      <c r="P867" s="118"/>
    </row>
    <row r="868" spans="1:16" ht="12.75">
      <c r="A868" s="114"/>
      <c r="B868" s="114"/>
      <c r="C868" s="7"/>
      <c r="D868" s="114"/>
      <c r="E868" s="128"/>
      <c r="F868" s="128"/>
      <c r="G868" s="128"/>
      <c r="H868" s="114"/>
      <c r="I868" s="88"/>
      <c r="J868" s="114"/>
      <c r="K868" s="114"/>
      <c r="L868" s="114"/>
      <c r="M868" s="114"/>
      <c r="N868" s="118"/>
      <c r="O868" s="118"/>
      <c r="P868" s="118"/>
    </row>
    <row r="869" spans="1:16" ht="12.75">
      <c r="A869" s="114"/>
      <c r="B869" s="114"/>
      <c r="C869" s="7"/>
      <c r="D869" s="114"/>
      <c r="E869" s="128"/>
      <c r="F869" s="128"/>
      <c r="G869" s="128"/>
      <c r="H869" s="114"/>
      <c r="I869" s="88"/>
      <c r="J869" s="114"/>
      <c r="K869" s="114"/>
      <c r="L869" s="114"/>
      <c r="M869" s="114"/>
      <c r="N869" s="118"/>
      <c r="O869" s="118"/>
      <c r="P869" s="118"/>
    </row>
    <row r="870" spans="1:16" ht="12.75">
      <c r="A870" s="114"/>
      <c r="B870" s="114"/>
      <c r="C870" s="7"/>
      <c r="D870" s="114"/>
      <c r="E870" s="128"/>
      <c r="F870" s="128"/>
      <c r="G870" s="128"/>
      <c r="H870" s="114"/>
      <c r="I870" s="88"/>
      <c r="J870" s="114"/>
      <c r="K870" s="114"/>
      <c r="L870" s="114"/>
      <c r="M870" s="114"/>
      <c r="N870" s="118"/>
      <c r="O870" s="118"/>
      <c r="P870" s="118"/>
    </row>
    <row r="871" spans="1:16" ht="12.75">
      <c r="A871" s="114"/>
      <c r="B871" s="114"/>
      <c r="C871" s="7"/>
      <c r="D871" s="114"/>
      <c r="E871" s="128"/>
      <c r="F871" s="128"/>
      <c r="G871" s="128"/>
      <c r="H871" s="114"/>
      <c r="I871" s="88"/>
      <c r="J871" s="114"/>
      <c r="K871" s="114"/>
      <c r="L871" s="114"/>
      <c r="M871" s="114"/>
      <c r="N871" s="118"/>
      <c r="O871" s="118"/>
      <c r="P871" s="118"/>
    </row>
    <row r="872" spans="1:16" ht="12.75">
      <c r="A872" s="114"/>
      <c r="B872" s="114"/>
      <c r="C872" s="7"/>
      <c r="D872" s="114"/>
      <c r="E872" s="128"/>
      <c r="F872" s="128"/>
      <c r="G872" s="128"/>
      <c r="H872" s="114"/>
      <c r="I872" s="88"/>
      <c r="J872" s="114"/>
      <c r="K872" s="114"/>
      <c r="L872" s="114"/>
      <c r="M872" s="114"/>
      <c r="N872" s="118"/>
      <c r="O872" s="118"/>
      <c r="P872" s="118"/>
    </row>
    <row r="873" spans="1:16" ht="12.75">
      <c r="A873" s="114"/>
      <c r="B873" s="114"/>
      <c r="C873" s="7"/>
      <c r="D873" s="114"/>
      <c r="E873" s="128"/>
      <c r="F873" s="128"/>
      <c r="G873" s="128"/>
      <c r="H873" s="114"/>
      <c r="I873" s="88"/>
      <c r="J873" s="114"/>
      <c r="K873" s="114"/>
      <c r="L873" s="114"/>
      <c r="M873" s="114"/>
      <c r="N873" s="118"/>
      <c r="O873" s="118"/>
      <c r="P873" s="118"/>
    </row>
    <row r="874" spans="1:16" ht="12.75">
      <c r="A874" s="114"/>
      <c r="B874" s="114"/>
      <c r="C874" s="7"/>
      <c r="D874" s="114"/>
      <c r="E874" s="128"/>
      <c r="F874" s="128"/>
      <c r="G874" s="128"/>
      <c r="H874" s="114"/>
      <c r="I874" s="88"/>
      <c r="J874" s="114"/>
      <c r="K874" s="114"/>
      <c r="L874" s="114"/>
      <c r="M874" s="114"/>
      <c r="N874" s="118"/>
      <c r="O874" s="118"/>
      <c r="P874" s="118"/>
    </row>
    <row r="875" spans="1:16" ht="12.75">
      <c r="A875" s="114"/>
      <c r="B875" s="114"/>
      <c r="C875" s="7"/>
      <c r="D875" s="114"/>
      <c r="E875" s="128"/>
      <c r="F875" s="128"/>
      <c r="G875" s="128"/>
      <c r="H875" s="114"/>
      <c r="I875" s="88"/>
      <c r="J875" s="114"/>
      <c r="K875" s="114"/>
      <c r="L875" s="114"/>
      <c r="M875" s="114"/>
      <c r="N875" s="118"/>
      <c r="O875" s="118"/>
      <c r="P875" s="118"/>
    </row>
    <row r="876" spans="1:16" ht="12.75">
      <c r="A876" s="114"/>
      <c r="B876" s="114"/>
      <c r="C876" s="7"/>
      <c r="D876" s="114"/>
      <c r="E876" s="128"/>
      <c r="F876" s="128"/>
      <c r="G876" s="128"/>
      <c r="H876" s="114"/>
      <c r="I876" s="88"/>
      <c r="J876" s="114"/>
      <c r="K876" s="114"/>
      <c r="L876" s="114"/>
      <c r="M876" s="114"/>
      <c r="N876" s="118"/>
      <c r="O876" s="118"/>
      <c r="P876" s="118"/>
    </row>
    <row r="877" spans="1:16" ht="12.75">
      <c r="A877" s="114"/>
      <c r="B877" s="114"/>
      <c r="C877" s="7"/>
      <c r="D877" s="114"/>
      <c r="E877" s="128"/>
      <c r="F877" s="128"/>
      <c r="G877" s="128"/>
      <c r="H877" s="114"/>
      <c r="I877" s="88"/>
      <c r="J877" s="114"/>
      <c r="K877" s="114"/>
      <c r="L877" s="114"/>
      <c r="M877" s="114"/>
      <c r="N877" s="118"/>
      <c r="O877" s="118"/>
      <c r="P877" s="118"/>
    </row>
    <row r="878" spans="1:16" ht="12.75">
      <c r="A878" s="114"/>
      <c r="B878" s="114"/>
      <c r="C878" s="7"/>
      <c r="D878" s="114"/>
      <c r="E878" s="128"/>
      <c r="F878" s="128"/>
      <c r="G878" s="128"/>
      <c r="H878" s="114"/>
      <c r="I878" s="88"/>
      <c r="J878" s="114"/>
      <c r="K878" s="114"/>
      <c r="L878" s="114"/>
      <c r="M878" s="114"/>
      <c r="N878" s="118"/>
      <c r="O878" s="118"/>
      <c r="P878" s="118"/>
    </row>
    <row r="879" spans="1:16" ht="12.75">
      <c r="A879" s="114"/>
      <c r="B879" s="114"/>
      <c r="C879" s="7"/>
      <c r="D879" s="114"/>
      <c r="E879" s="128"/>
      <c r="F879" s="128"/>
      <c r="G879" s="128"/>
      <c r="H879" s="114"/>
      <c r="I879" s="88"/>
      <c r="J879" s="114"/>
      <c r="K879" s="114"/>
      <c r="L879" s="114"/>
      <c r="M879" s="114"/>
      <c r="N879" s="118"/>
      <c r="O879" s="118"/>
      <c r="P879" s="118"/>
    </row>
    <row r="880" spans="1:16" ht="12.75">
      <c r="A880" s="114"/>
      <c r="B880" s="114"/>
      <c r="C880" s="7"/>
      <c r="D880" s="114"/>
      <c r="E880" s="128"/>
      <c r="F880" s="128"/>
      <c r="G880" s="128"/>
      <c r="H880" s="114"/>
      <c r="I880" s="88"/>
      <c r="J880" s="114"/>
      <c r="K880" s="114"/>
      <c r="L880" s="114"/>
      <c r="M880" s="114"/>
      <c r="N880" s="118"/>
      <c r="O880" s="118"/>
      <c r="P880" s="118"/>
    </row>
    <row r="881" spans="1:16" ht="12.75">
      <c r="A881" s="114"/>
      <c r="B881" s="114"/>
      <c r="C881" s="7"/>
      <c r="D881" s="114"/>
      <c r="E881" s="128"/>
      <c r="F881" s="128"/>
      <c r="G881" s="128"/>
      <c r="H881" s="114"/>
      <c r="I881" s="88"/>
      <c r="J881" s="114"/>
      <c r="K881" s="114"/>
      <c r="L881" s="114"/>
      <c r="M881" s="114"/>
      <c r="N881" s="118"/>
      <c r="O881" s="118"/>
      <c r="P881" s="118"/>
    </row>
    <row r="882" spans="1:16" ht="12.75">
      <c r="A882" s="114"/>
      <c r="B882" s="114"/>
      <c r="C882" s="7"/>
      <c r="D882" s="114"/>
      <c r="E882" s="128"/>
      <c r="F882" s="128"/>
      <c r="G882" s="128"/>
      <c r="H882" s="114"/>
      <c r="I882" s="88"/>
      <c r="J882" s="114"/>
      <c r="K882" s="114"/>
      <c r="L882" s="114"/>
      <c r="M882" s="114"/>
      <c r="N882" s="118"/>
      <c r="O882" s="118"/>
      <c r="P882" s="118"/>
    </row>
    <row r="883" spans="1:16" ht="12.75">
      <c r="A883" s="114"/>
      <c r="B883" s="114"/>
      <c r="C883" s="7"/>
      <c r="D883" s="114"/>
      <c r="E883" s="128"/>
      <c r="F883" s="128"/>
      <c r="G883" s="128"/>
      <c r="H883" s="114"/>
      <c r="I883" s="88"/>
      <c r="J883" s="114"/>
      <c r="K883" s="114"/>
      <c r="L883" s="114"/>
      <c r="M883" s="114"/>
      <c r="N883" s="118"/>
      <c r="O883" s="118"/>
      <c r="P883" s="118"/>
    </row>
    <row r="884" spans="1:16" ht="12.75">
      <c r="A884" s="114"/>
      <c r="B884" s="114"/>
      <c r="C884" s="7"/>
      <c r="D884" s="114"/>
      <c r="E884" s="128"/>
      <c r="F884" s="128"/>
      <c r="G884" s="128"/>
      <c r="H884" s="114"/>
      <c r="I884" s="88"/>
      <c r="J884" s="114"/>
      <c r="K884" s="114"/>
      <c r="L884" s="114"/>
      <c r="M884" s="114"/>
      <c r="N884" s="118"/>
      <c r="O884" s="118"/>
      <c r="P884" s="118"/>
    </row>
    <row r="885" spans="1:16" ht="12.75">
      <c r="A885" s="114"/>
      <c r="B885" s="114"/>
      <c r="C885" s="7"/>
      <c r="D885" s="114"/>
      <c r="E885" s="128"/>
      <c r="F885" s="128"/>
      <c r="G885" s="128"/>
      <c r="H885" s="114"/>
      <c r="I885" s="88"/>
      <c r="J885" s="114"/>
      <c r="K885" s="114"/>
      <c r="L885" s="114"/>
      <c r="M885" s="114"/>
      <c r="N885" s="118"/>
      <c r="O885" s="118"/>
      <c r="P885" s="118"/>
    </row>
    <row r="886" spans="1:16" ht="12.75">
      <c r="A886" s="114"/>
      <c r="B886" s="114"/>
      <c r="C886" s="7"/>
      <c r="D886" s="114"/>
      <c r="E886" s="128"/>
      <c r="F886" s="128"/>
      <c r="G886" s="128"/>
      <c r="H886" s="114"/>
      <c r="I886" s="88"/>
      <c r="J886" s="114"/>
      <c r="K886" s="114"/>
      <c r="L886" s="114"/>
      <c r="M886" s="114"/>
      <c r="N886" s="118"/>
      <c r="O886" s="118"/>
      <c r="P886" s="118"/>
    </row>
    <row r="887" spans="1:16" ht="12.75">
      <c r="A887" s="114"/>
      <c r="B887" s="114"/>
      <c r="C887" s="7"/>
      <c r="D887" s="114"/>
      <c r="E887" s="128"/>
      <c r="F887" s="128"/>
      <c r="G887" s="128"/>
      <c r="H887" s="114"/>
      <c r="I887" s="88"/>
      <c r="J887" s="114"/>
      <c r="K887" s="114"/>
      <c r="L887" s="114"/>
      <c r="M887" s="114"/>
      <c r="N887" s="118"/>
      <c r="O887" s="118"/>
      <c r="P887" s="118"/>
    </row>
    <row r="888" spans="1:16" ht="12.75">
      <c r="A888" s="114"/>
      <c r="B888" s="114"/>
      <c r="C888" s="7"/>
      <c r="D888" s="114"/>
      <c r="E888" s="128"/>
      <c r="F888" s="128"/>
      <c r="G888" s="128"/>
      <c r="H888" s="114"/>
      <c r="I888" s="88"/>
      <c r="J888" s="114"/>
      <c r="K888" s="114"/>
      <c r="L888" s="114"/>
      <c r="M888" s="114"/>
      <c r="N888" s="118"/>
      <c r="O888" s="118"/>
      <c r="P888" s="118"/>
    </row>
    <row r="889" spans="1:16" ht="12.75">
      <c r="A889" s="114"/>
      <c r="B889" s="114"/>
      <c r="C889" s="7"/>
      <c r="D889" s="114"/>
      <c r="E889" s="128"/>
      <c r="F889" s="128"/>
      <c r="G889" s="128"/>
      <c r="H889" s="114"/>
      <c r="I889" s="88"/>
      <c r="J889" s="114"/>
      <c r="K889" s="114"/>
      <c r="L889" s="114"/>
      <c r="M889" s="114"/>
      <c r="N889" s="118"/>
      <c r="O889" s="118"/>
      <c r="P889" s="118"/>
    </row>
    <row r="890" spans="1:16" ht="12.75">
      <c r="A890" s="114"/>
      <c r="B890" s="114"/>
      <c r="C890" s="7"/>
      <c r="D890" s="114"/>
      <c r="E890" s="128"/>
      <c r="F890" s="128"/>
      <c r="G890" s="128"/>
      <c r="H890" s="114"/>
      <c r="I890" s="88"/>
      <c r="J890" s="114"/>
      <c r="K890" s="114"/>
      <c r="L890" s="114"/>
      <c r="M890" s="114"/>
      <c r="N890" s="118"/>
      <c r="O890" s="118"/>
      <c r="P890" s="118"/>
    </row>
    <row r="891" spans="1:16" ht="12.75">
      <c r="A891" s="114"/>
      <c r="B891" s="114"/>
      <c r="C891" s="7"/>
      <c r="D891" s="114"/>
      <c r="E891" s="128"/>
      <c r="F891" s="128"/>
      <c r="G891" s="128"/>
      <c r="H891" s="114"/>
      <c r="I891" s="88"/>
      <c r="J891" s="114"/>
      <c r="K891" s="114"/>
      <c r="L891" s="114"/>
      <c r="M891" s="114"/>
      <c r="N891" s="118"/>
      <c r="O891" s="118"/>
      <c r="P891" s="118"/>
    </row>
    <row r="892" spans="1:16" ht="12.75">
      <c r="A892" s="114"/>
      <c r="B892" s="114"/>
      <c r="C892" s="7"/>
      <c r="D892" s="114"/>
      <c r="E892" s="128"/>
      <c r="F892" s="128"/>
      <c r="G892" s="128"/>
      <c r="H892" s="114"/>
      <c r="I892" s="88"/>
      <c r="J892" s="114"/>
      <c r="K892" s="114"/>
      <c r="L892" s="114"/>
      <c r="M892" s="114"/>
      <c r="N892" s="118"/>
      <c r="O892" s="118"/>
      <c r="P892" s="118"/>
    </row>
    <row r="893" spans="1:16" ht="12.75">
      <c r="A893" s="114"/>
      <c r="B893" s="114"/>
      <c r="C893" s="7"/>
      <c r="D893" s="114"/>
      <c r="E893" s="128"/>
      <c r="F893" s="128"/>
      <c r="G893" s="128"/>
      <c r="H893" s="114"/>
      <c r="I893" s="88"/>
      <c r="J893" s="114"/>
      <c r="K893" s="114"/>
      <c r="L893" s="114"/>
      <c r="M893" s="114"/>
      <c r="N893" s="118"/>
      <c r="O893" s="118"/>
      <c r="P893" s="118"/>
    </row>
    <row r="894" spans="1:16" ht="12.75">
      <c r="A894" s="114"/>
      <c r="B894" s="114"/>
      <c r="C894" s="7"/>
      <c r="D894" s="114"/>
      <c r="E894" s="128"/>
      <c r="F894" s="128"/>
      <c r="G894" s="128"/>
      <c r="H894" s="114"/>
      <c r="I894" s="88"/>
      <c r="J894" s="114"/>
      <c r="K894" s="114"/>
      <c r="L894" s="114"/>
      <c r="M894" s="114"/>
      <c r="N894" s="118"/>
      <c r="O894" s="118"/>
      <c r="P894" s="118"/>
    </row>
    <row r="895" spans="1:16" ht="12.75">
      <c r="A895" s="114"/>
      <c r="B895" s="114"/>
      <c r="C895" s="7"/>
      <c r="D895" s="114"/>
      <c r="E895" s="128"/>
      <c r="F895" s="128"/>
      <c r="G895" s="128"/>
      <c r="H895" s="114"/>
      <c r="I895" s="88"/>
      <c r="J895" s="114"/>
      <c r="K895" s="114"/>
      <c r="L895" s="114"/>
      <c r="M895" s="114"/>
      <c r="N895" s="118"/>
      <c r="O895" s="118"/>
      <c r="P895" s="118"/>
    </row>
    <row r="896" spans="1:16" ht="12.75">
      <c r="A896" s="114"/>
      <c r="B896" s="114"/>
      <c r="C896" s="7"/>
      <c r="D896" s="114"/>
      <c r="E896" s="128"/>
      <c r="F896" s="128"/>
      <c r="G896" s="128"/>
      <c r="H896" s="114"/>
      <c r="I896" s="88"/>
      <c r="J896" s="114"/>
      <c r="K896" s="114"/>
      <c r="L896" s="114"/>
      <c r="M896" s="114"/>
      <c r="N896" s="118"/>
      <c r="O896" s="118"/>
      <c r="P896" s="118"/>
    </row>
    <row r="897" spans="1:16" ht="12.75">
      <c r="A897" s="114"/>
      <c r="B897" s="114"/>
      <c r="C897" s="7"/>
      <c r="D897" s="114"/>
      <c r="E897" s="128"/>
      <c r="F897" s="128"/>
      <c r="G897" s="128"/>
      <c r="H897" s="114"/>
      <c r="I897" s="88"/>
      <c r="J897" s="114"/>
      <c r="K897" s="114"/>
      <c r="L897" s="114"/>
      <c r="M897" s="114"/>
      <c r="N897" s="118"/>
      <c r="O897" s="118"/>
      <c r="P897" s="118"/>
    </row>
    <row r="898" spans="1:16" ht="12.75">
      <c r="A898" s="114"/>
      <c r="B898" s="114"/>
      <c r="C898" s="7"/>
      <c r="D898" s="114"/>
      <c r="E898" s="128"/>
      <c r="F898" s="128"/>
      <c r="G898" s="128"/>
      <c r="H898" s="114"/>
      <c r="I898" s="88"/>
      <c r="J898" s="114"/>
      <c r="K898" s="114"/>
      <c r="L898" s="114"/>
      <c r="M898" s="114"/>
      <c r="N898" s="118"/>
      <c r="O898" s="118"/>
      <c r="P898" s="118"/>
    </row>
    <row r="899" spans="1:16" ht="12.75">
      <c r="A899" s="114"/>
      <c r="B899" s="114"/>
      <c r="C899" s="7"/>
      <c r="D899" s="114"/>
      <c r="E899" s="128"/>
      <c r="F899" s="128"/>
      <c r="G899" s="128"/>
      <c r="H899" s="114"/>
      <c r="I899" s="88"/>
      <c r="J899" s="114"/>
      <c r="K899" s="114"/>
      <c r="L899" s="114"/>
      <c r="M899" s="114"/>
      <c r="N899" s="118"/>
      <c r="O899" s="118"/>
      <c r="P899" s="118"/>
    </row>
    <row r="900" spans="1:16" ht="12.75">
      <c r="A900" s="114"/>
      <c r="B900" s="114"/>
      <c r="C900" s="7"/>
      <c r="D900" s="114"/>
      <c r="E900" s="128"/>
      <c r="F900" s="128"/>
      <c r="G900" s="128"/>
      <c r="H900" s="114"/>
      <c r="I900" s="88"/>
      <c r="J900" s="114"/>
      <c r="K900" s="114"/>
      <c r="L900" s="114"/>
      <c r="M900" s="114"/>
      <c r="N900" s="118"/>
      <c r="O900" s="118"/>
      <c r="P900" s="118"/>
    </row>
    <row r="901" spans="1:16" ht="12.75">
      <c r="A901" s="114"/>
      <c r="B901" s="114"/>
      <c r="C901" s="7"/>
      <c r="D901" s="114"/>
      <c r="E901" s="128"/>
      <c r="F901" s="128"/>
      <c r="G901" s="128"/>
      <c r="H901" s="114"/>
      <c r="I901" s="88"/>
      <c r="J901" s="114"/>
      <c r="K901" s="114"/>
      <c r="L901" s="114"/>
      <c r="M901" s="114"/>
      <c r="N901" s="118"/>
      <c r="O901" s="118"/>
      <c r="P901" s="118"/>
    </row>
    <row r="902" spans="1:16" ht="12.75">
      <c r="A902" s="114"/>
      <c r="B902" s="114"/>
      <c r="C902" s="7"/>
      <c r="D902" s="114"/>
      <c r="E902" s="128"/>
      <c r="F902" s="128"/>
      <c r="G902" s="128"/>
      <c r="H902" s="114"/>
      <c r="I902" s="88"/>
      <c r="J902" s="114"/>
      <c r="K902" s="114"/>
      <c r="L902" s="114"/>
      <c r="M902" s="114"/>
      <c r="N902" s="118"/>
      <c r="O902" s="118"/>
      <c r="P902" s="118"/>
    </row>
    <row r="903" spans="1:16" ht="12.75">
      <c r="A903" s="114"/>
      <c r="B903" s="114"/>
      <c r="C903" s="7"/>
      <c r="D903" s="114"/>
      <c r="E903" s="128"/>
      <c r="F903" s="128"/>
      <c r="G903" s="128"/>
      <c r="H903" s="114"/>
      <c r="I903" s="88"/>
      <c r="J903" s="114"/>
      <c r="K903" s="114"/>
      <c r="L903" s="114"/>
      <c r="M903" s="114"/>
      <c r="N903" s="118"/>
      <c r="O903" s="118"/>
      <c r="P903" s="118"/>
    </row>
    <row r="904" spans="1:16" ht="12.75">
      <c r="A904" s="114"/>
      <c r="B904" s="114"/>
      <c r="C904" s="7"/>
      <c r="D904" s="114"/>
      <c r="E904" s="128"/>
      <c r="F904" s="128"/>
      <c r="G904" s="128"/>
      <c r="H904" s="114"/>
      <c r="I904" s="88"/>
      <c r="J904" s="114"/>
      <c r="K904" s="114"/>
      <c r="L904" s="114"/>
      <c r="M904" s="114"/>
      <c r="N904" s="118"/>
      <c r="O904" s="118"/>
      <c r="P904" s="118"/>
    </row>
    <row r="905" spans="1:16" ht="12.75">
      <c r="A905" s="114"/>
      <c r="B905" s="114"/>
      <c r="C905" s="7"/>
      <c r="D905" s="114"/>
      <c r="E905" s="128"/>
      <c r="F905" s="128"/>
      <c r="G905" s="128"/>
      <c r="H905" s="114"/>
      <c r="I905" s="88"/>
      <c r="J905" s="114"/>
      <c r="K905" s="114"/>
      <c r="L905" s="114"/>
      <c r="M905" s="114"/>
      <c r="N905" s="118"/>
      <c r="O905" s="118"/>
      <c r="P905" s="118"/>
    </row>
    <row r="906" spans="1:16" ht="12.75">
      <c r="A906" s="114"/>
      <c r="B906" s="114"/>
      <c r="C906" s="7"/>
      <c r="D906" s="114"/>
      <c r="E906" s="128"/>
      <c r="F906" s="128"/>
      <c r="G906" s="128"/>
      <c r="H906" s="114"/>
      <c r="I906" s="88"/>
      <c r="J906" s="114"/>
      <c r="K906" s="114"/>
      <c r="L906" s="114"/>
      <c r="M906" s="114"/>
      <c r="N906" s="118"/>
      <c r="O906" s="118"/>
      <c r="P906" s="118"/>
    </row>
    <row r="907" spans="1:16" ht="12.75">
      <c r="A907" s="114"/>
      <c r="B907" s="114"/>
      <c r="C907" s="7"/>
      <c r="D907" s="114"/>
      <c r="E907" s="128"/>
      <c r="F907" s="128"/>
      <c r="G907" s="128"/>
      <c r="H907" s="114"/>
      <c r="I907" s="88"/>
      <c r="J907" s="114"/>
      <c r="K907" s="114"/>
      <c r="L907" s="114"/>
      <c r="M907" s="114"/>
      <c r="N907" s="118"/>
      <c r="O907" s="118"/>
      <c r="P907" s="118"/>
    </row>
    <row r="908" spans="1:16" ht="12.75">
      <c r="A908" s="114"/>
      <c r="B908" s="114"/>
      <c r="C908" s="7"/>
      <c r="D908" s="114"/>
      <c r="E908" s="128"/>
      <c r="F908" s="128"/>
      <c r="G908" s="128"/>
      <c r="H908" s="114"/>
      <c r="I908" s="88"/>
      <c r="J908" s="114"/>
      <c r="K908" s="114"/>
      <c r="L908" s="114"/>
      <c r="M908" s="114"/>
      <c r="N908" s="118"/>
      <c r="O908" s="118"/>
      <c r="P908" s="118"/>
    </row>
    <row r="909" spans="1:16" ht="12.75">
      <c r="A909" s="114"/>
      <c r="B909" s="114"/>
      <c r="C909" s="7"/>
      <c r="D909" s="114"/>
      <c r="E909" s="128"/>
      <c r="F909" s="128"/>
      <c r="G909" s="128"/>
      <c r="H909" s="114"/>
      <c r="I909" s="88"/>
      <c r="J909" s="114"/>
      <c r="K909" s="114"/>
      <c r="L909" s="114"/>
      <c r="M909" s="114"/>
      <c r="N909" s="118"/>
      <c r="O909" s="118"/>
      <c r="P909" s="118"/>
    </row>
    <row r="910" spans="1:16" ht="12.75">
      <c r="A910" s="114"/>
      <c r="B910" s="114"/>
      <c r="C910" s="7"/>
      <c r="D910" s="114"/>
      <c r="E910" s="128"/>
      <c r="F910" s="128"/>
      <c r="G910" s="128"/>
      <c r="H910" s="114"/>
      <c r="I910" s="88"/>
      <c r="J910" s="114"/>
      <c r="K910" s="114"/>
      <c r="L910" s="114"/>
      <c r="M910" s="114"/>
      <c r="N910" s="118"/>
      <c r="O910" s="118"/>
      <c r="P910" s="118"/>
    </row>
    <row r="911" spans="1:16" ht="12.75">
      <c r="A911" s="114"/>
      <c r="B911" s="114"/>
      <c r="C911" s="7"/>
      <c r="D911" s="114"/>
      <c r="E911" s="128"/>
      <c r="F911" s="128"/>
      <c r="G911" s="128"/>
      <c r="H911" s="114"/>
      <c r="I911" s="88"/>
      <c r="J911" s="114"/>
      <c r="K911" s="114"/>
      <c r="L911" s="114"/>
      <c r="M911" s="114"/>
      <c r="N911" s="118"/>
      <c r="O911" s="118"/>
      <c r="P911" s="118"/>
    </row>
    <row r="912" spans="1:16" ht="12.75">
      <c r="A912" s="114"/>
      <c r="B912" s="114"/>
      <c r="C912" s="7"/>
      <c r="D912" s="114"/>
      <c r="E912" s="128"/>
      <c r="F912" s="128"/>
      <c r="G912" s="128"/>
      <c r="H912" s="114"/>
      <c r="I912" s="88"/>
      <c r="J912" s="114"/>
      <c r="K912" s="114"/>
      <c r="L912" s="114"/>
      <c r="M912" s="114"/>
      <c r="N912" s="118"/>
      <c r="O912" s="118"/>
      <c r="P912" s="118"/>
    </row>
    <row r="913" spans="1:16" ht="12.75">
      <c r="A913" s="114"/>
      <c r="B913" s="114"/>
      <c r="C913" s="7"/>
      <c r="D913" s="114"/>
      <c r="E913" s="128"/>
      <c r="F913" s="128"/>
      <c r="G913" s="128"/>
      <c r="H913" s="114"/>
      <c r="I913" s="88"/>
      <c r="J913" s="114"/>
      <c r="K913" s="114"/>
      <c r="L913" s="114"/>
      <c r="M913" s="114"/>
      <c r="N913" s="118"/>
      <c r="O913" s="118"/>
      <c r="P913" s="118"/>
    </row>
    <row r="914" spans="1:16" ht="12.75">
      <c r="A914" s="114"/>
      <c r="B914" s="114"/>
      <c r="C914" s="7"/>
      <c r="D914" s="114"/>
      <c r="E914" s="128"/>
      <c r="F914" s="128"/>
      <c r="G914" s="128"/>
      <c r="H914" s="114"/>
      <c r="I914" s="88"/>
      <c r="J914" s="114"/>
      <c r="K914" s="114"/>
      <c r="L914" s="114"/>
      <c r="M914" s="114"/>
      <c r="N914" s="118"/>
      <c r="O914" s="118"/>
      <c r="P914" s="118"/>
    </row>
    <row r="915" spans="1:16" ht="12.75">
      <c r="A915" s="114"/>
      <c r="B915" s="114"/>
      <c r="C915" s="7"/>
      <c r="D915" s="114"/>
      <c r="E915" s="128"/>
      <c r="F915" s="128"/>
      <c r="G915" s="128"/>
      <c r="H915" s="114"/>
      <c r="I915" s="88"/>
      <c r="J915" s="114"/>
      <c r="K915" s="114"/>
      <c r="L915" s="114"/>
      <c r="M915" s="114"/>
      <c r="N915" s="118"/>
      <c r="O915" s="118"/>
      <c r="P915" s="118"/>
    </row>
    <row r="916" spans="1:16" ht="12.75">
      <c r="A916" s="114"/>
      <c r="B916" s="114"/>
      <c r="C916" s="7"/>
      <c r="D916" s="114"/>
      <c r="E916" s="128"/>
      <c r="F916" s="128"/>
      <c r="G916" s="128"/>
      <c r="H916" s="114"/>
      <c r="I916" s="88"/>
      <c r="J916" s="114"/>
      <c r="K916" s="114"/>
      <c r="L916" s="114"/>
      <c r="M916" s="114"/>
      <c r="N916" s="118"/>
      <c r="O916" s="118"/>
      <c r="P916" s="118"/>
    </row>
    <row r="917" spans="1:16" ht="12.75">
      <c r="A917" s="114"/>
      <c r="B917" s="114"/>
      <c r="C917" s="7"/>
      <c r="D917" s="114"/>
      <c r="E917" s="128"/>
      <c r="F917" s="128"/>
      <c r="G917" s="128"/>
      <c r="H917" s="114"/>
      <c r="I917" s="88"/>
      <c r="J917" s="114"/>
      <c r="K917" s="114"/>
      <c r="L917" s="114"/>
      <c r="M917" s="114"/>
      <c r="N917" s="118"/>
      <c r="O917" s="118"/>
      <c r="P917" s="118"/>
    </row>
    <row r="918" spans="1:16" ht="12.75">
      <c r="A918" s="114"/>
      <c r="B918" s="114"/>
      <c r="C918" s="7"/>
      <c r="D918" s="114"/>
      <c r="E918" s="128"/>
      <c r="F918" s="128"/>
      <c r="G918" s="128"/>
      <c r="H918" s="114"/>
      <c r="I918" s="88"/>
      <c r="J918" s="114"/>
      <c r="K918" s="114"/>
      <c r="L918" s="114"/>
      <c r="M918" s="114"/>
      <c r="N918" s="118"/>
      <c r="O918" s="118"/>
      <c r="P918" s="118"/>
    </row>
    <row r="919" spans="1:16" ht="12.75">
      <c r="A919" s="114"/>
      <c r="B919" s="114"/>
      <c r="C919" s="7"/>
      <c r="D919" s="114"/>
      <c r="E919" s="128"/>
      <c r="F919" s="128"/>
      <c r="G919" s="128"/>
      <c r="H919" s="114"/>
      <c r="I919" s="88"/>
      <c r="J919" s="114"/>
      <c r="K919" s="114"/>
      <c r="L919" s="114"/>
      <c r="M919" s="114"/>
      <c r="N919" s="118"/>
      <c r="O919" s="118"/>
      <c r="P919" s="118"/>
    </row>
    <row r="920" spans="1:16" ht="12.75">
      <c r="A920" s="114"/>
      <c r="B920" s="114"/>
      <c r="C920" s="7"/>
      <c r="D920" s="114"/>
      <c r="E920" s="128"/>
      <c r="F920" s="128"/>
      <c r="G920" s="128"/>
      <c r="H920" s="114"/>
      <c r="I920" s="88"/>
      <c r="J920" s="114"/>
      <c r="K920" s="114"/>
      <c r="L920" s="114"/>
      <c r="M920" s="114"/>
      <c r="N920" s="118"/>
      <c r="O920" s="118"/>
      <c r="P920" s="118"/>
    </row>
    <row r="921" spans="1:16" ht="12.75">
      <c r="A921" s="114"/>
      <c r="B921" s="114"/>
      <c r="C921" s="7"/>
      <c r="D921" s="114"/>
      <c r="E921" s="128"/>
      <c r="F921" s="128"/>
      <c r="G921" s="128"/>
      <c r="H921" s="114"/>
      <c r="I921" s="88"/>
      <c r="J921" s="114"/>
      <c r="K921" s="114"/>
      <c r="L921" s="114"/>
      <c r="M921" s="114"/>
      <c r="N921" s="118"/>
      <c r="O921" s="118"/>
      <c r="P921" s="118"/>
    </row>
    <row r="922" spans="1:16" ht="12.75">
      <c r="A922" s="114"/>
      <c r="B922" s="114"/>
      <c r="C922" s="7"/>
      <c r="D922" s="114"/>
      <c r="E922" s="128"/>
      <c r="F922" s="128"/>
      <c r="G922" s="128"/>
      <c r="H922" s="114"/>
      <c r="I922" s="88"/>
      <c r="J922" s="114"/>
      <c r="K922" s="114"/>
      <c r="L922" s="114"/>
      <c r="M922" s="114"/>
      <c r="N922" s="118"/>
      <c r="O922" s="118"/>
      <c r="P922" s="118"/>
    </row>
    <row r="923" spans="1:16" ht="12.75">
      <c r="A923" s="114"/>
      <c r="B923" s="114"/>
      <c r="C923" s="7"/>
      <c r="D923" s="114"/>
      <c r="E923" s="128"/>
      <c r="F923" s="128"/>
      <c r="G923" s="128"/>
      <c r="H923" s="114"/>
      <c r="I923" s="88"/>
      <c r="J923" s="114"/>
      <c r="K923" s="114"/>
      <c r="L923" s="114"/>
      <c r="M923" s="114"/>
      <c r="N923" s="118"/>
      <c r="O923" s="118"/>
      <c r="P923" s="118"/>
    </row>
    <row r="924" spans="1:16" ht="12.75">
      <c r="A924" s="114"/>
      <c r="B924" s="114"/>
      <c r="C924" s="7"/>
      <c r="D924" s="114"/>
      <c r="E924" s="128"/>
      <c r="F924" s="128"/>
      <c r="G924" s="128"/>
      <c r="H924" s="114"/>
      <c r="I924" s="88"/>
      <c r="J924" s="114"/>
      <c r="K924" s="114"/>
      <c r="L924" s="114"/>
      <c r="M924" s="114"/>
      <c r="N924" s="118"/>
      <c r="O924" s="118"/>
      <c r="P924" s="118"/>
    </row>
    <row r="925" spans="1:16" ht="12.75">
      <c r="A925" s="114"/>
      <c r="B925" s="114"/>
      <c r="C925" s="7"/>
      <c r="D925" s="114"/>
      <c r="E925" s="128"/>
      <c r="F925" s="128"/>
      <c r="G925" s="128"/>
      <c r="H925" s="114"/>
      <c r="I925" s="88"/>
      <c r="J925" s="114"/>
      <c r="K925" s="114"/>
      <c r="L925" s="114"/>
      <c r="M925" s="114"/>
      <c r="N925" s="118"/>
      <c r="O925" s="118"/>
      <c r="P925" s="118"/>
    </row>
    <row r="926" spans="1:16" ht="12.75">
      <c r="A926" s="114"/>
      <c r="B926" s="114"/>
      <c r="C926" s="7"/>
      <c r="D926" s="114"/>
      <c r="E926" s="128"/>
      <c r="F926" s="128"/>
      <c r="G926" s="128"/>
      <c r="H926" s="114"/>
      <c r="I926" s="88"/>
      <c r="J926" s="114"/>
      <c r="K926" s="114"/>
      <c r="L926" s="114"/>
      <c r="M926" s="114"/>
      <c r="N926" s="118"/>
      <c r="O926" s="118"/>
      <c r="P926" s="118"/>
    </row>
    <row r="927" spans="1:16" ht="12.75">
      <c r="A927" s="114"/>
      <c r="B927" s="114"/>
      <c r="C927" s="7"/>
      <c r="D927" s="114"/>
      <c r="E927" s="128"/>
      <c r="F927" s="128"/>
      <c r="G927" s="128"/>
      <c r="H927" s="114"/>
      <c r="I927" s="88"/>
      <c r="J927" s="114"/>
      <c r="K927" s="114"/>
      <c r="L927" s="114"/>
      <c r="M927" s="114"/>
      <c r="N927" s="118"/>
      <c r="O927" s="118"/>
      <c r="P927" s="118"/>
    </row>
    <row r="928" spans="1:16" ht="12.75">
      <c r="A928" s="114"/>
      <c r="B928" s="114"/>
      <c r="C928" s="7"/>
      <c r="D928" s="114"/>
      <c r="E928" s="128"/>
      <c r="F928" s="128"/>
      <c r="G928" s="128"/>
      <c r="H928" s="114"/>
      <c r="I928" s="88"/>
      <c r="J928" s="114"/>
      <c r="K928" s="114"/>
      <c r="L928" s="114"/>
      <c r="M928" s="114"/>
      <c r="N928" s="118"/>
      <c r="O928" s="118"/>
      <c r="P928" s="118"/>
    </row>
    <row r="929" spans="1:16" ht="12.75">
      <c r="A929" s="114"/>
      <c r="B929" s="114"/>
      <c r="C929" s="7"/>
      <c r="D929" s="114"/>
      <c r="E929" s="128"/>
      <c r="F929" s="128"/>
      <c r="G929" s="128"/>
      <c r="H929" s="114"/>
      <c r="I929" s="88"/>
      <c r="J929" s="114"/>
      <c r="K929" s="114"/>
      <c r="L929" s="114"/>
      <c r="M929" s="114"/>
      <c r="N929" s="118"/>
      <c r="O929" s="118"/>
      <c r="P929" s="118"/>
    </row>
    <row r="930" spans="1:16" ht="12.75">
      <c r="A930" s="114"/>
      <c r="B930" s="114"/>
      <c r="C930" s="7"/>
      <c r="D930" s="114"/>
      <c r="E930" s="128"/>
      <c r="F930" s="128"/>
      <c r="G930" s="128"/>
      <c r="H930" s="114"/>
      <c r="I930" s="88"/>
      <c r="J930" s="114"/>
      <c r="K930" s="114"/>
      <c r="L930" s="114"/>
      <c r="M930" s="114"/>
      <c r="N930" s="118"/>
      <c r="O930" s="118"/>
      <c r="P930" s="118"/>
    </row>
    <row r="931" spans="1:16" ht="12.75">
      <c r="A931" s="114"/>
      <c r="B931" s="114"/>
      <c r="C931" s="7"/>
      <c r="D931" s="114"/>
      <c r="E931" s="128"/>
      <c r="F931" s="128"/>
      <c r="G931" s="128"/>
      <c r="H931" s="114"/>
      <c r="I931" s="88"/>
      <c r="J931" s="114"/>
      <c r="K931" s="114"/>
      <c r="L931" s="114"/>
      <c r="M931" s="114"/>
      <c r="N931" s="118"/>
      <c r="O931" s="118"/>
      <c r="P931" s="118"/>
    </row>
    <row r="932" spans="1:16" ht="12.75">
      <c r="A932" s="114"/>
      <c r="B932" s="114"/>
      <c r="C932" s="7"/>
      <c r="D932" s="114"/>
      <c r="E932" s="128"/>
      <c r="F932" s="128"/>
      <c r="G932" s="128"/>
      <c r="H932" s="114"/>
      <c r="I932" s="88"/>
      <c r="J932" s="114"/>
      <c r="K932" s="114"/>
      <c r="L932" s="114"/>
      <c r="M932" s="114"/>
      <c r="N932" s="118"/>
      <c r="O932" s="118"/>
      <c r="P932" s="118"/>
    </row>
    <row r="933" spans="1:16" ht="12.75">
      <c r="A933" s="114"/>
      <c r="B933" s="114"/>
      <c r="C933" s="7"/>
      <c r="D933" s="114"/>
      <c r="E933" s="128"/>
      <c r="F933" s="128"/>
      <c r="G933" s="128"/>
      <c r="H933" s="114"/>
      <c r="I933" s="88"/>
      <c r="J933" s="114"/>
      <c r="K933" s="114"/>
      <c r="L933" s="114"/>
      <c r="M933" s="114"/>
      <c r="N933" s="118"/>
      <c r="O933" s="118"/>
      <c r="P933" s="118"/>
    </row>
    <row r="934" spans="1:16" ht="12.75">
      <c r="A934" s="114"/>
      <c r="B934" s="114"/>
      <c r="C934" s="7"/>
      <c r="D934" s="114"/>
      <c r="E934" s="128"/>
      <c r="F934" s="128"/>
      <c r="G934" s="128"/>
      <c r="H934" s="114"/>
      <c r="I934" s="88"/>
      <c r="J934" s="114"/>
      <c r="K934" s="114"/>
      <c r="L934" s="114"/>
      <c r="M934" s="114"/>
      <c r="N934" s="118"/>
      <c r="O934" s="118"/>
      <c r="P934" s="118"/>
    </row>
    <row r="935" spans="1:16" ht="12.75">
      <c r="A935" s="114"/>
      <c r="B935" s="114"/>
      <c r="C935" s="7"/>
      <c r="D935" s="114"/>
      <c r="E935" s="128"/>
      <c r="F935" s="128"/>
      <c r="G935" s="128"/>
      <c r="H935" s="114"/>
      <c r="I935" s="88"/>
      <c r="J935" s="114"/>
      <c r="K935" s="114"/>
      <c r="L935" s="114"/>
      <c r="M935" s="114"/>
      <c r="N935" s="118"/>
      <c r="O935" s="118"/>
      <c r="P935" s="118"/>
    </row>
    <row r="936" spans="1:16" ht="12.75">
      <c r="A936" s="114"/>
      <c r="B936" s="114"/>
      <c r="C936" s="7"/>
      <c r="D936" s="114"/>
      <c r="E936" s="128"/>
      <c r="F936" s="128"/>
      <c r="G936" s="128"/>
      <c r="H936" s="114"/>
      <c r="I936" s="88"/>
      <c r="J936" s="114"/>
      <c r="K936" s="114"/>
      <c r="L936" s="114"/>
      <c r="M936" s="114"/>
      <c r="N936" s="118"/>
      <c r="O936" s="118"/>
      <c r="P936" s="118"/>
    </row>
    <row r="937" spans="1:16" ht="12.75">
      <c r="A937" s="114"/>
      <c r="B937" s="114"/>
      <c r="C937" s="7"/>
      <c r="D937" s="114"/>
      <c r="E937" s="128"/>
      <c r="F937" s="128"/>
      <c r="G937" s="128"/>
      <c r="H937" s="114"/>
      <c r="I937" s="88"/>
      <c r="J937" s="114"/>
      <c r="K937" s="114"/>
      <c r="L937" s="114"/>
      <c r="M937" s="114"/>
      <c r="N937" s="118"/>
      <c r="O937" s="118"/>
      <c r="P937" s="118"/>
    </row>
    <row r="938" spans="1:16" ht="12.75">
      <c r="A938" s="114"/>
      <c r="B938" s="114"/>
      <c r="C938" s="7"/>
      <c r="D938" s="114"/>
      <c r="E938" s="128"/>
      <c r="F938" s="128"/>
      <c r="G938" s="128"/>
      <c r="H938" s="114"/>
      <c r="I938" s="88"/>
      <c r="J938" s="114"/>
      <c r="K938" s="114"/>
      <c r="L938" s="114"/>
      <c r="M938" s="114"/>
      <c r="N938" s="118"/>
      <c r="O938" s="118"/>
      <c r="P938" s="118"/>
    </row>
    <row r="939" spans="1:16" ht="12.75">
      <c r="A939" s="114"/>
      <c r="B939" s="114"/>
      <c r="C939" s="7"/>
      <c r="D939" s="114"/>
      <c r="E939" s="128"/>
      <c r="F939" s="128"/>
      <c r="G939" s="128"/>
      <c r="H939" s="114"/>
      <c r="I939" s="88"/>
      <c r="J939" s="114"/>
      <c r="K939" s="114"/>
      <c r="L939" s="114"/>
      <c r="M939" s="114"/>
      <c r="N939" s="118"/>
      <c r="O939" s="118"/>
      <c r="P939" s="118"/>
    </row>
    <row r="940" spans="1:16" ht="12.75">
      <c r="A940" s="114"/>
      <c r="B940" s="114"/>
      <c r="C940" s="7"/>
      <c r="D940" s="114"/>
      <c r="E940" s="128"/>
      <c r="F940" s="128"/>
      <c r="G940" s="128"/>
      <c r="H940" s="114"/>
      <c r="I940" s="88"/>
      <c r="J940" s="114"/>
      <c r="K940" s="114"/>
      <c r="L940" s="114"/>
      <c r="M940" s="114"/>
      <c r="N940" s="118"/>
      <c r="O940" s="118"/>
      <c r="P940" s="118"/>
    </row>
    <row r="941" spans="1:16" ht="12.75">
      <c r="A941" s="114"/>
      <c r="B941" s="114"/>
      <c r="C941" s="7"/>
      <c r="D941" s="114"/>
      <c r="E941" s="128"/>
      <c r="F941" s="128"/>
      <c r="G941" s="128"/>
      <c r="H941" s="114"/>
      <c r="I941" s="88"/>
      <c r="J941" s="114"/>
      <c r="K941" s="114"/>
      <c r="L941" s="114"/>
      <c r="M941" s="114"/>
      <c r="N941" s="118"/>
      <c r="O941" s="118"/>
      <c r="P941" s="118"/>
    </row>
    <row r="942" spans="1:16" ht="12.75">
      <c r="A942" s="114"/>
      <c r="B942" s="114"/>
      <c r="C942" s="7"/>
      <c r="D942" s="114"/>
      <c r="E942" s="128"/>
      <c r="F942" s="128"/>
      <c r="G942" s="128"/>
      <c r="H942" s="114"/>
      <c r="I942" s="88"/>
      <c r="J942" s="114"/>
      <c r="K942" s="114"/>
      <c r="L942" s="114"/>
      <c r="M942" s="114"/>
      <c r="N942" s="118"/>
      <c r="O942" s="118"/>
      <c r="P942" s="118"/>
    </row>
    <row r="943" spans="1:16" ht="12.75">
      <c r="A943" s="114"/>
      <c r="B943" s="114"/>
      <c r="C943" s="7"/>
      <c r="D943" s="114"/>
      <c r="E943" s="128"/>
      <c r="F943" s="128"/>
      <c r="G943" s="128"/>
      <c r="H943" s="114"/>
      <c r="I943" s="88"/>
      <c r="J943" s="114"/>
      <c r="K943" s="114"/>
      <c r="L943" s="114"/>
      <c r="M943" s="114"/>
      <c r="N943" s="118"/>
      <c r="O943" s="118"/>
      <c r="P943" s="118"/>
    </row>
    <row r="944" spans="1:16" ht="12.75">
      <c r="A944" s="114"/>
      <c r="B944" s="114"/>
      <c r="C944" s="7"/>
      <c r="D944" s="114"/>
      <c r="E944" s="128"/>
      <c r="F944" s="128"/>
      <c r="G944" s="128"/>
      <c r="H944" s="114"/>
      <c r="I944" s="88"/>
      <c r="J944" s="114"/>
      <c r="K944" s="114"/>
      <c r="L944" s="114"/>
      <c r="M944" s="114"/>
      <c r="N944" s="118"/>
      <c r="O944" s="118"/>
      <c r="P944" s="118"/>
    </row>
    <row r="945" spans="1:16" ht="12.75">
      <c r="A945" s="114"/>
      <c r="B945" s="114"/>
      <c r="C945" s="7"/>
      <c r="D945" s="114"/>
      <c r="E945" s="128"/>
      <c r="F945" s="128"/>
      <c r="G945" s="128"/>
      <c r="H945" s="114"/>
      <c r="I945" s="88"/>
      <c r="J945" s="114"/>
      <c r="K945" s="114"/>
      <c r="L945" s="114"/>
      <c r="M945" s="114"/>
      <c r="N945" s="118"/>
      <c r="O945" s="118"/>
      <c r="P945" s="118"/>
    </row>
    <row r="946" spans="1:16" ht="12.75">
      <c r="A946" s="114"/>
      <c r="B946" s="114"/>
      <c r="C946" s="7"/>
      <c r="D946" s="114"/>
      <c r="E946" s="128"/>
      <c r="F946" s="128"/>
      <c r="G946" s="128"/>
      <c r="H946" s="114"/>
      <c r="I946" s="88"/>
      <c r="J946" s="114"/>
      <c r="K946" s="114"/>
      <c r="L946" s="114"/>
      <c r="M946" s="114"/>
      <c r="N946" s="118"/>
      <c r="O946" s="118"/>
      <c r="P946" s="118"/>
    </row>
    <row r="947" spans="1:16" ht="12.75">
      <c r="A947" s="114"/>
      <c r="B947" s="114"/>
      <c r="C947" s="7"/>
      <c r="D947" s="114"/>
      <c r="E947" s="128"/>
      <c r="F947" s="128"/>
      <c r="G947" s="128"/>
      <c r="H947" s="114"/>
      <c r="I947" s="88"/>
      <c r="J947" s="114"/>
      <c r="K947" s="114"/>
      <c r="L947" s="114"/>
      <c r="M947" s="114"/>
      <c r="N947" s="118"/>
      <c r="O947" s="118"/>
      <c r="P947" s="118"/>
    </row>
    <row r="948" spans="1:16" ht="12.75">
      <c r="A948" s="114"/>
      <c r="B948" s="114"/>
      <c r="C948" s="7"/>
      <c r="D948" s="114"/>
      <c r="E948" s="128"/>
      <c r="F948" s="128"/>
      <c r="G948" s="128"/>
      <c r="H948" s="114"/>
      <c r="I948" s="88"/>
      <c r="J948" s="114"/>
      <c r="K948" s="114"/>
      <c r="L948" s="114"/>
      <c r="M948" s="114"/>
      <c r="N948" s="118"/>
      <c r="O948" s="118"/>
      <c r="P948" s="118"/>
    </row>
    <row r="949" spans="1:16" ht="12.75">
      <c r="A949" s="114"/>
      <c r="B949" s="114"/>
      <c r="C949" s="7"/>
      <c r="D949" s="114"/>
      <c r="E949" s="128"/>
      <c r="F949" s="128"/>
      <c r="G949" s="128"/>
      <c r="H949" s="114"/>
      <c r="I949" s="88"/>
      <c r="J949" s="114"/>
      <c r="K949" s="114"/>
      <c r="L949" s="114"/>
      <c r="M949" s="114"/>
      <c r="N949" s="118"/>
      <c r="O949" s="118"/>
      <c r="P949" s="118"/>
    </row>
    <row r="950" spans="1:16" ht="12.75">
      <c r="A950" s="114"/>
      <c r="B950" s="114"/>
      <c r="C950" s="7"/>
      <c r="D950" s="114"/>
      <c r="E950" s="128"/>
      <c r="F950" s="128"/>
      <c r="G950" s="128"/>
      <c r="H950" s="114"/>
      <c r="I950" s="88"/>
      <c r="J950" s="114"/>
      <c r="K950" s="114"/>
      <c r="L950" s="114"/>
      <c r="M950" s="114"/>
      <c r="N950" s="118"/>
      <c r="O950" s="118"/>
      <c r="P950" s="118"/>
    </row>
    <row r="951" spans="1:16" ht="12.75">
      <c r="A951" s="114"/>
      <c r="B951" s="114"/>
      <c r="C951" s="7"/>
      <c r="D951" s="114"/>
      <c r="E951" s="128"/>
      <c r="F951" s="128"/>
      <c r="G951" s="128"/>
      <c r="H951" s="114"/>
      <c r="I951" s="88"/>
      <c r="J951" s="114"/>
      <c r="K951" s="114"/>
      <c r="L951" s="114"/>
      <c r="M951" s="114"/>
      <c r="N951" s="118"/>
      <c r="O951" s="118"/>
      <c r="P951" s="118"/>
    </row>
    <row r="952" spans="1:16" ht="12.75">
      <c r="A952" s="114"/>
      <c r="B952" s="114"/>
      <c r="C952" s="7"/>
      <c r="D952" s="114"/>
      <c r="E952" s="128"/>
      <c r="F952" s="128"/>
      <c r="G952" s="128"/>
      <c r="H952" s="114"/>
      <c r="I952" s="88"/>
      <c r="J952" s="114"/>
      <c r="K952" s="114"/>
      <c r="L952" s="114"/>
      <c r="M952" s="114"/>
      <c r="N952" s="118"/>
      <c r="O952" s="118"/>
      <c r="P952" s="118"/>
    </row>
    <row r="953" spans="1:16" ht="12.75">
      <c r="A953" s="114"/>
      <c r="B953" s="114"/>
      <c r="C953" s="7"/>
      <c r="D953" s="114"/>
      <c r="E953" s="128"/>
      <c r="F953" s="128"/>
      <c r="G953" s="128"/>
      <c r="H953" s="114"/>
      <c r="I953" s="88"/>
      <c r="J953" s="114"/>
      <c r="K953" s="114"/>
      <c r="L953" s="114"/>
      <c r="M953" s="114"/>
      <c r="N953" s="118"/>
      <c r="O953" s="118"/>
      <c r="P953" s="118"/>
    </row>
    <row r="954" spans="1:16" ht="12.75">
      <c r="A954" s="114"/>
      <c r="B954" s="114"/>
      <c r="C954" s="7"/>
      <c r="D954" s="114"/>
      <c r="E954" s="128"/>
      <c r="F954" s="128"/>
      <c r="G954" s="128"/>
      <c r="H954" s="114"/>
      <c r="I954" s="88"/>
      <c r="J954" s="114"/>
      <c r="K954" s="114"/>
      <c r="L954" s="114"/>
      <c r="M954" s="114"/>
      <c r="N954" s="118"/>
      <c r="O954" s="118"/>
      <c r="P954" s="118"/>
    </row>
    <row r="955" spans="1:16" ht="12.75">
      <c r="A955" s="114"/>
      <c r="B955" s="114"/>
      <c r="C955" s="7"/>
      <c r="D955" s="114"/>
      <c r="E955" s="128"/>
      <c r="F955" s="128"/>
      <c r="G955" s="128"/>
      <c r="H955" s="114"/>
      <c r="I955" s="88"/>
      <c r="J955" s="114"/>
      <c r="K955" s="114"/>
      <c r="L955" s="114"/>
      <c r="M955" s="114"/>
      <c r="N955" s="118"/>
      <c r="O955" s="118"/>
      <c r="P955" s="118"/>
    </row>
    <row r="956" spans="1:16" ht="12.75">
      <c r="A956" s="114"/>
      <c r="B956" s="114"/>
      <c r="C956" s="7"/>
      <c r="D956" s="114"/>
      <c r="E956" s="128"/>
      <c r="F956" s="128"/>
      <c r="G956" s="128"/>
      <c r="H956" s="114"/>
      <c r="I956" s="88"/>
      <c r="J956" s="114"/>
      <c r="K956" s="114"/>
      <c r="L956" s="114"/>
      <c r="M956" s="114"/>
      <c r="N956" s="118"/>
      <c r="O956" s="118"/>
      <c r="P956" s="118"/>
    </row>
    <row r="957" spans="1:16" ht="12.75">
      <c r="A957" s="114"/>
      <c r="B957" s="114"/>
      <c r="C957" s="7"/>
      <c r="D957" s="114"/>
      <c r="E957" s="128"/>
      <c r="F957" s="128"/>
      <c r="G957" s="128"/>
      <c r="H957" s="114"/>
      <c r="I957" s="88"/>
      <c r="J957" s="114"/>
      <c r="K957" s="114"/>
      <c r="L957" s="114"/>
      <c r="M957" s="114"/>
      <c r="N957" s="118"/>
      <c r="O957" s="118"/>
      <c r="P957" s="118"/>
    </row>
    <row r="958" spans="1:16" ht="12.75">
      <c r="A958" s="114"/>
      <c r="B958" s="114"/>
      <c r="C958" s="7"/>
      <c r="D958" s="114"/>
      <c r="E958" s="128"/>
      <c r="F958" s="128"/>
      <c r="G958" s="128"/>
      <c r="H958" s="114"/>
      <c r="I958" s="88"/>
      <c r="J958" s="114"/>
      <c r="K958" s="114"/>
      <c r="L958" s="114"/>
      <c r="M958" s="114"/>
      <c r="N958" s="118"/>
      <c r="O958" s="118"/>
      <c r="P958" s="118"/>
    </row>
    <row r="959" spans="1:16" ht="12.75">
      <c r="A959" s="114"/>
      <c r="B959" s="114"/>
      <c r="C959" s="7"/>
      <c r="D959" s="114"/>
      <c r="E959" s="128"/>
      <c r="F959" s="128"/>
      <c r="G959" s="128"/>
      <c r="H959" s="114"/>
      <c r="I959" s="88"/>
      <c r="J959" s="114"/>
      <c r="K959" s="114"/>
      <c r="L959" s="114"/>
      <c r="M959" s="114"/>
      <c r="N959" s="118"/>
      <c r="O959" s="118"/>
      <c r="P959" s="118"/>
    </row>
    <row r="960" spans="1:16" ht="12.75">
      <c r="A960" s="114"/>
      <c r="B960" s="114"/>
      <c r="C960" s="7"/>
      <c r="D960" s="114"/>
      <c r="E960" s="128"/>
      <c r="F960" s="128"/>
      <c r="G960" s="128"/>
      <c r="H960" s="114"/>
      <c r="I960" s="88"/>
      <c r="J960" s="114"/>
      <c r="K960" s="114"/>
      <c r="L960" s="114"/>
      <c r="M960" s="114"/>
      <c r="N960" s="118"/>
      <c r="O960" s="118"/>
      <c r="P960" s="118"/>
    </row>
    <row r="961" spans="1:16" ht="12.75">
      <c r="A961" s="114"/>
      <c r="B961" s="114"/>
      <c r="C961" s="7"/>
      <c r="D961" s="114"/>
      <c r="E961" s="128"/>
      <c r="F961" s="128"/>
      <c r="G961" s="128"/>
      <c r="H961" s="114"/>
      <c r="I961" s="88"/>
      <c r="J961" s="114"/>
      <c r="K961" s="114"/>
      <c r="L961" s="114"/>
      <c r="M961" s="114"/>
      <c r="N961" s="118"/>
      <c r="O961" s="118"/>
      <c r="P961" s="118"/>
    </row>
    <row r="962" spans="1:16" ht="12.75">
      <c r="A962" s="114"/>
      <c r="B962" s="114"/>
      <c r="C962" s="7"/>
      <c r="D962" s="114"/>
      <c r="E962" s="128"/>
      <c r="F962" s="128"/>
      <c r="G962" s="128"/>
      <c r="H962" s="114"/>
      <c r="I962" s="88"/>
      <c r="J962" s="114"/>
      <c r="K962" s="114"/>
      <c r="L962" s="114"/>
      <c r="M962" s="114"/>
      <c r="N962" s="118"/>
      <c r="O962" s="118"/>
      <c r="P962" s="118"/>
    </row>
    <row r="963" spans="1:16" ht="12.75">
      <c r="A963" s="114"/>
      <c r="B963" s="114"/>
      <c r="C963" s="7"/>
      <c r="D963" s="114"/>
      <c r="E963" s="128"/>
      <c r="F963" s="128"/>
      <c r="G963" s="128"/>
      <c r="H963" s="114"/>
      <c r="I963" s="88"/>
      <c r="J963" s="114"/>
      <c r="K963" s="114"/>
      <c r="L963" s="114"/>
      <c r="M963" s="114"/>
      <c r="N963" s="118"/>
      <c r="O963" s="118"/>
      <c r="P963" s="118"/>
    </row>
    <row r="964" spans="1:16" ht="12.75">
      <c r="A964" s="114"/>
      <c r="B964" s="114"/>
      <c r="C964" s="7"/>
      <c r="D964" s="114"/>
      <c r="E964" s="128"/>
      <c r="F964" s="128"/>
      <c r="G964" s="128"/>
      <c r="H964" s="114"/>
      <c r="I964" s="88"/>
      <c r="J964" s="114"/>
      <c r="K964" s="114"/>
      <c r="L964" s="114"/>
      <c r="M964" s="114"/>
      <c r="N964" s="118"/>
      <c r="O964" s="118"/>
      <c r="P964" s="118"/>
    </row>
    <row r="965" spans="1:16" ht="12.75">
      <c r="A965" s="114"/>
      <c r="B965" s="114"/>
      <c r="C965" s="7"/>
      <c r="D965" s="114"/>
      <c r="E965" s="128"/>
      <c r="F965" s="128"/>
      <c r="G965" s="128"/>
      <c r="H965" s="114"/>
      <c r="I965" s="88"/>
      <c r="J965" s="114"/>
      <c r="K965" s="114"/>
      <c r="L965" s="114"/>
      <c r="M965" s="114"/>
      <c r="N965" s="118"/>
      <c r="O965" s="118"/>
      <c r="P965" s="118"/>
    </row>
    <row r="966" spans="1:16" ht="12.75">
      <c r="A966" s="114"/>
      <c r="B966" s="114"/>
      <c r="C966" s="7"/>
      <c r="D966" s="114"/>
      <c r="E966" s="128"/>
      <c r="F966" s="128"/>
      <c r="G966" s="128"/>
      <c r="H966" s="114"/>
      <c r="I966" s="88"/>
      <c r="J966" s="114"/>
      <c r="K966" s="114"/>
      <c r="L966" s="114"/>
      <c r="M966" s="114"/>
      <c r="N966" s="118"/>
      <c r="O966" s="118"/>
      <c r="P966" s="118"/>
    </row>
    <row r="967" spans="1:16" ht="12.75">
      <c r="A967" s="114"/>
      <c r="B967" s="114"/>
      <c r="C967" s="7"/>
      <c r="D967" s="114"/>
      <c r="E967" s="128"/>
      <c r="F967" s="128"/>
      <c r="G967" s="128"/>
      <c r="H967" s="114"/>
      <c r="I967" s="88"/>
      <c r="J967" s="114"/>
      <c r="K967" s="114"/>
      <c r="L967" s="114"/>
      <c r="M967" s="114"/>
      <c r="N967" s="118"/>
      <c r="O967" s="118"/>
      <c r="P967" s="118"/>
    </row>
    <row r="968" spans="1:16" ht="12.75">
      <c r="A968" s="114"/>
      <c r="B968" s="114"/>
      <c r="C968" s="7"/>
      <c r="D968" s="114"/>
      <c r="E968" s="128"/>
      <c r="F968" s="128"/>
      <c r="G968" s="128"/>
      <c r="H968" s="114"/>
      <c r="I968" s="88"/>
      <c r="J968" s="114"/>
      <c r="K968" s="114"/>
      <c r="L968" s="114"/>
      <c r="M968" s="114"/>
      <c r="N968" s="118"/>
      <c r="O968" s="118"/>
      <c r="P968" s="118"/>
    </row>
    <row r="969" spans="1:16" ht="12.75">
      <c r="A969" s="114"/>
      <c r="B969" s="114"/>
      <c r="C969" s="7"/>
      <c r="D969" s="114"/>
      <c r="E969" s="128"/>
      <c r="F969" s="128"/>
      <c r="G969" s="128"/>
      <c r="H969" s="114"/>
      <c r="I969" s="88"/>
      <c r="J969" s="114"/>
      <c r="K969" s="114"/>
      <c r="L969" s="114"/>
      <c r="M969" s="114"/>
      <c r="N969" s="118"/>
      <c r="O969" s="118"/>
      <c r="P969" s="118"/>
    </row>
    <row r="970" spans="1:16" ht="12.75">
      <c r="A970" s="114"/>
      <c r="B970" s="114"/>
      <c r="C970" s="7"/>
      <c r="D970" s="114"/>
      <c r="E970" s="128"/>
      <c r="F970" s="128"/>
      <c r="G970" s="128"/>
      <c r="H970" s="114"/>
      <c r="I970" s="88"/>
      <c r="J970" s="114"/>
      <c r="K970" s="114"/>
      <c r="L970" s="114"/>
      <c r="M970" s="114"/>
      <c r="N970" s="118"/>
      <c r="O970" s="118"/>
      <c r="P970" s="118"/>
    </row>
    <row r="971" spans="1:16" ht="12.75">
      <c r="A971" s="114"/>
      <c r="B971" s="114"/>
      <c r="C971" s="7"/>
      <c r="D971" s="114"/>
      <c r="E971" s="128"/>
      <c r="F971" s="128"/>
      <c r="G971" s="128"/>
      <c r="H971" s="114"/>
      <c r="I971" s="88"/>
      <c r="J971" s="114"/>
      <c r="K971" s="114"/>
      <c r="L971" s="114"/>
      <c r="M971" s="114"/>
      <c r="N971" s="118"/>
      <c r="O971" s="118"/>
      <c r="P971" s="118"/>
    </row>
    <row r="972" spans="1:16" ht="12.75">
      <c r="A972" s="114"/>
      <c r="B972" s="114"/>
      <c r="C972" s="7"/>
      <c r="D972" s="114"/>
      <c r="E972" s="128"/>
      <c r="F972" s="128"/>
      <c r="G972" s="128"/>
      <c r="H972" s="114"/>
      <c r="I972" s="88"/>
      <c r="J972" s="114"/>
      <c r="K972" s="114"/>
      <c r="L972" s="114"/>
      <c r="M972" s="114"/>
      <c r="N972" s="118"/>
      <c r="O972" s="118"/>
      <c r="P972" s="118"/>
    </row>
    <row r="973" spans="1:16" ht="12.75">
      <c r="A973" s="114"/>
      <c r="B973" s="114"/>
      <c r="C973" s="7"/>
      <c r="D973" s="114"/>
      <c r="E973" s="128"/>
      <c r="F973" s="128"/>
      <c r="G973" s="128"/>
      <c r="H973" s="114"/>
      <c r="I973" s="88"/>
      <c r="J973" s="114"/>
      <c r="K973" s="114"/>
      <c r="L973" s="114"/>
      <c r="M973" s="114"/>
      <c r="N973" s="118"/>
      <c r="O973" s="118"/>
      <c r="P973" s="118"/>
    </row>
    <row r="974" spans="1:16" ht="12.75">
      <c r="A974" s="114"/>
      <c r="B974" s="114"/>
      <c r="C974" s="7"/>
      <c r="D974" s="114"/>
      <c r="E974" s="128"/>
      <c r="F974" s="128"/>
      <c r="G974" s="128"/>
      <c r="H974" s="114"/>
      <c r="I974" s="88"/>
      <c r="J974" s="114"/>
      <c r="K974" s="114"/>
      <c r="L974" s="114"/>
      <c r="M974" s="114"/>
      <c r="N974" s="118"/>
      <c r="O974" s="118"/>
      <c r="P974" s="118"/>
    </row>
    <row r="975" spans="1:16" ht="12.75">
      <c r="A975" s="114"/>
      <c r="B975" s="114"/>
      <c r="C975" s="7"/>
      <c r="D975" s="114"/>
      <c r="E975" s="128"/>
      <c r="F975" s="128"/>
      <c r="G975" s="128"/>
      <c r="H975" s="114"/>
      <c r="I975" s="88"/>
      <c r="J975" s="114"/>
      <c r="K975" s="114"/>
      <c r="L975" s="114"/>
      <c r="M975" s="114"/>
      <c r="N975" s="118"/>
      <c r="O975" s="118"/>
      <c r="P975" s="118"/>
    </row>
    <row r="976" spans="1:16" ht="12.75">
      <c r="A976" s="114"/>
      <c r="B976" s="114"/>
      <c r="C976" s="7"/>
      <c r="D976" s="114"/>
      <c r="E976" s="128"/>
      <c r="F976" s="128"/>
      <c r="G976" s="128"/>
      <c r="H976" s="114"/>
      <c r="I976" s="88"/>
      <c r="J976" s="114"/>
      <c r="K976" s="114"/>
      <c r="L976" s="114"/>
      <c r="M976" s="114"/>
      <c r="N976" s="118"/>
      <c r="O976" s="118"/>
      <c r="P976" s="118"/>
    </row>
    <row r="977" spans="1:16" ht="12.75">
      <c r="A977" s="114"/>
      <c r="B977" s="114"/>
      <c r="C977" s="7"/>
      <c r="D977" s="114"/>
      <c r="E977" s="128"/>
      <c r="F977" s="128"/>
      <c r="G977" s="128"/>
      <c r="H977" s="114"/>
      <c r="I977" s="88"/>
      <c r="J977" s="114"/>
      <c r="K977" s="114"/>
      <c r="L977" s="114"/>
      <c r="M977" s="114"/>
      <c r="N977" s="118"/>
      <c r="O977" s="118"/>
      <c r="P977" s="118"/>
    </row>
    <row r="978" spans="1:16" ht="12.75">
      <c r="A978" s="114"/>
      <c r="B978" s="114"/>
      <c r="C978" s="7"/>
      <c r="D978" s="114"/>
      <c r="E978" s="128"/>
      <c r="F978" s="128"/>
      <c r="G978" s="128"/>
      <c r="H978" s="114"/>
      <c r="I978" s="88"/>
      <c r="J978" s="114"/>
      <c r="K978" s="114"/>
      <c r="L978" s="114"/>
      <c r="M978" s="114"/>
      <c r="N978" s="118"/>
      <c r="O978" s="118"/>
      <c r="P978" s="118"/>
    </row>
    <row r="979" spans="1:16" ht="12.75">
      <c r="A979" s="114"/>
      <c r="B979" s="114"/>
      <c r="C979" s="7"/>
      <c r="D979" s="114"/>
      <c r="E979" s="128"/>
      <c r="F979" s="128"/>
      <c r="G979" s="128"/>
      <c r="H979" s="114"/>
      <c r="I979" s="88"/>
      <c r="J979" s="114"/>
      <c r="K979" s="114"/>
      <c r="L979" s="114"/>
      <c r="M979" s="114"/>
      <c r="N979" s="118"/>
      <c r="O979" s="118"/>
      <c r="P979" s="118"/>
    </row>
    <row r="980" spans="1:16" ht="12.75">
      <c r="A980" s="114"/>
      <c r="B980" s="114"/>
      <c r="C980" s="7"/>
      <c r="D980" s="114"/>
      <c r="E980" s="128"/>
      <c r="F980" s="128"/>
      <c r="G980" s="128"/>
      <c r="H980" s="114"/>
      <c r="I980" s="88"/>
      <c r="J980" s="114"/>
      <c r="K980" s="114"/>
      <c r="L980" s="114"/>
      <c r="M980" s="114"/>
      <c r="N980" s="118"/>
      <c r="O980" s="118"/>
      <c r="P980" s="118"/>
    </row>
    <row r="981" spans="1:16" ht="12.75">
      <c r="A981" s="114"/>
      <c r="B981" s="114"/>
      <c r="C981" s="7"/>
      <c r="D981" s="114"/>
      <c r="E981" s="128"/>
      <c r="F981" s="128"/>
      <c r="G981" s="128"/>
      <c r="H981" s="114"/>
      <c r="I981" s="88"/>
      <c r="J981" s="114"/>
      <c r="K981" s="114"/>
      <c r="L981" s="114"/>
      <c r="M981" s="114"/>
      <c r="N981" s="118"/>
      <c r="O981" s="118"/>
      <c r="P981" s="118"/>
    </row>
    <row r="982" spans="1:16" ht="12.75">
      <c r="A982" s="114"/>
      <c r="B982" s="114"/>
      <c r="C982" s="7"/>
      <c r="D982" s="114"/>
      <c r="E982" s="128"/>
      <c r="F982" s="128"/>
      <c r="G982" s="128"/>
      <c r="H982" s="114"/>
      <c r="I982" s="88"/>
      <c r="J982" s="114"/>
      <c r="K982" s="114"/>
      <c r="L982" s="114"/>
      <c r="M982" s="114"/>
      <c r="N982" s="118"/>
      <c r="O982" s="118"/>
      <c r="P982" s="118"/>
    </row>
    <row r="983" spans="1:16" ht="12.75">
      <c r="A983" s="114"/>
      <c r="B983" s="114"/>
      <c r="C983" s="7"/>
      <c r="D983" s="114"/>
      <c r="E983" s="128"/>
      <c r="F983" s="128"/>
      <c r="G983" s="128"/>
      <c r="H983" s="114"/>
      <c r="I983" s="88"/>
      <c r="J983" s="114"/>
      <c r="K983" s="114"/>
      <c r="L983" s="114"/>
      <c r="M983" s="114"/>
      <c r="N983" s="118"/>
      <c r="O983" s="118"/>
      <c r="P983" s="118"/>
    </row>
    <row r="984" spans="1:16" ht="12.75">
      <c r="A984" s="114"/>
      <c r="B984" s="114"/>
      <c r="C984" s="7"/>
      <c r="D984" s="114"/>
      <c r="E984" s="128"/>
      <c r="F984" s="128"/>
      <c r="G984" s="128"/>
      <c r="H984" s="114"/>
      <c r="I984" s="88"/>
      <c r="J984" s="114"/>
      <c r="K984" s="114"/>
      <c r="L984" s="114"/>
      <c r="M984" s="114"/>
      <c r="N984" s="118"/>
      <c r="O984" s="118"/>
      <c r="P984" s="118"/>
    </row>
    <row r="985" spans="1:16" ht="12.75">
      <c r="A985" s="114"/>
      <c r="B985" s="114"/>
      <c r="C985" s="7"/>
      <c r="D985" s="114"/>
      <c r="E985" s="128"/>
      <c r="F985" s="128"/>
      <c r="G985" s="128"/>
      <c r="H985" s="114"/>
      <c r="I985" s="88"/>
      <c r="J985" s="114"/>
      <c r="K985" s="114"/>
      <c r="L985" s="114"/>
      <c r="M985" s="114"/>
      <c r="N985" s="118"/>
      <c r="O985" s="118"/>
      <c r="P985" s="118"/>
    </row>
    <row r="986" spans="1:16" ht="12.75">
      <c r="A986" s="114"/>
      <c r="B986" s="114"/>
      <c r="C986" s="7"/>
      <c r="D986" s="114"/>
      <c r="E986" s="128"/>
      <c r="F986" s="128"/>
      <c r="G986" s="128"/>
      <c r="H986" s="114"/>
      <c r="I986" s="88"/>
      <c r="J986" s="114"/>
      <c r="K986" s="114"/>
      <c r="L986" s="114"/>
      <c r="M986" s="114"/>
      <c r="N986" s="118"/>
      <c r="O986" s="118"/>
      <c r="P986" s="118"/>
    </row>
    <row r="987" spans="1:16" ht="12.75">
      <c r="A987" s="114"/>
      <c r="B987" s="114"/>
      <c r="C987" s="7"/>
      <c r="D987" s="114"/>
      <c r="E987" s="128"/>
      <c r="F987" s="128"/>
      <c r="G987" s="128"/>
      <c r="H987" s="114"/>
      <c r="I987" s="88"/>
      <c r="J987" s="114"/>
      <c r="K987" s="114"/>
      <c r="L987" s="114"/>
      <c r="M987" s="114"/>
      <c r="N987" s="118"/>
      <c r="O987" s="118"/>
      <c r="P987" s="118"/>
    </row>
    <row r="988" spans="1:16" ht="12.75">
      <c r="A988" s="114"/>
      <c r="B988" s="114"/>
      <c r="C988" s="7"/>
      <c r="D988" s="114"/>
      <c r="E988" s="128"/>
      <c r="F988" s="128"/>
      <c r="G988" s="128"/>
      <c r="H988" s="114"/>
      <c r="I988" s="88"/>
      <c r="J988" s="114"/>
      <c r="K988" s="114"/>
      <c r="L988" s="114"/>
      <c r="M988" s="114"/>
      <c r="N988" s="118"/>
      <c r="O988" s="118"/>
      <c r="P988" s="118"/>
    </row>
    <row r="989" spans="1:16" ht="12.75">
      <c r="A989" s="114"/>
      <c r="B989" s="114"/>
      <c r="C989" s="7"/>
      <c r="D989" s="114"/>
      <c r="E989" s="128"/>
      <c r="F989" s="128"/>
      <c r="G989" s="128"/>
      <c r="H989" s="114"/>
      <c r="I989" s="88"/>
      <c r="J989" s="114"/>
      <c r="K989" s="114"/>
      <c r="L989" s="114"/>
      <c r="M989" s="114"/>
      <c r="N989" s="118"/>
      <c r="O989" s="118"/>
      <c r="P989" s="118"/>
    </row>
    <row r="990" spans="1:16" ht="12.75">
      <c r="A990" s="114"/>
      <c r="B990" s="114"/>
      <c r="C990" s="7"/>
      <c r="D990" s="114"/>
      <c r="E990" s="128"/>
      <c r="F990" s="128"/>
      <c r="G990" s="128"/>
      <c r="H990" s="114"/>
      <c r="I990" s="88"/>
      <c r="J990" s="114"/>
      <c r="K990" s="114"/>
      <c r="L990" s="114"/>
      <c r="M990" s="114"/>
      <c r="N990" s="118"/>
      <c r="O990" s="118"/>
      <c r="P990" s="118"/>
    </row>
    <row r="991" spans="1:16" ht="12.75">
      <c r="A991" s="114"/>
      <c r="B991" s="114"/>
      <c r="C991" s="7"/>
      <c r="D991" s="114"/>
      <c r="E991" s="128"/>
      <c r="F991" s="128"/>
      <c r="G991" s="128"/>
      <c r="H991" s="114"/>
      <c r="I991" s="88"/>
      <c r="J991" s="114"/>
      <c r="K991" s="114"/>
      <c r="L991" s="114"/>
      <c r="M991" s="114"/>
      <c r="N991" s="118"/>
      <c r="O991" s="118"/>
      <c r="P991" s="118"/>
    </row>
    <row r="992" spans="1:16" ht="12.75">
      <c r="A992" s="114"/>
      <c r="B992" s="114"/>
      <c r="C992" s="7"/>
      <c r="D992" s="114"/>
      <c r="E992" s="128"/>
      <c r="F992" s="128"/>
      <c r="G992" s="128"/>
      <c r="H992" s="114"/>
      <c r="I992" s="88"/>
      <c r="J992" s="114"/>
      <c r="K992" s="114"/>
      <c r="L992" s="114"/>
      <c r="M992" s="114"/>
      <c r="N992" s="118"/>
      <c r="O992" s="118"/>
      <c r="P992" s="118"/>
    </row>
    <row r="993" spans="1:16" ht="12.75">
      <c r="A993" s="114"/>
      <c r="B993" s="114"/>
      <c r="C993" s="7"/>
      <c r="D993" s="114"/>
      <c r="E993" s="128"/>
      <c r="F993" s="128"/>
      <c r="G993" s="128"/>
      <c r="H993" s="114"/>
      <c r="I993" s="88"/>
      <c r="J993" s="114"/>
      <c r="K993" s="114"/>
      <c r="L993" s="114"/>
      <c r="M993" s="114"/>
      <c r="N993" s="118"/>
      <c r="O993" s="118"/>
      <c r="P993" s="118"/>
    </row>
    <row r="994" spans="1:16" ht="12.75">
      <c r="A994" s="114"/>
      <c r="B994" s="114"/>
      <c r="C994" s="7"/>
      <c r="D994" s="114"/>
      <c r="E994" s="128"/>
      <c r="F994" s="128"/>
      <c r="G994" s="128"/>
      <c r="H994" s="114"/>
      <c r="I994" s="88"/>
      <c r="J994" s="114"/>
      <c r="K994" s="114"/>
      <c r="L994" s="114"/>
      <c r="M994" s="114"/>
      <c r="N994" s="118"/>
      <c r="O994" s="118"/>
      <c r="P994" s="118"/>
    </row>
    <row r="995" spans="1:16" ht="12.75">
      <c r="A995" s="114"/>
      <c r="B995" s="114"/>
      <c r="C995" s="7"/>
      <c r="D995" s="114"/>
      <c r="E995" s="128"/>
      <c r="F995" s="128"/>
      <c r="G995" s="128"/>
      <c r="H995" s="114"/>
      <c r="I995" s="88"/>
      <c r="J995" s="114"/>
      <c r="K995" s="114"/>
      <c r="L995" s="114"/>
      <c r="M995" s="114"/>
      <c r="N995" s="118"/>
      <c r="O995" s="118"/>
      <c r="P995" s="118"/>
    </row>
    <row r="996" spans="1:16" ht="12.75">
      <c r="A996" s="114"/>
      <c r="B996" s="114"/>
      <c r="C996" s="7"/>
      <c r="D996" s="114"/>
      <c r="E996" s="128"/>
      <c r="F996" s="128"/>
      <c r="G996" s="128"/>
      <c r="H996" s="114"/>
      <c r="I996" s="88"/>
      <c r="J996" s="114"/>
      <c r="K996" s="114"/>
      <c r="L996" s="114"/>
      <c r="M996" s="114"/>
      <c r="N996" s="118"/>
      <c r="O996" s="118"/>
      <c r="P996" s="118"/>
    </row>
    <row r="997" spans="1:16" ht="12.75">
      <c r="A997" s="114"/>
      <c r="B997" s="114"/>
      <c r="C997" s="7"/>
      <c r="D997" s="114"/>
      <c r="E997" s="128"/>
      <c r="F997" s="128"/>
      <c r="G997" s="128"/>
      <c r="H997" s="114"/>
      <c r="I997" s="88"/>
      <c r="J997" s="114"/>
      <c r="K997" s="114"/>
      <c r="L997" s="114"/>
      <c r="M997" s="114"/>
      <c r="N997" s="118"/>
      <c r="O997" s="118"/>
      <c r="P997" s="118"/>
    </row>
    <row r="998" spans="1:16" ht="12.75">
      <c r="A998" s="114"/>
      <c r="B998" s="114"/>
      <c r="C998" s="7"/>
      <c r="D998" s="114"/>
      <c r="E998" s="128"/>
      <c r="F998" s="128"/>
      <c r="G998" s="128"/>
      <c r="H998" s="114"/>
      <c r="I998" s="88"/>
      <c r="J998" s="114"/>
      <c r="K998" s="114"/>
      <c r="L998" s="114"/>
      <c r="M998" s="114"/>
      <c r="N998" s="118"/>
      <c r="O998" s="118"/>
      <c r="P998" s="118"/>
    </row>
    <row r="999" spans="1:16" ht="12.75">
      <c r="A999" s="114"/>
      <c r="B999" s="114"/>
      <c r="C999" s="7"/>
      <c r="D999" s="114"/>
      <c r="E999" s="128"/>
      <c r="F999" s="128"/>
      <c r="G999" s="128"/>
      <c r="H999" s="114"/>
      <c r="I999" s="88"/>
      <c r="J999" s="114"/>
      <c r="K999" s="114"/>
      <c r="L999" s="114"/>
      <c r="M999" s="114"/>
      <c r="N999" s="118"/>
      <c r="O999" s="118"/>
      <c r="P999" s="118"/>
    </row>
    <row r="1000" spans="1:16" ht="12.75">
      <c r="A1000" s="114"/>
      <c r="B1000" s="114"/>
      <c r="C1000" s="7"/>
      <c r="D1000" s="114"/>
      <c r="E1000" s="128"/>
      <c r="F1000" s="128"/>
      <c r="G1000" s="128"/>
      <c r="H1000" s="114"/>
      <c r="I1000" s="88"/>
      <c r="J1000" s="114"/>
      <c r="K1000" s="114"/>
      <c r="L1000" s="114"/>
      <c r="M1000" s="114"/>
      <c r="N1000" s="118"/>
      <c r="O1000" s="118"/>
      <c r="P1000" s="118"/>
    </row>
  </sheetData>
  <mergeCells count="1">
    <mergeCell ref="E1:G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outlinePr summaryBelow="0" summaryRight="0"/>
  </sheetPr>
  <dimension ref="A1:Y1101"/>
  <sheetViews>
    <sheetView zoomScale="190" zoomScaleNormal="190" workbookViewId="0">
      <selection activeCell="A195" sqref="A195"/>
    </sheetView>
  </sheetViews>
  <sheetFormatPr defaultColWidth="14.42578125" defaultRowHeight="15.75" customHeight="1"/>
  <cols>
    <col min="1" max="1" width="45.7109375" style="92" customWidth="1"/>
    <col min="2" max="2" width="64.28515625" style="92" hidden="1" customWidth="1"/>
    <col min="3" max="3" width="67.140625" style="92" customWidth="1"/>
    <col min="4" max="16384" width="14.42578125" style="92"/>
  </cols>
  <sheetData>
    <row r="1" spans="1:25">
      <c r="A1" s="89" t="s">
        <v>2002</v>
      </c>
      <c r="B1" s="90" t="s">
        <v>2003</v>
      </c>
      <c r="C1" s="90" t="s">
        <v>2004</v>
      </c>
      <c r="D1" s="91"/>
      <c r="E1" s="91"/>
      <c r="F1" s="91"/>
      <c r="G1" s="91"/>
      <c r="H1" s="91"/>
      <c r="I1" s="91"/>
      <c r="J1" s="91"/>
      <c r="K1" s="91"/>
      <c r="L1" s="91"/>
      <c r="M1" s="91"/>
      <c r="N1" s="91"/>
      <c r="O1" s="91"/>
      <c r="P1" s="91"/>
      <c r="Q1" s="91"/>
      <c r="R1" s="91"/>
      <c r="S1" s="91"/>
      <c r="T1" s="91"/>
      <c r="U1" s="91"/>
      <c r="V1" s="91"/>
      <c r="W1" s="91"/>
      <c r="X1" s="91"/>
      <c r="Y1" s="91"/>
    </row>
    <row r="2" spans="1:25">
      <c r="A2" s="93"/>
      <c r="B2" s="94"/>
      <c r="C2" s="95"/>
      <c r="D2" s="91"/>
      <c r="E2" s="91"/>
      <c r="F2" s="91"/>
      <c r="G2" s="91"/>
      <c r="H2" s="91"/>
      <c r="I2" s="91"/>
      <c r="J2" s="91"/>
      <c r="K2" s="91"/>
      <c r="L2" s="91"/>
      <c r="M2" s="91"/>
      <c r="N2" s="91"/>
      <c r="O2" s="91"/>
      <c r="P2" s="91"/>
      <c r="Q2" s="91"/>
      <c r="R2" s="91"/>
      <c r="S2" s="91"/>
      <c r="T2" s="91"/>
      <c r="U2" s="91"/>
      <c r="V2" s="91"/>
      <c r="W2" s="91"/>
      <c r="X2" s="91"/>
      <c r="Y2" s="91"/>
    </row>
    <row r="3" spans="1:25">
      <c r="A3" s="123" t="s">
        <v>2005</v>
      </c>
      <c r="B3" s="124"/>
      <c r="C3" s="125"/>
      <c r="D3" s="91"/>
      <c r="E3" s="91"/>
      <c r="F3" s="91"/>
      <c r="G3" s="91"/>
      <c r="H3" s="91"/>
      <c r="I3" s="91"/>
      <c r="J3" s="91"/>
      <c r="K3" s="91"/>
      <c r="L3" s="91"/>
      <c r="M3" s="91"/>
      <c r="N3" s="91"/>
      <c r="O3" s="91"/>
      <c r="P3" s="91"/>
      <c r="Q3" s="91"/>
      <c r="R3" s="91"/>
      <c r="S3" s="91"/>
      <c r="T3" s="91"/>
      <c r="U3" s="91"/>
      <c r="V3" s="91"/>
      <c r="W3" s="91"/>
      <c r="X3" s="91"/>
      <c r="Y3" s="91"/>
    </row>
    <row r="4" spans="1:25">
      <c r="A4" s="96" t="s">
        <v>2006</v>
      </c>
      <c r="B4" s="97" t="s">
        <v>2007</v>
      </c>
      <c r="C4" s="97" t="s">
        <v>2008</v>
      </c>
      <c r="D4" s="91"/>
      <c r="E4" s="91"/>
      <c r="F4" s="91"/>
      <c r="G4" s="91"/>
      <c r="H4" s="91"/>
      <c r="I4" s="91"/>
      <c r="J4" s="91"/>
      <c r="K4" s="91"/>
      <c r="L4" s="91"/>
      <c r="M4" s="91"/>
      <c r="N4" s="91"/>
      <c r="O4" s="91"/>
      <c r="P4" s="91"/>
      <c r="Q4" s="91"/>
      <c r="R4" s="91"/>
      <c r="S4" s="91"/>
      <c r="T4" s="91"/>
      <c r="U4" s="91"/>
      <c r="V4" s="91"/>
      <c r="W4" s="91"/>
      <c r="X4" s="91"/>
      <c r="Y4" s="91"/>
    </row>
    <row r="5" spans="1:25">
      <c r="A5" s="96" t="s">
        <v>2009</v>
      </c>
      <c r="B5" s="97" t="s">
        <v>2010</v>
      </c>
      <c r="C5" s="97" t="s">
        <v>2011</v>
      </c>
      <c r="D5" s="91"/>
      <c r="E5" s="91"/>
      <c r="F5" s="91"/>
      <c r="G5" s="91"/>
      <c r="H5" s="91"/>
      <c r="I5" s="91"/>
      <c r="J5" s="91"/>
      <c r="K5" s="91"/>
      <c r="L5" s="91"/>
      <c r="M5" s="91"/>
      <c r="N5" s="91"/>
      <c r="O5" s="91"/>
      <c r="P5" s="91"/>
      <c r="Q5" s="91"/>
      <c r="R5" s="91"/>
      <c r="S5" s="91"/>
      <c r="T5" s="91"/>
      <c r="U5" s="91"/>
      <c r="V5" s="91"/>
      <c r="W5" s="91"/>
      <c r="X5" s="91"/>
      <c r="Y5" s="91"/>
    </row>
    <row r="6" spans="1:25">
      <c r="A6" s="96" t="s">
        <v>2012</v>
      </c>
      <c r="B6" s="97" t="s">
        <v>2013</v>
      </c>
      <c r="C6" s="97" t="s">
        <v>2014</v>
      </c>
      <c r="D6" s="91"/>
      <c r="E6" s="91"/>
      <c r="F6" s="91"/>
      <c r="G6" s="91"/>
      <c r="H6" s="91"/>
      <c r="I6" s="91"/>
      <c r="J6" s="91"/>
      <c r="K6" s="91"/>
      <c r="L6" s="91"/>
      <c r="M6" s="91"/>
      <c r="N6" s="91"/>
      <c r="O6" s="91"/>
      <c r="P6" s="91"/>
      <c r="Q6" s="91"/>
      <c r="R6" s="91"/>
      <c r="S6" s="91"/>
      <c r="T6" s="91"/>
      <c r="U6" s="91"/>
      <c r="V6" s="91"/>
      <c r="W6" s="91"/>
      <c r="X6" s="91"/>
      <c r="Y6" s="91"/>
    </row>
    <row r="7" spans="1:25">
      <c r="A7" s="96" t="s">
        <v>2015</v>
      </c>
      <c r="B7" s="97" t="s">
        <v>2016</v>
      </c>
      <c r="C7" s="97" t="s">
        <v>2017</v>
      </c>
      <c r="D7" s="91"/>
      <c r="E7" s="91"/>
      <c r="F7" s="91"/>
      <c r="G7" s="91"/>
      <c r="H7" s="91"/>
      <c r="I7" s="91"/>
      <c r="J7" s="91"/>
      <c r="K7" s="91"/>
      <c r="L7" s="91"/>
      <c r="M7" s="91"/>
      <c r="N7" s="91"/>
      <c r="O7" s="91"/>
      <c r="P7" s="91"/>
      <c r="Q7" s="91"/>
      <c r="R7" s="91"/>
      <c r="S7" s="91"/>
      <c r="T7" s="91"/>
      <c r="U7" s="91"/>
      <c r="V7" s="91"/>
      <c r="W7" s="91"/>
      <c r="X7" s="91"/>
      <c r="Y7" s="91"/>
    </row>
    <row r="8" spans="1:25">
      <c r="A8" s="96" t="s">
        <v>2018</v>
      </c>
      <c r="B8" s="97" t="s">
        <v>2019</v>
      </c>
      <c r="C8" s="97" t="s">
        <v>2020</v>
      </c>
      <c r="D8" s="91"/>
      <c r="E8" s="91"/>
      <c r="F8" s="91"/>
      <c r="G8" s="91"/>
      <c r="H8" s="91"/>
      <c r="I8" s="91"/>
      <c r="J8" s="91"/>
      <c r="K8" s="91"/>
      <c r="L8" s="91"/>
      <c r="M8" s="91"/>
      <c r="N8" s="91"/>
      <c r="O8" s="91"/>
      <c r="P8" s="91"/>
      <c r="Q8" s="91"/>
      <c r="R8" s="91"/>
      <c r="S8" s="91"/>
      <c r="T8" s="91"/>
      <c r="U8" s="91"/>
      <c r="V8" s="91"/>
      <c r="W8" s="91"/>
      <c r="X8" s="91"/>
      <c r="Y8" s="91"/>
    </row>
    <row r="9" spans="1:25">
      <c r="A9" s="96" t="s">
        <v>2021</v>
      </c>
      <c r="B9" s="97" t="s">
        <v>2022</v>
      </c>
      <c r="C9" s="97" t="s">
        <v>2023</v>
      </c>
      <c r="D9" s="91"/>
      <c r="E9" s="91"/>
      <c r="F9" s="91"/>
      <c r="G9" s="91"/>
      <c r="H9" s="91"/>
      <c r="I9" s="91"/>
      <c r="J9" s="91"/>
      <c r="K9" s="91"/>
      <c r="L9" s="91"/>
      <c r="M9" s="91"/>
      <c r="N9" s="91"/>
      <c r="O9" s="91"/>
      <c r="P9" s="91"/>
      <c r="Q9" s="91"/>
      <c r="R9" s="91"/>
      <c r="S9" s="91"/>
      <c r="T9" s="91"/>
      <c r="U9" s="91"/>
      <c r="V9" s="91"/>
      <c r="W9" s="91"/>
      <c r="X9" s="91"/>
      <c r="Y9" s="91"/>
    </row>
    <row r="10" spans="1:25">
      <c r="A10" s="96" t="s">
        <v>66</v>
      </c>
      <c r="B10" s="97" t="s">
        <v>2024</v>
      </c>
      <c r="C10" s="97" t="s">
        <v>2025</v>
      </c>
      <c r="D10" s="91"/>
      <c r="E10" s="91"/>
      <c r="F10" s="91"/>
      <c r="G10" s="91"/>
      <c r="H10" s="91"/>
      <c r="I10" s="91"/>
      <c r="J10" s="91"/>
      <c r="K10" s="91"/>
      <c r="L10" s="91"/>
      <c r="M10" s="91"/>
      <c r="N10" s="91"/>
      <c r="O10" s="91"/>
      <c r="P10" s="91"/>
      <c r="Q10" s="91"/>
      <c r="R10" s="91"/>
      <c r="S10" s="91"/>
      <c r="T10" s="91"/>
      <c r="U10" s="91"/>
      <c r="V10" s="91"/>
      <c r="W10" s="91"/>
      <c r="X10" s="91"/>
      <c r="Y10" s="91"/>
    </row>
    <row r="11" spans="1:25">
      <c r="A11" s="96" t="s">
        <v>70</v>
      </c>
      <c r="B11" s="97" t="s">
        <v>2026</v>
      </c>
      <c r="C11" s="97" t="s">
        <v>2027</v>
      </c>
      <c r="D11" s="91"/>
      <c r="E11" s="91"/>
      <c r="F11" s="91"/>
      <c r="G11" s="91"/>
      <c r="H11" s="91"/>
      <c r="I11" s="91"/>
      <c r="J11" s="91"/>
      <c r="K11" s="91"/>
      <c r="L11" s="91"/>
      <c r="M11" s="91"/>
      <c r="N11" s="91"/>
      <c r="O11" s="91"/>
      <c r="P11" s="91"/>
      <c r="Q11" s="91"/>
      <c r="R11" s="91"/>
      <c r="S11" s="91"/>
      <c r="T11" s="91"/>
      <c r="U11" s="91"/>
      <c r="V11" s="91"/>
      <c r="W11" s="91"/>
      <c r="X11" s="91"/>
      <c r="Y11" s="91"/>
    </row>
    <row r="12" spans="1:25">
      <c r="A12" s="96" t="s">
        <v>2028</v>
      </c>
      <c r="B12" s="97" t="s">
        <v>2029</v>
      </c>
      <c r="C12" s="97" t="s">
        <v>2030</v>
      </c>
      <c r="D12" s="91"/>
      <c r="E12" s="91"/>
      <c r="F12" s="91"/>
      <c r="G12" s="91"/>
      <c r="H12" s="91"/>
      <c r="I12" s="91"/>
      <c r="J12" s="91"/>
      <c r="K12" s="91"/>
      <c r="L12" s="91"/>
      <c r="M12" s="91"/>
      <c r="N12" s="91"/>
      <c r="O12" s="91"/>
      <c r="P12" s="91"/>
      <c r="Q12" s="91"/>
      <c r="R12" s="91"/>
      <c r="S12" s="91"/>
      <c r="T12" s="91"/>
      <c r="U12" s="91"/>
      <c r="V12" s="91"/>
      <c r="W12" s="91"/>
      <c r="X12" s="91"/>
      <c r="Y12" s="91"/>
    </row>
    <row r="13" spans="1:25">
      <c r="A13" s="96" t="s">
        <v>2031</v>
      </c>
      <c r="B13" s="97" t="s">
        <v>2032</v>
      </c>
      <c r="C13" s="97" t="s">
        <v>2033</v>
      </c>
      <c r="D13" s="91"/>
      <c r="E13" s="91"/>
      <c r="F13" s="91"/>
      <c r="G13" s="91"/>
      <c r="H13" s="91"/>
      <c r="I13" s="91"/>
      <c r="J13" s="91"/>
      <c r="K13" s="91"/>
      <c r="L13" s="91"/>
      <c r="M13" s="91"/>
      <c r="N13" s="91"/>
      <c r="O13" s="91"/>
      <c r="P13" s="91"/>
      <c r="Q13" s="91"/>
      <c r="R13" s="91"/>
      <c r="S13" s="91"/>
      <c r="T13" s="91"/>
      <c r="U13" s="91"/>
      <c r="V13" s="91"/>
      <c r="W13" s="91"/>
      <c r="X13" s="91"/>
      <c r="Y13" s="91"/>
    </row>
    <row r="14" spans="1:25">
      <c r="A14" s="96" t="s">
        <v>2034</v>
      </c>
      <c r="B14" s="97" t="s">
        <v>2035</v>
      </c>
      <c r="C14" s="97" t="s">
        <v>2036</v>
      </c>
      <c r="D14" s="91"/>
      <c r="E14" s="91"/>
      <c r="F14" s="91"/>
      <c r="G14" s="91"/>
      <c r="H14" s="91"/>
      <c r="I14" s="91"/>
      <c r="J14" s="91"/>
      <c r="K14" s="91"/>
      <c r="L14" s="91"/>
      <c r="M14" s="91"/>
      <c r="N14" s="91"/>
      <c r="O14" s="91"/>
      <c r="P14" s="91"/>
      <c r="Q14" s="91"/>
      <c r="R14" s="91"/>
      <c r="S14" s="91"/>
      <c r="T14" s="91"/>
      <c r="U14" s="91"/>
      <c r="V14" s="91"/>
      <c r="W14" s="91"/>
      <c r="X14" s="91"/>
      <c r="Y14" s="91"/>
    </row>
    <row r="15" spans="1:25">
      <c r="A15" s="96" t="s">
        <v>2037</v>
      </c>
      <c r="B15" s="97" t="s">
        <v>2038</v>
      </c>
      <c r="C15" s="97" t="s">
        <v>2039</v>
      </c>
      <c r="D15" s="91"/>
      <c r="E15" s="91"/>
      <c r="F15" s="91"/>
      <c r="G15" s="91"/>
      <c r="H15" s="91"/>
      <c r="I15" s="91"/>
      <c r="J15" s="91"/>
      <c r="K15" s="91"/>
      <c r="L15" s="91"/>
      <c r="M15" s="91"/>
      <c r="N15" s="91"/>
      <c r="O15" s="91"/>
      <c r="P15" s="91"/>
      <c r="Q15" s="91"/>
      <c r="R15" s="91"/>
      <c r="S15" s="91"/>
      <c r="T15" s="91"/>
      <c r="U15" s="91"/>
      <c r="V15" s="91"/>
      <c r="W15" s="91"/>
      <c r="X15" s="91"/>
      <c r="Y15" s="91"/>
    </row>
    <row r="16" spans="1:25">
      <c r="A16" s="96" t="s">
        <v>2040</v>
      </c>
      <c r="B16" s="97" t="s">
        <v>2041</v>
      </c>
      <c r="C16" s="97" t="s">
        <v>2042</v>
      </c>
      <c r="D16" s="91"/>
      <c r="E16" s="91"/>
      <c r="F16" s="91"/>
      <c r="G16" s="91"/>
      <c r="H16" s="91"/>
      <c r="I16" s="91"/>
      <c r="J16" s="91"/>
      <c r="K16" s="91"/>
      <c r="L16" s="91"/>
      <c r="M16" s="91"/>
      <c r="N16" s="91"/>
      <c r="O16" s="91"/>
      <c r="P16" s="91"/>
      <c r="Q16" s="91"/>
      <c r="R16" s="91"/>
      <c r="S16" s="91"/>
      <c r="T16" s="91"/>
      <c r="U16" s="91"/>
      <c r="V16" s="91"/>
      <c r="W16" s="91"/>
      <c r="X16" s="91"/>
      <c r="Y16" s="91"/>
    </row>
    <row r="17" spans="1:25">
      <c r="A17" s="96" t="s">
        <v>97</v>
      </c>
      <c r="B17" s="97" t="s">
        <v>2043</v>
      </c>
      <c r="C17" s="97" t="s">
        <v>2044</v>
      </c>
      <c r="D17" s="91"/>
      <c r="E17" s="91"/>
      <c r="F17" s="91"/>
      <c r="G17" s="91"/>
      <c r="H17" s="91"/>
      <c r="I17" s="91"/>
      <c r="J17" s="91"/>
      <c r="K17" s="91"/>
      <c r="L17" s="91"/>
      <c r="M17" s="91"/>
      <c r="N17" s="91"/>
      <c r="O17" s="91"/>
      <c r="P17" s="91"/>
      <c r="Q17" s="91"/>
      <c r="R17" s="91"/>
      <c r="S17" s="91"/>
      <c r="T17" s="91"/>
      <c r="U17" s="91"/>
      <c r="V17" s="91"/>
      <c r="W17" s="91"/>
      <c r="X17" s="91"/>
      <c r="Y17" s="91"/>
    </row>
    <row r="18" spans="1:25">
      <c r="A18" s="96" t="s">
        <v>2045</v>
      </c>
      <c r="B18" s="97" t="s">
        <v>2046</v>
      </c>
      <c r="C18" s="97" t="s">
        <v>2047</v>
      </c>
      <c r="D18" s="91"/>
      <c r="E18" s="91"/>
      <c r="F18" s="91"/>
      <c r="G18" s="91"/>
      <c r="H18" s="91"/>
      <c r="I18" s="91"/>
      <c r="J18" s="91"/>
      <c r="K18" s="91"/>
      <c r="L18" s="91"/>
      <c r="M18" s="91"/>
      <c r="N18" s="91"/>
      <c r="O18" s="91"/>
      <c r="P18" s="91"/>
      <c r="Q18" s="91"/>
      <c r="R18" s="91"/>
      <c r="S18" s="91"/>
      <c r="T18" s="91"/>
      <c r="U18" s="91"/>
      <c r="V18" s="91"/>
      <c r="W18" s="91"/>
      <c r="X18" s="91"/>
      <c r="Y18" s="91"/>
    </row>
    <row r="19" spans="1:25">
      <c r="A19" s="96" t="s">
        <v>112</v>
      </c>
      <c r="B19" s="97" t="s">
        <v>2048</v>
      </c>
      <c r="C19" s="97" t="s">
        <v>2049</v>
      </c>
      <c r="D19" s="91"/>
      <c r="E19" s="91"/>
      <c r="F19" s="91"/>
      <c r="G19" s="91"/>
      <c r="H19" s="91"/>
      <c r="I19" s="91"/>
      <c r="J19" s="91"/>
      <c r="K19" s="91"/>
      <c r="L19" s="91"/>
      <c r="M19" s="91"/>
      <c r="N19" s="91"/>
      <c r="O19" s="91"/>
      <c r="P19" s="91"/>
      <c r="Q19" s="91"/>
      <c r="R19" s="91"/>
      <c r="S19" s="91"/>
      <c r="T19" s="91"/>
      <c r="U19" s="91"/>
      <c r="V19" s="91"/>
      <c r="W19" s="91"/>
      <c r="X19" s="91"/>
      <c r="Y19" s="91"/>
    </row>
    <row r="20" spans="1:25">
      <c r="A20" s="96" t="s">
        <v>116</v>
      </c>
      <c r="B20" s="97" t="s">
        <v>2050</v>
      </c>
      <c r="C20" s="97" t="s">
        <v>2051</v>
      </c>
      <c r="D20" s="91"/>
      <c r="E20" s="91"/>
      <c r="F20" s="91"/>
      <c r="G20" s="91"/>
      <c r="H20" s="91"/>
      <c r="I20" s="91"/>
      <c r="J20" s="91"/>
      <c r="K20" s="91"/>
      <c r="L20" s="91"/>
      <c r="M20" s="91"/>
      <c r="N20" s="91"/>
      <c r="O20" s="91"/>
      <c r="P20" s="91"/>
      <c r="Q20" s="91"/>
      <c r="R20" s="91"/>
      <c r="S20" s="91"/>
      <c r="T20" s="91"/>
      <c r="U20" s="91"/>
      <c r="V20" s="91"/>
      <c r="W20" s="91"/>
      <c r="X20" s="91"/>
      <c r="Y20" s="91"/>
    </row>
    <row r="21" spans="1:25">
      <c r="A21" s="96" t="s">
        <v>2052</v>
      </c>
      <c r="B21" s="97" t="s">
        <v>2053</v>
      </c>
      <c r="C21" s="97" t="s">
        <v>2054</v>
      </c>
      <c r="D21" s="91"/>
      <c r="E21" s="91"/>
      <c r="F21" s="91"/>
      <c r="G21" s="91"/>
      <c r="H21" s="91"/>
      <c r="I21" s="91"/>
      <c r="J21" s="91"/>
      <c r="K21" s="91"/>
      <c r="L21" s="91"/>
      <c r="M21" s="91"/>
      <c r="N21" s="91"/>
      <c r="O21" s="91"/>
      <c r="P21" s="91"/>
      <c r="Q21" s="91"/>
      <c r="R21" s="91"/>
      <c r="S21" s="91"/>
      <c r="T21" s="91"/>
      <c r="U21" s="91"/>
      <c r="V21" s="91"/>
      <c r="W21" s="91"/>
      <c r="X21" s="91"/>
      <c r="Y21" s="91"/>
    </row>
    <row r="22" spans="1:25">
      <c r="A22" s="96" t="s">
        <v>2055</v>
      </c>
      <c r="B22" s="97" t="s">
        <v>2056</v>
      </c>
      <c r="C22" s="97" t="s">
        <v>2057</v>
      </c>
      <c r="D22" s="91"/>
      <c r="E22" s="91"/>
      <c r="F22" s="91"/>
      <c r="G22" s="91"/>
      <c r="H22" s="91"/>
      <c r="I22" s="91"/>
      <c r="J22" s="91"/>
      <c r="K22" s="91"/>
      <c r="L22" s="91"/>
      <c r="M22" s="91"/>
      <c r="N22" s="91"/>
      <c r="O22" s="91"/>
      <c r="P22" s="91"/>
      <c r="Q22" s="91"/>
      <c r="R22" s="91"/>
      <c r="S22" s="91"/>
      <c r="T22" s="91"/>
      <c r="U22" s="91"/>
      <c r="V22" s="91"/>
      <c r="W22" s="91"/>
      <c r="X22" s="91"/>
      <c r="Y22" s="91"/>
    </row>
    <row r="23" spans="1:25">
      <c r="A23" s="96" t="s">
        <v>130</v>
      </c>
      <c r="B23" s="97" t="s">
        <v>2058</v>
      </c>
      <c r="C23" s="97" t="s">
        <v>2059</v>
      </c>
      <c r="D23" s="91"/>
      <c r="E23" s="91"/>
      <c r="F23" s="91"/>
      <c r="G23" s="91"/>
      <c r="H23" s="91"/>
      <c r="I23" s="91"/>
      <c r="J23" s="91"/>
      <c r="K23" s="91"/>
      <c r="L23" s="91"/>
      <c r="M23" s="91"/>
      <c r="N23" s="91"/>
      <c r="O23" s="91"/>
      <c r="P23" s="91"/>
      <c r="Q23" s="91"/>
      <c r="R23" s="91"/>
      <c r="S23" s="91"/>
      <c r="T23" s="91"/>
      <c r="U23" s="91"/>
      <c r="V23" s="91"/>
      <c r="W23" s="91"/>
      <c r="X23" s="91"/>
      <c r="Y23" s="91"/>
    </row>
    <row r="24" spans="1:25">
      <c r="A24" s="96" t="s">
        <v>2060</v>
      </c>
      <c r="B24" s="97" t="s">
        <v>2061</v>
      </c>
      <c r="C24" s="97" t="s">
        <v>2062</v>
      </c>
      <c r="D24" s="91"/>
      <c r="E24" s="91"/>
      <c r="F24" s="91"/>
      <c r="G24" s="91"/>
      <c r="H24" s="91"/>
      <c r="I24" s="91"/>
      <c r="J24" s="91"/>
      <c r="K24" s="91"/>
      <c r="L24" s="91"/>
      <c r="M24" s="91"/>
      <c r="N24" s="91"/>
      <c r="O24" s="91"/>
      <c r="P24" s="91"/>
      <c r="Q24" s="91"/>
      <c r="R24" s="91"/>
      <c r="S24" s="91"/>
      <c r="T24" s="91"/>
      <c r="U24" s="91"/>
      <c r="V24" s="91"/>
      <c r="W24" s="91"/>
      <c r="X24" s="91"/>
      <c r="Y24" s="91"/>
    </row>
    <row r="25" spans="1:25">
      <c r="A25" s="96" t="s">
        <v>2063</v>
      </c>
      <c r="B25" s="97" t="s">
        <v>2064</v>
      </c>
      <c r="C25" s="97" t="s">
        <v>2065</v>
      </c>
      <c r="D25" s="91"/>
      <c r="E25" s="91"/>
      <c r="F25" s="91"/>
      <c r="G25" s="91"/>
      <c r="H25" s="91"/>
      <c r="I25" s="91"/>
      <c r="J25" s="91"/>
      <c r="K25" s="91"/>
      <c r="L25" s="91"/>
      <c r="M25" s="91"/>
      <c r="N25" s="91"/>
      <c r="O25" s="91"/>
      <c r="P25" s="91"/>
      <c r="Q25" s="91"/>
      <c r="R25" s="91"/>
      <c r="S25" s="91"/>
      <c r="T25" s="91"/>
      <c r="U25" s="91"/>
      <c r="V25" s="91"/>
      <c r="W25" s="91"/>
      <c r="X25" s="91"/>
      <c r="Y25" s="91"/>
    </row>
    <row r="26" spans="1:25">
      <c r="A26" s="96" t="s">
        <v>154</v>
      </c>
      <c r="B26" s="97" t="s">
        <v>2066</v>
      </c>
      <c r="C26" s="97" t="s">
        <v>2067</v>
      </c>
      <c r="D26" s="91"/>
      <c r="E26" s="91"/>
      <c r="F26" s="91"/>
      <c r="G26" s="91"/>
      <c r="H26" s="91"/>
      <c r="I26" s="91"/>
      <c r="J26" s="91"/>
      <c r="K26" s="91"/>
      <c r="L26" s="91"/>
      <c r="M26" s="91"/>
      <c r="N26" s="91"/>
      <c r="O26" s="91"/>
      <c r="P26" s="91"/>
      <c r="Q26" s="91"/>
      <c r="R26" s="91"/>
      <c r="S26" s="91"/>
      <c r="T26" s="91"/>
      <c r="U26" s="91"/>
      <c r="V26" s="91"/>
      <c r="W26" s="91"/>
      <c r="X26" s="91"/>
      <c r="Y26" s="91"/>
    </row>
    <row r="27" spans="1:25">
      <c r="A27" s="96" t="s">
        <v>158</v>
      </c>
      <c r="B27" s="97" t="s">
        <v>2068</v>
      </c>
      <c r="C27" s="97" t="s">
        <v>2069</v>
      </c>
      <c r="D27" s="91"/>
      <c r="E27" s="91"/>
      <c r="F27" s="91"/>
      <c r="G27" s="91"/>
      <c r="H27" s="91"/>
      <c r="I27" s="91"/>
      <c r="J27" s="91"/>
      <c r="K27" s="91"/>
      <c r="L27" s="91"/>
      <c r="M27" s="91"/>
      <c r="N27" s="91"/>
      <c r="O27" s="91"/>
      <c r="P27" s="91"/>
      <c r="Q27" s="91"/>
      <c r="R27" s="91"/>
      <c r="S27" s="91"/>
      <c r="T27" s="91"/>
      <c r="U27" s="91"/>
      <c r="V27" s="91"/>
      <c r="W27" s="91"/>
      <c r="X27" s="91"/>
      <c r="Y27" s="91"/>
    </row>
    <row r="28" spans="1:25">
      <c r="A28" s="96" t="s">
        <v>2070</v>
      </c>
      <c r="B28" s="97" t="s">
        <v>2071</v>
      </c>
      <c r="C28" s="97" t="s">
        <v>2072</v>
      </c>
      <c r="D28" s="91"/>
      <c r="E28" s="91"/>
      <c r="F28" s="91"/>
      <c r="G28" s="91"/>
      <c r="H28" s="91"/>
      <c r="I28" s="91"/>
      <c r="J28" s="91"/>
      <c r="K28" s="91"/>
      <c r="L28" s="91"/>
      <c r="M28" s="91"/>
      <c r="N28" s="91"/>
      <c r="O28" s="91"/>
      <c r="P28" s="91"/>
      <c r="Q28" s="91"/>
      <c r="R28" s="91"/>
      <c r="S28" s="91"/>
      <c r="T28" s="91"/>
      <c r="U28" s="91"/>
      <c r="V28" s="91"/>
      <c r="W28" s="91"/>
      <c r="X28" s="91"/>
      <c r="Y28" s="91"/>
    </row>
    <row r="29" spans="1:25">
      <c r="A29" s="96" t="s">
        <v>2073</v>
      </c>
      <c r="B29" s="97" t="s">
        <v>2074</v>
      </c>
      <c r="C29" s="98" t="s">
        <v>2075</v>
      </c>
      <c r="D29" s="91"/>
      <c r="E29" s="91"/>
      <c r="F29" s="91"/>
      <c r="G29" s="91"/>
      <c r="H29" s="91"/>
      <c r="I29" s="91"/>
      <c r="J29" s="91"/>
      <c r="K29" s="91"/>
      <c r="L29" s="91"/>
      <c r="M29" s="91"/>
      <c r="N29" s="91"/>
      <c r="O29" s="91"/>
      <c r="P29" s="91"/>
      <c r="Q29" s="91"/>
      <c r="R29" s="91"/>
      <c r="S29" s="91"/>
      <c r="T29" s="91"/>
      <c r="U29" s="91"/>
      <c r="V29" s="91"/>
      <c r="W29" s="91"/>
      <c r="X29" s="91"/>
      <c r="Y29" s="91"/>
    </row>
    <row r="30" spans="1:25">
      <c r="A30" s="96" t="s">
        <v>2076</v>
      </c>
      <c r="B30" s="97" t="s">
        <v>2077</v>
      </c>
      <c r="C30" s="97" t="s">
        <v>2078</v>
      </c>
      <c r="D30" s="91"/>
      <c r="E30" s="91"/>
      <c r="F30" s="91"/>
      <c r="G30" s="91"/>
      <c r="H30" s="91"/>
      <c r="I30" s="91"/>
      <c r="J30" s="91"/>
      <c r="K30" s="91"/>
      <c r="L30" s="91"/>
      <c r="M30" s="91"/>
      <c r="N30" s="91"/>
      <c r="O30" s="91"/>
      <c r="P30" s="91"/>
      <c r="Q30" s="91"/>
      <c r="R30" s="91"/>
      <c r="S30" s="91"/>
      <c r="T30" s="91"/>
      <c r="U30" s="91"/>
      <c r="V30" s="91"/>
      <c r="W30" s="91"/>
      <c r="X30" s="91"/>
      <c r="Y30" s="91"/>
    </row>
    <row r="31" spans="1:25">
      <c r="A31" s="96" t="s">
        <v>2079</v>
      </c>
      <c r="B31" s="97" t="s">
        <v>2080</v>
      </c>
      <c r="C31" s="97" t="s">
        <v>2081</v>
      </c>
      <c r="D31" s="91"/>
      <c r="E31" s="91"/>
      <c r="F31" s="91"/>
      <c r="G31" s="91"/>
      <c r="H31" s="91"/>
      <c r="I31" s="91"/>
      <c r="J31" s="91"/>
      <c r="K31" s="91"/>
      <c r="L31" s="91"/>
      <c r="M31" s="91"/>
      <c r="N31" s="91"/>
      <c r="O31" s="91"/>
      <c r="P31" s="91"/>
      <c r="Q31" s="91"/>
      <c r="R31" s="91"/>
      <c r="S31" s="91"/>
      <c r="T31" s="91"/>
      <c r="U31" s="91"/>
      <c r="V31" s="91"/>
      <c r="W31" s="91"/>
      <c r="X31" s="91"/>
      <c r="Y31" s="91"/>
    </row>
    <row r="32" spans="1:25">
      <c r="A32" s="96" t="s">
        <v>174</v>
      </c>
      <c r="B32" s="97" t="s">
        <v>2082</v>
      </c>
      <c r="C32" s="97" t="s">
        <v>2083</v>
      </c>
      <c r="D32" s="91"/>
      <c r="E32" s="91"/>
      <c r="F32" s="91"/>
      <c r="G32" s="91"/>
      <c r="H32" s="91"/>
      <c r="I32" s="91"/>
      <c r="J32" s="91"/>
      <c r="K32" s="91"/>
      <c r="L32" s="91"/>
      <c r="M32" s="91"/>
      <c r="N32" s="91"/>
      <c r="O32" s="91"/>
      <c r="P32" s="91"/>
      <c r="Q32" s="91"/>
      <c r="R32" s="91"/>
      <c r="S32" s="91"/>
      <c r="T32" s="91"/>
      <c r="U32" s="91"/>
      <c r="V32" s="91"/>
      <c r="W32" s="91"/>
      <c r="X32" s="91"/>
      <c r="Y32" s="91"/>
    </row>
    <row r="33" spans="1:25">
      <c r="A33" s="96" t="s">
        <v>178</v>
      </c>
      <c r="B33" s="97" t="s">
        <v>2084</v>
      </c>
      <c r="C33" s="97" t="s">
        <v>2085</v>
      </c>
      <c r="D33" s="91"/>
      <c r="E33" s="91"/>
      <c r="F33" s="91"/>
      <c r="G33" s="91"/>
      <c r="H33" s="91"/>
      <c r="I33" s="91"/>
      <c r="J33" s="91"/>
      <c r="K33" s="91"/>
      <c r="L33" s="91"/>
      <c r="M33" s="91"/>
      <c r="N33" s="91"/>
      <c r="O33" s="91"/>
      <c r="P33" s="91"/>
      <c r="Q33" s="91"/>
      <c r="R33" s="91"/>
      <c r="S33" s="91"/>
      <c r="T33" s="91"/>
      <c r="U33" s="91"/>
      <c r="V33" s="91"/>
      <c r="W33" s="91"/>
      <c r="X33" s="91"/>
      <c r="Y33" s="91"/>
    </row>
    <row r="34" spans="1:25">
      <c r="A34" s="96" t="s">
        <v>182</v>
      </c>
      <c r="B34" s="97" t="s">
        <v>2086</v>
      </c>
      <c r="C34" s="97" t="s">
        <v>2087</v>
      </c>
      <c r="D34" s="91"/>
      <c r="E34" s="91"/>
      <c r="F34" s="91"/>
      <c r="G34" s="91"/>
      <c r="H34" s="91"/>
      <c r="I34" s="91"/>
      <c r="J34" s="91"/>
      <c r="K34" s="91"/>
      <c r="L34" s="91"/>
      <c r="M34" s="91"/>
      <c r="N34" s="91"/>
      <c r="O34" s="91"/>
      <c r="P34" s="91"/>
      <c r="Q34" s="91"/>
      <c r="R34" s="91"/>
      <c r="S34" s="91"/>
      <c r="T34" s="91"/>
      <c r="U34" s="91"/>
      <c r="V34" s="91"/>
      <c r="W34" s="91"/>
      <c r="X34" s="91"/>
      <c r="Y34" s="91"/>
    </row>
    <row r="35" spans="1:25">
      <c r="A35" s="96" t="s">
        <v>2088</v>
      </c>
      <c r="B35" s="97" t="s">
        <v>2089</v>
      </c>
      <c r="C35" s="97" t="s">
        <v>2090</v>
      </c>
      <c r="D35" s="91"/>
      <c r="E35" s="91"/>
      <c r="F35" s="91"/>
      <c r="G35" s="91"/>
      <c r="H35" s="91"/>
      <c r="I35" s="91"/>
      <c r="J35" s="91"/>
      <c r="K35" s="91"/>
      <c r="L35" s="91"/>
      <c r="M35" s="91"/>
      <c r="N35" s="91"/>
      <c r="O35" s="91"/>
      <c r="P35" s="91"/>
      <c r="Q35" s="91"/>
      <c r="R35" s="91"/>
      <c r="S35" s="91"/>
      <c r="T35" s="91"/>
      <c r="U35" s="91"/>
      <c r="V35" s="91"/>
      <c r="W35" s="91"/>
      <c r="X35" s="91"/>
      <c r="Y35" s="91"/>
    </row>
    <row r="36" spans="1:25">
      <c r="A36" s="96" t="s">
        <v>2091</v>
      </c>
      <c r="B36" s="97" t="s">
        <v>2092</v>
      </c>
      <c r="C36" s="97" t="s">
        <v>2093</v>
      </c>
      <c r="D36" s="91"/>
      <c r="E36" s="91"/>
      <c r="F36" s="91"/>
      <c r="G36" s="91"/>
      <c r="H36" s="91"/>
      <c r="I36" s="91"/>
      <c r="J36" s="91"/>
      <c r="K36" s="91"/>
      <c r="L36" s="91"/>
      <c r="M36" s="91"/>
      <c r="N36" s="91"/>
      <c r="O36" s="91"/>
      <c r="P36" s="91"/>
      <c r="Q36" s="91"/>
      <c r="R36" s="91"/>
      <c r="S36" s="91"/>
      <c r="T36" s="91"/>
      <c r="U36" s="91"/>
      <c r="V36" s="91"/>
      <c r="W36" s="91"/>
      <c r="X36" s="91"/>
      <c r="Y36" s="91"/>
    </row>
    <row r="37" spans="1:25">
      <c r="A37" s="96" t="s">
        <v>2094</v>
      </c>
      <c r="B37" s="97" t="s">
        <v>2095</v>
      </c>
      <c r="C37" s="97" t="s">
        <v>2096</v>
      </c>
      <c r="D37" s="91"/>
      <c r="E37" s="91"/>
      <c r="F37" s="91"/>
      <c r="G37" s="91"/>
      <c r="H37" s="91"/>
      <c r="I37" s="91"/>
      <c r="J37" s="91"/>
      <c r="K37" s="91"/>
      <c r="L37" s="91"/>
      <c r="M37" s="91"/>
      <c r="N37" s="91"/>
      <c r="O37" s="91"/>
      <c r="P37" s="91"/>
      <c r="Q37" s="91"/>
      <c r="R37" s="91"/>
      <c r="S37" s="91"/>
      <c r="T37" s="91"/>
      <c r="U37" s="91"/>
      <c r="V37" s="91"/>
      <c r="W37" s="91"/>
      <c r="X37" s="91"/>
      <c r="Y37" s="91"/>
    </row>
    <row r="38" spans="1:25">
      <c r="A38" s="96" t="s">
        <v>2097</v>
      </c>
      <c r="B38" s="97" t="s">
        <v>2098</v>
      </c>
      <c r="C38" s="97" t="s">
        <v>2099</v>
      </c>
      <c r="D38" s="91"/>
      <c r="E38" s="91"/>
      <c r="F38" s="91"/>
      <c r="G38" s="91"/>
      <c r="H38" s="91"/>
      <c r="I38" s="91"/>
      <c r="J38" s="91"/>
      <c r="K38" s="91"/>
      <c r="L38" s="91"/>
      <c r="M38" s="91"/>
      <c r="N38" s="91"/>
      <c r="O38" s="91"/>
      <c r="P38" s="91"/>
      <c r="Q38" s="91"/>
      <c r="R38" s="91"/>
      <c r="S38" s="91"/>
      <c r="T38" s="91"/>
      <c r="U38" s="91"/>
      <c r="V38" s="91"/>
      <c r="W38" s="91"/>
      <c r="X38" s="91"/>
      <c r="Y38" s="91"/>
    </row>
    <row r="39" spans="1:25">
      <c r="A39" s="96" t="s">
        <v>2100</v>
      </c>
      <c r="B39" s="97" t="s">
        <v>2101</v>
      </c>
      <c r="C39" s="97" t="s">
        <v>2102</v>
      </c>
      <c r="D39" s="91"/>
      <c r="E39" s="91"/>
      <c r="F39" s="91"/>
      <c r="G39" s="91"/>
      <c r="H39" s="91"/>
      <c r="I39" s="91"/>
      <c r="J39" s="91"/>
      <c r="K39" s="91"/>
      <c r="L39" s="91"/>
      <c r="M39" s="91"/>
      <c r="N39" s="91"/>
      <c r="O39" s="91"/>
      <c r="P39" s="91"/>
      <c r="Q39" s="91"/>
      <c r="R39" s="91"/>
      <c r="S39" s="91"/>
      <c r="T39" s="91"/>
      <c r="U39" s="91"/>
      <c r="V39" s="91"/>
      <c r="W39" s="91"/>
      <c r="X39" s="91"/>
      <c r="Y39" s="91"/>
    </row>
    <row r="40" spans="1:25">
      <c r="A40" s="96" t="s">
        <v>2103</v>
      </c>
      <c r="B40" s="97" t="s">
        <v>2104</v>
      </c>
      <c r="C40" s="97" t="s">
        <v>2105</v>
      </c>
      <c r="D40" s="91"/>
      <c r="E40" s="91"/>
      <c r="F40" s="91"/>
      <c r="G40" s="91"/>
      <c r="H40" s="91"/>
      <c r="I40" s="91"/>
      <c r="J40" s="91"/>
      <c r="K40" s="91"/>
      <c r="L40" s="91"/>
      <c r="M40" s="91"/>
      <c r="N40" s="91"/>
      <c r="O40" s="91"/>
      <c r="P40" s="91"/>
      <c r="Q40" s="91"/>
      <c r="R40" s="91"/>
      <c r="S40" s="91"/>
      <c r="T40" s="91"/>
      <c r="U40" s="91"/>
      <c r="V40" s="91"/>
      <c r="W40" s="91"/>
      <c r="X40" s="91"/>
      <c r="Y40" s="91"/>
    </row>
    <row r="41" spans="1:25">
      <c r="A41" s="99" t="s">
        <v>213</v>
      </c>
      <c r="B41" s="97" t="s">
        <v>2106</v>
      </c>
      <c r="C41" s="97" t="s">
        <v>2107</v>
      </c>
      <c r="D41" s="91"/>
      <c r="E41" s="91"/>
      <c r="F41" s="91"/>
      <c r="G41" s="91"/>
      <c r="H41" s="91"/>
      <c r="I41" s="91"/>
      <c r="J41" s="91"/>
      <c r="K41" s="91"/>
      <c r="L41" s="91"/>
      <c r="M41" s="91"/>
      <c r="N41" s="91"/>
      <c r="O41" s="91"/>
      <c r="P41" s="91"/>
      <c r="Q41" s="91"/>
      <c r="R41" s="91"/>
      <c r="S41" s="91"/>
      <c r="T41" s="91"/>
      <c r="U41" s="91"/>
      <c r="V41" s="91"/>
      <c r="W41" s="91"/>
      <c r="X41" s="91"/>
      <c r="Y41" s="91"/>
    </row>
    <row r="42" spans="1:25">
      <c r="A42" s="96" t="s">
        <v>217</v>
      </c>
      <c r="B42" s="97" t="s">
        <v>2108</v>
      </c>
      <c r="C42" s="97" t="s">
        <v>2109</v>
      </c>
      <c r="D42" s="91"/>
      <c r="E42" s="91"/>
      <c r="F42" s="91"/>
      <c r="G42" s="91"/>
      <c r="H42" s="91"/>
      <c r="I42" s="91"/>
      <c r="J42" s="91"/>
      <c r="K42" s="91"/>
      <c r="L42" s="91"/>
      <c r="M42" s="91"/>
      <c r="N42" s="91"/>
      <c r="O42" s="91"/>
      <c r="P42" s="91"/>
      <c r="Q42" s="91"/>
      <c r="R42" s="91"/>
      <c r="S42" s="91"/>
      <c r="T42" s="91"/>
      <c r="U42" s="91"/>
      <c r="V42" s="91"/>
      <c r="W42" s="91"/>
      <c r="X42" s="91"/>
      <c r="Y42" s="91"/>
    </row>
    <row r="43" spans="1:25">
      <c r="A43" s="96" t="s">
        <v>2110</v>
      </c>
      <c r="B43" s="97" t="s">
        <v>2111</v>
      </c>
      <c r="C43" s="97" t="s">
        <v>2112</v>
      </c>
      <c r="D43" s="91"/>
      <c r="E43" s="91"/>
      <c r="F43" s="91"/>
      <c r="G43" s="91"/>
      <c r="H43" s="91"/>
      <c r="I43" s="91"/>
      <c r="J43" s="91"/>
      <c r="K43" s="91"/>
      <c r="L43" s="91"/>
      <c r="M43" s="91"/>
      <c r="N43" s="91"/>
      <c r="O43" s="91"/>
      <c r="P43" s="91"/>
      <c r="Q43" s="91"/>
      <c r="R43" s="91"/>
      <c r="S43" s="91"/>
      <c r="T43" s="91"/>
      <c r="U43" s="91"/>
      <c r="V43" s="91"/>
      <c r="W43" s="91"/>
      <c r="X43" s="91"/>
      <c r="Y43" s="91"/>
    </row>
    <row r="44" spans="1:25">
      <c r="A44" s="99" t="s">
        <v>2113</v>
      </c>
      <c r="B44" s="97" t="s">
        <v>2114</v>
      </c>
      <c r="C44" s="97" t="s">
        <v>2115</v>
      </c>
      <c r="D44" s="91"/>
      <c r="E44" s="91"/>
      <c r="F44" s="91"/>
      <c r="G44" s="91"/>
      <c r="H44" s="91"/>
      <c r="I44" s="91"/>
      <c r="J44" s="91"/>
      <c r="K44" s="91"/>
      <c r="L44" s="91"/>
      <c r="M44" s="91"/>
      <c r="N44" s="91"/>
      <c r="O44" s="91"/>
      <c r="P44" s="91"/>
      <c r="Q44" s="91"/>
      <c r="R44" s="91"/>
      <c r="S44" s="91"/>
      <c r="T44" s="91"/>
      <c r="U44" s="91"/>
      <c r="V44" s="91"/>
      <c r="W44" s="91"/>
      <c r="X44" s="91"/>
      <c r="Y44" s="91"/>
    </row>
    <row r="45" spans="1:25">
      <c r="A45" s="96" t="s">
        <v>234</v>
      </c>
      <c r="B45" s="97" t="s">
        <v>2116</v>
      </c>
      <c r="C45" s="97" t="s">
        <v>2117</v>
      </c>
      <c r="D45" s="91"/>
      <c r="E45" s="91"/>
      <c r="F45" s="91"/>
      <c r="G45" s="91"/>
      <c r="H45" s="91"/>
      <c r="I45" s="91"/>
      <c r="J45" s="91"/>
      <c r="K45" s="91"/>
      <c r="L45" s="91"/>
      <c r="M45" s="91"/>
      <c r="N45" s="91"/>
      <c r="O45" s="91"/>
      <c r="P45" s="91"/>
      <c r="Q45" s="91"/>
      <c r="R45" s="91"/>
      <c r="S45" s="91"/>
      <c r="T45" s="91"/>
      <c r="U45" s="91"/>
      <c r="V45" s="91"/>
      <c r="W45" s="91"/>
      <c r="X45" s="91"/>
      <c r="Y45" s="91"/>
    </row>
    <row r="46" spans="1:25">
      <c r="A46" s="96" t="s">
        <v>2118</v>
      </c>
      <c r="B46" s="97" t="s">
        <v>2119</v>
      </c>
      <c r="C46" s="97" t="s">
        <v>2120</v>
      </c>
      <c r="D46" s="91"/>
      <c r="E46" s="91"/>
      <c r="F46" s="91"/>
      <c r="G46" s="91"/>
      <c r="H46" s="91"/>
      <c r="I46" s="91"/>
      <c r="J46" s="91"/>
      <c r="K46" s="91"/>
      <c r="L46" s="91"/>
      <c r="M46" s="91"/>
      <c r="N46" s="91"/>
      <c r="O46" s="91"/>
      <c r="P46" s="91"/>
      <c r="Q46" s="91"/>
      <c r="R46" s="91"/>
      <c r="S46" s="91"/>
      <c r="T46" s="91"/>
      <c r="U46" s="91"/>
      <c r="V46" s="91"/>
      <c r="W46" s="91"/>
      <c r="X46" s="91"/>
      <c r="Y46" s="91"/>
    </row>
    <row r="47" spans="1:25">
      <c r="A47" s="100"/>
      <c r="B47" s="97"/>
      <c r="C47" s="94"/>
      <c r="D47" s="91"/>
      <c r="E47" s="91"/>
      <c r="F47" s="91"/>
      <c r="G47" s="91"/>
      <c r="H47" s="91"/>
      <c r="I47" s="91"/>
      <c r="J47" s="91"/>
      <c r="K47" s="91"/>
      <c r="L47" s="91"/>
      <c r="M47" s="91"/>
      <c r="N47" s="91"/>
      <c r="O47" s="91"/>
      <c r="P47" s="91"/>
      <c r="Q47" s="91"/>
      <c r="R47" s="91"/>
      <c r="S47" s="91"/>
      <c r="T47" s="91"/>
      <c r="U47" s="91"/>
      <c r="V47" s="91"/>
      <c r="W47" s="91"/>
      <c r="X47" s="91"/>
      <c r="Y47" s="91"/>
    </row>
    <row r="48" spans="1:25">
      <c r="A48" s="91"/>
      <c r="B48" s="97"/>
      <c r="C48" s="94"/>
      <c r="D48" s="91"/>
      <c r="E48" s="91"/>
      <c r="F48" s="91"/>
      <c r="G48" s="91"/>
      <c r="H48" s="91"/>
      <c r="I48" s="91"/>
      <c r="J48" s="91"/>
      <c r="K48" s="91"/>
      <c r="L48" s="91"/>
      <c r="M48" s="91"/>
      <c r="N48" s="91"/>
      <c r="O48" s="91"/>
      <c r="P48" s="91"/>
      <c r="Q48" s="91"/>
      <c r="R48" s="91"/>
      <c r="S48" s="91"/>
      <c r="T48" s="91"/>
      <c r="U48" s="91"/>
      <c r="V48" s="91"/>
      <c r="W48" s="91"/>
      <c r="X48" s="91"/>
      <c r="Y48" s="91"/>
    </row>
    <row r="49" spans="1:25">
      <c r="A49" s="101" t="s">
        <v>2121</v>
      </c>
      <c r="B49" s="97"/>
      <c r="C49" s="102"/>
      <c r="D49" s="91"/>
      <c r="E49" s="91"/>
      <c r="F49" s="91"/>
      <c r="G49" s="91"/>
      <c r="H49" s="91"/>
      <c r="I49" s="91"/>
      <c r="J49" s="91"/>
      <c r="K49" s="91"/>
      <c r="L49" s="91"/>
      <c r="M49" s="91"/>
      <c r="N49" s="91"/>
      <c r="O49" s="91"/>
      <c r="P49" s="91"/>
      <c r="Q49" s="91"/>
      <c r="R49" s="91"/>
      <c r="S49" s="91"/>
      <c r="T49" s="91"/>
      <c r="U49" s="91"/>
      <c r="V49" s="91"/>
      <c r="W49" s="91"/>
      <c r="X49" s="91"/>
      <c r="Y49" s="91"/>
    </row>
    <row r="50" spans="1:25">
      <c r="A50" s="96" t="s">
        <v>2122</v>
      </c>
      <c r="B50" s="97" t="s">
        <v>2123</v>
      </c>
      <c r="C50" s="97" t="s">
        <v>2124</v>
      </c>
      <c r="D50" s="91"/>
      <c r="E50" s="91"/>
      <c r="F50" s="91"/>
      <c r="G50" s="91"/>
      <c r="H50" s="91"/>
      <c r="I50" s="91"/>
      <c r="J50" s="91"/>
      <c r="K50" s="91"/>
      <c r="L50" s="91"/>
      <c r="M50" s="91"/>
      <c r="N50" s="91"/>
      <c r="O50" s="91"/>
      <c r="P50" s="91"/>
      <c r="Q50" s="91"/>
      <c r="R50" s="91"/>
      <c r="S50" s="91"/>
      <c r="T50" s="91"/>
      <c r="U50" s="91"/>
      <c r="V50" s="91"/>
      <c r="W50" s="91"/>
      <c r="X50" s="91"/>
      <c r="Y50" s="91"/>
    </row>
    <row r="51" spans="1:25">
      <c r="A51" s="96" t="s">
        <v>2125</v>
      </c>
      <c r="B51" s="97" t="s">
        <v>2126</v>
      </c>
      <c r="C51" s="97" t="s">
        <v>2127</v>
      </c>
      <c r="D51" s="91"/>
      <c r="E51" s="91"/>
      <c r="F51" s="91"/>
      <c r="G51" s="91"/>
      <c r="H51" s="91"/>
      <c r="I51" s="91"/>
      <c r="J51" s="91"/>
      <c r="K51" s="91"/>
      <c r="L51" s="91"/>
      <c r="M51" s="91"/>
      <c r="N51" s="91"/>
      <c r="O51" s="91"/>
      <c r="P51" s="91"/>
      <c r="Q51" s="91"/>
      <c r="R51" s="91"/>
      <c r="S51" s="91"/>
      <c r="T51" s="91"/>
      <c r="U51" s="91"/>
      <c r="V51" s="91"/>
      <c r="W51" s="91"/>
      <c r="X51" s="91"/>
      <c r="Y51" s="91"/>
    </row>
    <row r="52" spans="1:25">
      <c r="A52" s="96" t="s">
        <v>2128</v>
      </c>
      <c r="B52" s="97" t="s">
        <v>2129</v>
      </c>
      <c r="C52" s="97" t="s">
        <v>2130</v>
      </c>
      <c r="D52" s="91"/>
      <c r="E52" s="91"/>
      <c r="F52" s="91"/>
      <c r="G52" s="91"/>
      <c r="H52" s="91"/>
      <c r="I52" s="91"/>
      <c r="J52" s="91"/>
      <c r="K52" s="91"/>
      <c r="L52" s="91"/>
      <c r="M52" s="91"/>
      <c r="N52" s="91"/>
      <c r="O52" s="91"/>
      <c r="P52" s="91"/>
      <c r="Q52" s="91"/>
      <c r="R52" s="91"/>
      <c r="S52" s="91"/>
      <c r="T52" s="91"/>
      <c r="U52" s="91"/>
      <c r="V52" s="91"/>
      <c r="W52" s="91"/>
      <c r="X52" s="91"/>
      <c r="Y52" s="91"/>
    </row>
    <row r="53" spans="1:25">
      <c r="A53" s="91"/>
      <c r="B53" s="97"/>
      <c r="C53" s="94"/>
      <c r="D53" s="91"/>
      <c r="E53" s="91"/>
      <c r="F53" s="91"/>
      <c r="G53" s="91"/>
      <c r="H53" s="91"/>
      <c r="I53" s="91"/>
      <c r="J53" s="91"/>
      <c r="K53" s="91"/>
      <c r="L53" s="91"/>
      <c r="M53" s="91"/>
      <c r="N53" s="91"/>
      <c r="O53" s="91"/>
      <c r="P53" s="91"/>
      <c r="Q53" s="91"/>
      <c r="R53" s="91"/>
      <c r="S53" s="91"/>
      <c r="T53" s="91"/>
      <c r="U53" s="91"/>
      <c r="V53" s="91"/>
      <c r="W53" s="91"/>
      <c r="X53" s="91"/>
      <c r="Y53" s="91"/>
    </row>
    <row r="54" spans="1:25">
      <c r="A54" s="91"/>
      <c r="B54" s="97"/>
      <c r="C54" s="94"/>
      <c r="D54" s="91"/>
      <c r="E54" s="91"/>
      <c r="F54" s="91"/>
      <c r="G54" s="91"/>
      <c r="H54" s="91"/>
      <c r="I54" s="91"/>
      <c r="J54" s="91"/>
      <c r="K54" s="91"/>
      <c r="L54" s="91"/>
      <c r="M54" s="91"/>
      <c r="N54" s="91"/>
      <c r="O54" s="91"/>
      <c r="P54" s="91"/>
      <c r="Q54" s="91"/>
      <c r="R54" s="91"/>
      <c r="S54" s="91"/>
      <c r="T54" s="91"/>
      <c r="U54" s="91"/>
      <c r="V54" s="91"/>
      <c r="W54" s="91"/>
      <c r="X54" s="91"/>
      <c r="Y54" s="91"/>
    </row>
    <row r="55" spans="1:25">
      <c r="A55" s="101" t="s">
        <v>2131</v>
      </c>
      <c r="B55" s="97"/>
      <c r="C55" s="116"/>
      <c r="D55" s="91"/>
      <c r="E55" s="91"/>
      <c r="F55" s="91"/>
      <c r="G55" s="91"/>
      <c r="H55" s="91"/>
      <c r="I55" s="91"/>
      <c r="J55" s="91"/>
      <c r="K55" s="91"/>
      <c r="L55" s="91"/>
      <c r="M55" s="91"/>
      <c r="N55" s="91"/>
      <c r="O55" s="91"/>
      <c r="P55" s="91"/>
      <c r="Q55" s="91"/>
      <c r="R55" s="91"/>
      <c r="S55" s="91"/>
      <c r="T55" s="91"/>
      <c r="U55" s="91"/>
      <c r="V55" s="91"/>
      <c r="W55" s="91"/>
      <c r="X55" s="91"/>
      <c r="Y55" s="91"/>
    </row>
    <row r="56" spans="1:25">
      <c r="A56" s="96" t="s">
        <v>2132</v>
      </c>
      <c r="B56" s="97" t="s">
        <v>2133</v>
      </c>
      <c r="C56" s="97" t="s">
        <v>2134</v>
      </c>
      <c r="D56" s="91"/>
      <c r="E56" s="91"/>
      <c r="F56" s="91"/>
      <c r="G56" s="91"/>
      <c r="H56" s="91"/>
      <c r="I56" s="91"/>
      <c r="J56" s="91"/>
      <c r="K56" s="91"/>
      <c r="L56" s="91"/>
      <c r="M56" s="91"/>
      <c r="N56" s="91"/>
      <c r="O56" s="91"/>
      <c r="P56" s="91"/>
      <c r="Q56" s="91"/>
      <c r="R56" s="91"/>
      <c r="S56" s="91"/>
      <c r="T56" s="91"/>
      <c r="U56" s="91"/>
      <c r="V56" s="91"/>
      <c r="W56" s="91"/>
      <c r="X56" s="91"/>
      <c r="Y56" s="91"/>
    </row>
    <row r="57" spans="1:25">
      <c r="A57" s="96" t="s">
        <v>375</v>
      </c>
      <c r="B57" s="97" t="s">
        <v>2135</v>
      </c>
      <c r="C57" s="97" t="s">
        <v>2136</v>
      </c>
      <c r="D57" s="91"/>
      <c r="E57" s="91"/>
      <c r="F57" s="91"/>
      <c r="G57" s="91"/>
      <c r="H57" s="91"/>
      <c r="I57" s="91"/>
      <c r="J57" s="91"/>
      <c r="K57" s="91"/>
      <c r="L57" s="91"/>
      <c r="M57" s="91"/>
      <c r="N57" s="91"/>
      <c r="O57" s="91"/>
      <c r="P57" s="91"/>
      <c r="Q57" s="91"/>
      <c r="R57" s="91"/>
      <c r="S57" s="91"/>
      <c r="T57" s="91"/>
      <c r="U57" s="91"/>
      <c r="V57" s="91"/>
      <c r="W57" s="91"/>
      <c r="X57" s="91"/>
      <c r="Y57" s="91"/>
    </row>
    <row r="58" spans="1:25">
      <c r="A58" s="96" t="s">
        <v>379</v>
      </c>
      <c r="B58" s="97" t="s">
        <v>2137</v>
      </c>
      <c r="C58" s="97" t="s">
        <v>2138</v>
      </c>
      <c r="D58" s="91"/>
      <c r="E58" s="91"/>
      <c r="F58" s="91"/>
      <c r="G58" s="91"/>
      <c r="H58" s="91"/>
      <c r="I58" s="91"/>
      <c r="J58" s="91"/>
      <c r="K58" s="91"/>
      <c r="L58" s="91"/>
      <c r="M58" s="91"/>
      <c r="N58" s="91"/>
      <c r="O58" s="91"/>
      <c r="P58" s="91"/>
      <c r="Q58" s="91"/>
      <c r="R58" s="91"/>
      <c r="S58" s="91"/>
      <c r="T58" s="91"/>
      <c r="U58" s="91"/>
      <c r="V58" s="91"/>
      <c r="W58" s="91"/>
      <c r="X58" s="91"/>
      <c r="Y58" s="91"/>
    </row>
    <row r="59" spans="1:25">
      <c r="A59" s="96" t="s">
        <v>383</v>
      </c>
      <c r="B59" s="97" t="s">
        <v>2139</v>
      </c>
      <c r="C59" s="97" t="s">
        <v>2140</v>
      </c>
      <c r="D59" s="91"/>
      <c r="E59" s="91"/>
      <c r="F59" s="91"/>
      <c r="G59" s="91"/>
      <c r="H59" s="91"/>
      <c r="I59" s="91"/>
      <c r="J59" s="91"/>
      <c r="K59" s="91"/>
      <c r="L59" s="91"/>
      <c r="M59" s="91"/>
      <c r="N59" s="91"/>
      <c r="O59" s="91"/>
      <c r="P59" s="91"/>
      <c r="Q59" s="91"/>
      <c r="R59" s="91"/>
      <c r="S59" s="91"/>
      <c r="T59" s="91"/>
      <c r="U59" s="91"/>
      <c r="V59" s="91"/>
      <c r="W59" s="91"/>
      <c r="X59" s="91"/>
      <c r="Y59" s="91"/>
    </row>
    <row r="60" spans="1:25">
      <c r="A60" s="96" t="s">
        <v>387</v>
      </c>
      <c r="B60" s="97" t="s">
        <v>2141</v>
      </c>
      <c r="C60" s="97" t="s">
        <v>2142</v>
      </c>
      <c r="D60" s="91"/>
      <c r="E60" s="91"/>
      <c r="F60" s="91"/>
      <c r="G60" s="91"/>
      <c r="H60" s="91"/>
      <c r="I60" s="91"/>
      <c r="J60" s="91"/>
      <c r="K60" s="91"/>
      <c r="L60" s="91"/>
      <c r="M60" s="91"/>
      <c r="N60" s="91"/>
      <c r="O60" s="91"/>
      <c r="P60" s="91"/>
      <c r="Q60" s="91"/>
      <c r="R60" s="91"/>
      <c r="S60" s="91"/>
      <c r="T60" s="91"/>
      <c r="U60" s="91"/>
      <c r="V60" s="91"/>
      <c r="W60" s="91"/>
      <c r="X60" s="91"/>
      <c r="Y60" s="91"/>
    </row>
    <row r="61" spans="1:25">
      <c r="A61" s="96" t="s">
        <v>2143</v>
      </c>
      <c r="B61" s="97" t="s">
        <v>2144</v>
      </c>
      <c r="C61" s="97" t="s">
        <v>2145</v>
      </c>
      <c r="D61" s="91"/>
      <c r="E61" s="91"/>
      <c r="F61" s="91"/>
      <c r="G61" s="91"/>
      <c r="H61" s="91"/>
      <c r="I61" s="91"/>
      <c r="J61" s="91"/>
      <c r="K61" s="91"/>
      <c r="L61" s="91"/>
      <c r="M61" s="91"/>
      <c r="N61" s="91"/>
      <c r="O61" s="91"/>
      <c r="P61" s="91"/>
      <c r="Q61" s="91"/>
      <c r="R61" s="91"/>
      <c r="S61" s="91"/>
      <c r="T61" s="91"/>
      <c r="U61" s="91"/>
      <c r="V61" s="91"/>
      <c r="W61" s="91"/>
      <c r="X61" s="91"/>
      <c r="Y61" s="91"/>
    </row>
    <row r="62" spans="1:25">
      <c r="A62" s="96" t="s">
        <v>2146</v>
      </c>
      <c r="B62" s="97" t="s">
        <v>2147</v>
      </c>
      <c r="C62" s="97" t="s">
        <v>2148</v>
      </c>
      <c r="D62" s="91"/>
      <c r="E62" s="91"/>
      <c r="F62" s="91"/>
      <c r="G62" s="91"/>
      <c r="H62" s="91"/>
      <c r="I62" s="91"/>
      <c r="J62" s="91"/>
      <c r="K62" s="91"/>
      <c r="L62" s="91"/>
      <c r="M62" s="91"/>
      <c r="N62" s="91"/>
      <c r="O62" s="91"/>
      <c r="P62" s="91"/>
      <c r="Q62" s="91"/>
      <c r="R62" s="91"/>
      <c r="S62" s="91"/>
      <c r="T62" s="91"/>
      <c r="U62" s="91"/>
      <c r="V62" s="91"/>
      <c r="W62" s="91"/>
      <c r="X62" s="91"/>
      <c r="Y62" s="91"/>
    </row>
    <row r="63" spans="1:25">
      <c r="A63" s="96" t="s">
        <v>395</v>
      </c>
      <c r="B63" s="97" t="s">
        <v>2149</v>
      </c>
      <c r="C63" s="97" t="s">
        <v>2150</v>
      </c>
      <c r="D63" s="91"/>
      <c r="E63" s="91"/>
      <c r="F63" s="91"/>
      <c r="G63" s="91"/>
      <c r="H63" s="91"/>
      <c r="I63" s="91"/>
      <c r="J63" s="91"/>
      <c r="K63" s="91"/>
      <c r="L63" s="91"/>
      <c r="M63" s="91"/>
      <c r="N63" s="91"/>
      <c r="O63" s="91"/>
      <c r="P63" s="91"/>
      <c r="Q63" s="91"/>
      <c r="R63" s="91"/>
      <c r="S63" s="91"/>
      <c r="T63" s="91"/>
      <c r="U63" s="91"/>
      <c r="V63" s="91"/>
      <c r="W63" s="91"/>
      <c r="X63" s="91"/>
      <c r="Y63" s="91"/>
    </row>
    <row r="64" spans="1:25">
      <c r="A64" s="96" t="s">
        <v>399</v>
      </c>
      <c r="B64" s="97" t="s">
        <v>2151</v>
      </c>
      <c r="C64" s="97" t="s">
        <v>2152</v>
      </c>
      <c r="D64" s="91"/>
      <c r="E64" s="91"/>
      <c r="F64" s="91"/>
      <c r="G64" s="91"/>
      <c r="H64" s="91"/>
      <c r="I64" s="91"/>
      <c r="J64" s="91"/>
      <c r="K64" s="91"/>
      <c r="L64" s="91"/>
      <c r="M64" s="91"/>
      <c r="N64" s="91"/>
      <c r="O64" s="91"/>
      <c r="P64" s="91"/>
      <c r="Q64" s="91"/>
      <c r="R64" s="91"/>
      <c r="S64" s="91"/>
      <c r="T64" s="91"/>
      <c r="U64" s="91"/>
      <c r="V64" s="91"/>
      <c r="W64" s="91"/>
      <c r="X64" s="91"/>
      <c r="Y64" s="91"/>
    </row>
    <row r="65" spans="1:25">
      <c r="A65" s="96" t="s">
        <v>408</v>
      </c>
      <c r="B65" s="97" t="s">
        <v>2153</v>
      </c>
      <c r="C65" s="97" t="s">
        <v>2154</v>
      </c>
      <c r="D65" s="91"/>
      <c r="E65" s="91"/>
      <c r="F65" s="91"/>
      <c r="G65" s="91"/>
      <c r="H65" s="91"/>
      <c r="I65" s="91"/>
      <c r="J65" s="91"/>
      <c r="K65" s="91"/>
      <c r="L65" s="91"/>
      <c r="M65" s="91"/>
      <c r="N65" s="91"/>
      <c r="O65" s="91"/>
      <c r="P65" s="91"/>
      <c r="Q65" s="91"/>
      <c r="R65" s="91"/>
      <c r="S65" s="91"/>
      <c r="T65" s="91"/>
      <c r="U65" s="91"/>
      <c r="V65" s="91"/>
      <c r="W65" s="91"/>
      <c r="X65" s="91"/>
      <c r="Y65" s="91"/>
    </row>
    <row r="66" spans="1:25">
      <c r="A66" s="96" t="s">
        <v>412</v>
      </c>
      <c r="B66" s="97" t="s">
        <v>2155</v>
      </c>
      <c r="C66" s="97" t="s">
        <v>2156</v>
      </c>
      <c r="D66" s="91"/>
      <c r="E66" s="91"/>
      <c r="F66" s="91"/>
      <c r="G66" s="91"/>
      <c r="H66" s="91"/>
      <c r="I66" s="91"/>
      <c r="J66" s="91"/>
      <c r="K66" s="91"/>
      <c r="L66" s="91"/>
      <c r="M66" s="91"/>
      <c r="N66" s="91"/>
      <c r="O66" s="91"/>
      <c r="P66" s="91"/>
      <c r="Q66" s="91"/>
      <c r="R66" s="91"/>
      <c r="S66" s="91"/>
      <c r="T66" s="91"/>
      <c r="U66" s="91"/>
      <c r="V66" s="91"/>
      <c r="W66" s="91"/>
      <c r="X66" s="91"/>
      <c r="Y66" s="91"/>
    </row>
    <row r="67" spans="1:25">
      <c r="A67" s="96" t="s">
        <v>416</v>
      </c>
      <c r="B67" s="97" t="s">
        <v>2157</v>
      </c>
      <c r="C67" s="97" t="s">
        <v>2158</v>
      </c>
      <c r="D67" s="91"/>
      <c r="E67" s="91"/>
      <c r="F67" s="91"/>
      <c r="G67" s="91"/>
      <c r="H67" s="91"/>
      <c r="I67" s="91"/>
      <c r="J67" s="91"/>
      <c r="K67" s="91"/>
      <c r="L67" s="91"/>
      <c r="M67" s="91"/>
      <c r="N67" s="91"/>
      <c r="O67" s="91"/>
      <c r="P67" s="91"/>
      <c r="Q67" s="91"/>
      <c r="R67" s="91"/>
      <c r="S67" s="91"/>
      <c r="T67" s="91"/>
      <c r="U67" s="91"/>
      <c r="V67" s="91"/>
      <c r="W67" s="91"/>
      <c r="X67" s="91"/>
      <c r="Y67" s="91"/>
    </row>
    <row r="68" spans="1:25">
      <c r="A68" s="96" t="s">
        <v>2159</v>
      </c>
      <c r="B68" s="97" t="s">
        <v>2160</v>
      </c>
      <c r="C68" s="97" t="s">
        <v>2161</v>
      </c>
      <c r="D68" s="91"/>
      <c r="E68" s="91"/>
      <c r="F68" s="91"/>
      <c r="G68" s="91"/>
      <c r="H68" s="91"/>
      <c r="I68" s="91"/>
      <c r="J68" s="91"/>
      <c r="K68" s="91"/>
      <c r="L68" s="91"/>
      <c r="M68" s="91"/>
      <c r="N68" s="91"/>
      <c r="O68" s="91"/>
      <c r="P68" s="91"/>
      <c r="Q68" s="91"/>
      <c r="R68" s="91"/>
      <c r="S68" s="91"/>
      <c r="T68" s="91"/>
      <c r="U68" s="91"/>
      <c r="V68" s="91"/>
      <c r="W68" s="91"/>
      <c r="X68" s="91"/>
      <c r="Y68" s="91"/>
    </row>
    <row r="69" spans="1:25">
      <c r="A69" s="96" t="s">
        <v>429</v>
      </c>
      <c r="B69" s="97" t="s">
        <v>2162</v>
      </c>
      <c r="C69" s="97" t="s">
        <v>2163</v>
      </c>
      <c r="D69" s="91"/>
      <c r="E69" s="91"/>
      <c r="F69" s="91"/>
      <c r="G69" s="91"/>
      <c r="H69" s="91"/>
      <c r="I69" s="91"/>
      <c r="J69" s="91"/>
      <c r="K69" s="91"/>
      <c r="L69" s="91"/>
      <c r="M69" s="91"/>
      <c r="N69" s="91"/>
      <c r="O69" s="91"/>
      <c r="P69" s="91"/>
      <c r="Q69" s="91"/>
      <c r="R69" s="91"/>
      <c r="S69" s="91"/>
      <c r="T69" s="91"/>
      <c r="U69" s="91"/>
      <c r="V69" s="91"/>
      <c r="W69" s="91"/>
      <c r="X69" s="91"/>
      <c r="Y69" s="91"/>
    </row>
    <row r="70" spans="1:25">
      <c r="A70" s="96" t="s">
        <v>433</v>
      </c>
      <c r="B70" s="97" t="s">
        <v>2164</v>
      </c>
      <c r="C70" s="97" t="s">
        <v>2165</v>
      </c>
      <c r="D70" s="91"/>
      <c r="E70" s="91"/>
      <c r="F70" s="91"/>
      <c r="G70" s="91"/>
      <c r="H70" s="91"/>
      <c r="I70" s="91"/>
      <c r="J70" s="91"/>
      <c r="K70" s="91"/>
      <c r="L70" s="91"/>
      <c r="M70" s="91"/>
      <c r="N70" s="91"/>
      <c r="O70" s="91"/>
      <c r="P70" s="91"/>
      <c r="Q70" s="91"/>
      <c r="R70" s="91"/>
      <c r="S70" s="91"/>
      <c r="T70" s="91"/>
      <c r="U70" s="91"/>
      <c r="V70" s="91"/>
      <c r="W70" s="91"/>
      <c r="X70" s="91"/>
      <c r="Y70" s="91"/>
    </row>
    <row r="71" spans="1:25">
      <c r="A71" s="96" t="s">
        <v>446</v>
      </c>
      <c r="B71" s="97" t="s">
        <v>2166</v>
      </c>
      <c r="C71" s="97" t="s">
        <v>2167</v>
      </c>
      <c r="D71" s="91"/>
      <c r="E71" s="91"/>
      <c r="F71" s="91"/>
      <c r="G71" s="91"/>
      <c r="H71" s="91"/>
      <c r="I71" s="91"/>
      <c r="J71" s="91"/>
      <c r="K71" s="91"/>
      <c r="L71" s="91"/>
      <c r="M71" s="91"/>
      <c r="N71" s="91"/>
      <c r="O71" s="91"/>
      <c r="P71" s="91"/>
      <c r="Q71" s="91"/>
      <c r="R71" s="91"/>
      <c r="S71" s="91"/>
      <c r="T71" s="91"/>
      <c r="U71" s="91"/>
      <c r="V71" s="91"/>
      <c r="W71" s="91"/>
      <c r="X71" s="91"/>
      <c r="Y71" s="91"/>
    </row>
    <row r="72" spans="1:25">
      <c r="A72" s="96" t="s">
        <v>453</v>
      </c>
      <c r="B72" s="97" t="s">
        <v>2168</v>
      </c>
      <c r="C72" s="97" t="s">
        <v>2169</v>
      </c>
      <c r="D72" s="91"/>
      <c r="E72" s="91"/>
      <c r="F72" s="91"/>
      <c r="G72" s="91"/>
      <c r="H72" s="91"/>
      <c r="I72" s="91"/>
      <c r="J72" s="91"/>
      <c r="K72" s="91"/>
      <c r="L72" s="91"/>
      <c r="M72" s="91"/>
      <c r="N72" s="91"/>
      <c r="O72" s="91"/>
      <c r="P72" s="91"/>
      <c r="Q72" s="91"/>
      <c r="R72" s="91"/>
      <c r="S72" s="91"/>
      <c r="T72" s="91"/>
      <c r="U72" s="91"/>
      <c r="V72" s="91"/>
      <c r="W72" s="91"/>
      <c r="X72" s="91"/>
      <c r="Y72" s="91"/>
    </row>
    <row r="73" spans="1:25">
      <c r="A73" s="96" t="s">
        <v>466</v>
      </c>
      <c r="B73" s="97" t="s">
        <v>2170</v>
      </c>
      <c r="C73" s="97" t="s">
        <v>2171</v>
      </c>
      <c r="D73" s="91"/>
      <c r="E73" s="91"/>
      <c r="F73" s="91"/>
      <c r="G73" s="91"/>
      <c r="H73" s="91"/>
      <c r="I73" s="91"/>
      <c r="J73" s="91"/>
      <c r="K73" s="91"/>
      <c r="L73" s="91"/>
      <c r="M73" s="91"/>
      <c r="N73" s="91"/>
      <c r="O73" s="91"/>
      <c r="P73" s="91"/>
      <c r="Q73" s="91"/>
      <c r="R73" s="91"/>
      <c r="S73" s="91"/>
      <c r="T73" s="91"/>
      <c r="U73" s="91"/>
      <c r="V73" s="91"/>
      <c r="W73" s="91"/>
      <c r="X73" s="91"/>
      <c r="Y73" s="91"/>
    </row>
    <row r="74" spans="1:25">
      <c r="A74" s="96" t="s">
        <v>470</v>
      </c>
      <c r="B74" s="97" t="s">
        <v>2172</v>
      </c>
      <c r="C74" s="97" t="s">
        <v>2173</v>
      </c>
      <c r="D74" s="91"/>
      <c r="E74" s="91"/>
      <c r="F74" s="91"/>
      <c r="G74" s="91"/>
      <c r="H74" s="91"/>
      <c r="I74" s="91"/>
      <c r="J74" s="91"/>
      <c r="K74" s="91"/>
      <c r="L74" s="91"/>
      <c r="M74" s="91"/>
      <c r="N74" s="91"/>
      <c r="O74" s="91"/>
      <c r="P74" s="91"/>
      <c r="Q74" s="91"/>
      <c r="R74" s="91"/>
      <c r="S74" s="91"/>
      <c r="T74" s="91"/>
      <c r="U74" s="91"/>
      <c r="V74" s="91"/>
      <c r="W74" s="91"/>
      <c r="X74" s="91"/>
      <c r="Y74" s="91"/>
    </row>
    <row r="75" spans="1:25">
      <c r="A75" s="96" t="s">
        <v>478</v>
      </c>
      <c r="B75" s="97" t="s">
        <v>2174</v>
      </c>
      <c r="C75" s="97" t="s">
        <v>2175</v>
      </c>
      <c r="D75" s="91"/>
      <c r="E75" s="91"/>
      <c r="F75" s="91"/>
      <c r="G75" s="91"/>
      <c r="H75" s="91"/>
      <c r="I75" s="91"/>
      <c r="J75" s="91"/>
      <c r="K75" s="91"/>
      <c r="L75" s="91"/>
      <c r="M75" s="91"/>
      <c r="N75" s="91"/>
      <c r="O75" s="91"/>
      <c r="P75" s="91"/>
      <c r="Q75" s="91"/>
      <c r="R75" s="91"/>
      <c r="S75" s="91"/>
      <c r="T75" s="91"/>
      <c r="U75" s="91"/>
      <c r="V75" s="91"/>
      <c r="W75" s="91"/>
      <c r="X75" s="91"/>
      <c r="Y75" s="91"/>
    </row>
    <row r="76" spans="1:25">
      <c r="A76" s="96" t="s">
        <v>485</v>
      </c>
      <c r="B76" s="97" t="s">
        <v>2176</v>
      </c>
      <c r="C76" s="97" t="s">
        <v>2177</v>
      </c>
      <c r="D76" s="91"/>
      <c r="E76" s="91"/>
      <c r="F76" s="91"/>
      <c r="G76" s="91"/>
      <c r="H76" s="91"/>
      <c r="I76" s="91"/>
      <c r="J76" s="91"/>
      <c r="K76" s="91"/>
      <c r="L76" s="91"/>
      <c r="M76" s="91"/>
      <c r="N76" s="91"/>
      <c r="O76" s="91"/>
      <c r="P76" s="91"/>
      <c r="Q76" s="91"/>
      <c r="R76" s="91"/>
      <c r="S76" s="91"/>
      <c r="T76" s="91"/>
      <c r="U76" s="91"/>
      <c r="V76" s="91"/>
      <c r="W76" s="91"/>
      <c r="X76" s="91"/>
      <c r="Y76" s="91"/>
    </row>
    <row r="77" spans="1:25">
      <c r="A77" s="96" t="s">
        <v>489</v>
      </c>
      <c r="B77" s="97" t="s">
        <v>2178</v>
      </c>
      <c r="C77" s="97" t="s">
        <v>2179</v>
      </c>
      <c r="D77" s="91"/>
      <c r="E77" s="91"/>
      <c r="F77" s="91"/>
      <c r="G77" s="91"/>
      <c r="H77" s="91"/>
      <c r="I77" s="91"/>
      <c r="J77" s="91"/>
      <c r="K77" s="91"/>
      <c r="L77" s="91"/>
      <c r="M77" s="91"/>
      <c r="N77" s="91"/>
      <c r="O77" s="91"/>
      <c r="P77" s="91"/>
      <c r="Q77" s="91"/>
      <c r="R77" s="91"/>
      <c r="S77" s="91"/>
      <c r="T77" s="91"/>
      <c r="U77" s="91"/>
      <c r="V77" s="91"/>
      <c r="W77" s="91"/>
      <c r="X77" s="91"/>
      <c r="Y77" s="91"/>
    </row>
    <row r="78" spans="1:25">
      <c r="A78" s="96" t="s">
        <v>2180</v>
      </c>
      <c r="B78" s="97" t="s">
        <v>2181</v>
      </c>
      <c r="C78" s="97" t="s">
        <v>2182</v>
      </c>
      <c r="D78" s="91"/>
      <c r="E78" s="91"/>
      <c r="F78" s="91"/>
      <c r="G78" s="91"/>
      <c r="H78" s="91"/>
      <c r="I78" s="91"/>
      <c r="J78" s="91"/>
      <c r="K78" s="91"/>
      <c r="L78" s="91"/>
      <c r="M78" s="91"/>
      <c r="N78" s="91"/>
      <c r="O78" s="91"/>
      <c r="P78" s="91"/>
      <c r="Q78" s="91"/>
      <c r="R78" s="91"/>
      <c r="S78" s="91"/>
      <c r="T78" s="91"/>
      <c r="U78" s="91"/>
      <c r="V78" s="91"/>
      <c r="W78" s="91"/>
      <c r="X78" s="91"/>
      <c r="Y78" s="91"/>
    </row>
    <row r="79" spans="1:25">
      <c r="A79" s="96" t="s">
        <v>497</v>
      </c>
      <c r="B79" s="97" t="s">
        <v>2183</v>
      </c>
      <c r="C79" s="97" t="s">
        <v>2184</v>
      </c>
      <c r="D79" s="91"/>
      <c r="E79" s="91"/>
      <c r="F79" s="91"/>
      <c r="G79" s="91"/>
      <c r="H79" s="91"/>
      <c r="I79" s="91"/>
      <c r="J79" s="91"/>
      <c r="K79" s="91"/>
      <c r="L79" s="91"/>
      <c r="M79" s="91"/>
      <c r="N79" s="91"/>
      <c r="O79" s="91"/>
      <c r="P79" s="91"/>
      <c r="Q79" s="91"/>
      <c r="R79" s="91"/>
      <c r="S79" s="91"/>
      <c r="T79" s="91"/>
      <c r="U79" s="91"/>
      <c r="V79" s="91"/>
      <c r="W79" s="91"/>
      <c r="X79" s="91"/>
      <c r="Y79" s="91"/>
    </row>
    <row r="80" spans="1:25">
      <c r="A80" s="96" t="s">
        <v>501</v>
      </c>
      <c r="B80" s="97" t="s">
        <v>2185</v>
      </c>
      <c r="C80" s="97" t="s">
        <v>2186</v>
      </c>
      <c r="D80" s="91"/>
      <c r="E80" s="91"/>
      <c r="F80" s="91"/>
      <c r="G80" s="91"/>
      <c r="H80" s="91"/>
      <c r="I80" s="91"/>
      <c r="J80" s="91"/>
      <c r="K80" s="91"/>
      <c r="L80" s="91"/>
      <c r="M80" s="91"/>
      <c r="N80" s="91"/>
      <c r="O80" s="91"/>
      <c r="P80" s="91"/>
      <c r="Q80" s="91"/>
      <c r="R80" s="91"/>
      <c r="S80" s="91"/>
      <c r="T80" s="91"/>
      <c r="U80" s="91"/>
      <c r="V80" s="91"/>
      <c r="W80" s="91"/>
      <c r="X80" s="91"/>
      <c r="Y80" s="91"/>
    </row>
    <row r="81" spans="1:25">
      <c r="A81" s="96" t="s">
        <v>506</v>
      </c>
      <c r="B81" s="97" t="s">
        <v>2187</v>
      </c>
      <c r="C81" s="97" t="s">
        <v>2188</v>
      </c>
      <c r="D81" s="91"/>
      <c r="E81" s="91"/>
      <c r="F81" s="91"/>
      <c r="G81" s="91"/>
      <c r="H81" s="91"/>
      <c r="I81" s="91"/>
      <c r="J81" s="91"/>
      <c r="K81" s="91"/>
      <c r="L81" s="91"/>
      <c r="M81" s="91"/>
      <c r="N81" s="91"/>
      <c r="O81" s="91"/>
      <c r="P81" s="91"/>
      <c r="Q81" s="91"/>
      <c r="R81" s="91"/>
      <c r="S81" s="91"/>
      <c r="T81" s="91"/>
      <c r="U81" s="91"/>
      <c r="V81" s="91"/>
      <c r="W81" s="91"/>
      <c r="X81" s="91"/>
      <c r="Y81" s="91"/>
    </row>
    <row r="82" spans="1:25">
      <c r="A82" s="96" t="s">
        <v>514</v>
      </c>
      <c r="B82" s="97" t="s">
        <v>2189</v>
      </c>
      <c r="C82" s="97" t="s">
        <v>2190</v>
      </c>
      <c r="D82" s="91"/>
      <c r="E82" s="91"/>
      <c r="F82" s="91"/>
      <c r="G82" s="91"/>
      <c r="H82" s="91"/>
      <c r="I82" s="91"/>
      <c r="J82" s="91"/>
      <c r="K82" s="91"/>
      <c r="L82" s="91"/>
      <c r="M82" s="91"/>
      <c r="N82" s="91"/>
      <c r="O82" s="91"/>
      <c r="P82" s="91"/>
      <c r="Q82" s="91"/>
      <c r="R82" s="91"/>
      <c r="S82" s="91"/>
      <c r="T82" s="91"/>
      <c r="U82" s="91"/>
      <c r="V82" s="91"/>
      <c r="W82" s="91"/>
      <c r="X82" s="91"/>
      <c r="Y82" s="91"/>
    </row>
    <row r="83" spans="1:25">
      <c r="A83" s="91"/>
      <c r="C83" s="94"/>
      <c r="D83" s="91"/>
      <c r="E83" s="91"/>
      <c r="F83" s="91"/>
      <c r="G83" s="91"/>
      <c r="H83" s="91"/>
      <c r="I83" s="91"/>
      <c r="J83" s="91"/>
      <c r="K83" s="91"/>
      <c r="L83" s="91"/>
      <c r="M83" s="91"/>
      <c r="N83" s="91"/>
      <c r="O83" s="91"/>
      <c r="P83" s="91"/>
      <c r="Q83" s="91"/>
      <c r="R83" s="91"/>
      <c r="S83" s="91"/>
      <c r="T83" s="91"/>
      <c r="U83" s="91"/>
      <c r="V83" s="91"/>
      <c r="W83" s="91"/>
      <c r="X83" s="91"/>
      <c r="Y83" s="91"/>
    </row>
    <row r="84" spans="1:25">
      <c r="A84" s="91"/>
      <c r="B84" s="97"/>
      <c r="C84" s="94"/>
      <c r="D84" s="91"/>
      <c r="E84" s="91"/>
      <c r="F84" s="91"/>
      <c r="G84" s="91"/>
      <c r="H84" s="91"/>
      <c r="I84" s="91"/>
      <c r="J84" s="91"/>
      <c r="K84" s="91"/>
      <c r="L84" s="91"/>
      <c r="M84" s="91"/>
      <c r="N84" s="91"/>
      <c r="O84" s="91"/>
      <c r="P84" s="91"/>
      <c r="Q84" s="91"/>
      <c r="R84" s="91"/>
      <c r="S84" s="91"/>
      <c r="T84" s="91"/>
      <c r="U84" s="91"/>
      <c r="V84" s="91"/>
      <c r="W84" s="91"/>
      <c r="X84" s="91"/>
      <c r="Y84" s="91"/>
    </row>
    <row r="85" spans="1:25">
      <c r="A85" s="101" t="s">
        <v>2191</v>
      </c>
      <c r="B85" s="97"/>
      <c r="C85" s="116"/>
      <c r="D85" s="91"/>
      <c r="E85" s="91"/>
      <c r="F85" s="91"/>
      <c r="G85" s="91"/>
      <c r="H85" s="91"/>
      <c r="I85" s="91"/>
      <c r="J85" s="91"/>
      <c r="K85" s="91"/>
      <c r="L85" s="91"/>
      <c r="M85" s="91"/>
      <c r="N85" s="91"/>
      <c r="O85" s="91"/>
      <c r="P85" s="91"/>
      <c r="Q85" s="91"/>
      <c r="R85" s="91"/>
      <c r="S85" s="91"/>
      <c r="T85" s="91"/>
      <c r="U85" s="91"/>
      <c r="V85" s="91"/>
      <c r="W85" s="91"/>
      <c r="X85" s="91"/>
      <c r="Y85" s="91"/>
    </row>
    <row r="86" spans="1:25">
      <c r="A86" s="96" t="s">
        <v>2192</v>
      </c>
      <c r="B86" s="97" t="s">
        <v>2193</v>
      </c>
      <c r="C86" s="97" t="s">
        <v>2194</v>
      </c>
      <c r="D86" s="91"/>
      <c r="E86" s="91"/>
      <c r="F86" s="91"/>
      <c r="G86" s="91"/>
      <c r="H86" s="91"/>
      <c r="I86" s="91"/>
      <c r="J86" s="91"/>
      <c r="K86" s="91"/>
      <c r="L86" s="91"/>
      <c r="M86" s="91"/>
      <c r="N86" s="91"/>
      <c r="O86" s="91"/>
      <c r="P86" s="91"/>
      <c r="Q86" s="91"/>
      <c r="R86" s="91"/>
      <c r="S86" s="91"/>
      <c r="T86" s="91"/>
      <c r="U86" s="91"/>
      <c r="V86" s="91"/>
      <c r="W86" s="91"/>
      <c r="X86" s="91"/>
      <c r="Y86" s="91"/>
    </row>
    <row r="87" spans="1:25">
      <c r="A87" s="91"/>
      <c r="B87" s="97"/>
      <c r="C87" s="94"/>
      <c r="D87" s="91"/>
      <c r="E87" s="91"/>
      <c r="F87" s="91"/>
      <c r="G87" s="91"/>
      <c r="H87" s="91"/>
      <c r="I87" s="91"/>
      <c r="J87" s="91"/>
      <c r="K87" s="91"/>
      <c r="L87" s="91"/>
      <c r="M87" s="91"/>
      <c r="N87" s="91"/>
      <c r="O87" s="91"/>
      <c r="P87" s="91"/>
      <c r="Q87" s="91"/>
      <c r="R87" s="91"/>
      <c r="S87" s="91"/>
      <c r="T87" s="91"/>
      <c r="U87" s="91"/>
      <c r="V87" s="91"/>
      <c r="W87" s="91"/>
      <c r="X87" s="91"/>
      <c r="Y87" s="91"/>
    </row>
    <row r="88" spans="1:25">
      <c r="A88" s="91"/>
      <c r="B88" s="97"/>
      <c r="C88" s="94"/>
      <c r="D88" s="91"/>
      <c r="E88" s="91"/>
      <c r="F88" s="91"/>
      <c r="G88" s="91"/>
      <c r="H88" s="91"/>
      <c r="I88" s="91"/>
      <c r="J88" s="91"/>
      <c r="K88" s="91"/>
      <c r="L88" s="91"/>
      <c r="M88" s="91"/>
      <c r="N88" s="91"/>
      <c r="O88" s="91"/>
      <c r="P88" s="91"/>
      <c r="Q88" s="91"/>
      <c r="R88" s="91"/>
      <c r="S88" s="91"/>
      <c r="T88" s="91"/>
      <c r="U88" s="91"/>
      <c r="V88" s="91"/>
      <c r="W88" s="91"/>
      <c r="X88" s="91"/>
      <c r="Y88" s="91"/>
    </row>
    <row r="89" spans="1:25">
      <c r="A89" s="101" t="s">
        <v>2195</v>
      </c>
      <c r="B89" s="97"/>
      <c r="C89" s="116"/>
      <c r="D89" s="91"/>
      <c r="E89" s="91"/>
      <c r="F89" s="91"/>
      <c r="G89" s="91"/>
      <c r="H89" s="91"/>
      <c r="I89" s="91"/>
      <c r="J89" s="91"/>
      <c r="K89" s="91"/>
      <c r="L89" s="91"/>
      <c r="M89" s="91"/>
      <c r="N89" s="91"/>
      <c r="O89" s="91"/>
      <c r="P89" s="91"/>
      <c r="Q89" s="91"/>
      <c r="R89" s="91"/>
      <c r="S89" s="91"/>
      <c r="T89" s="91"/>
      <c r="U89" s="91"/>
      <c r="V89" s="91"/>
      <c r="W89" s="91"/>
      <c r="X89" s="91"/>
      <c r="Y89" s="91"/>
    </row>
    <row r="90" spans="1:25">
      <c r="A90" s="96" t="s">
        <v>2196</v>
      </c>
      <c r="B90" s="97" t="s">
        <v>2197</v>
      </c>
      <c r="C90" s="97" t="s">
        <v>2198</v>
      </c>
      <c r="D90" s="91"/>
      <c r="E90" s="91"/>
      <c r="F90" s="91"/>
      <c r="G90" s="91"/>
      <c r="H90" s="91"/>
      <c r="I90" s="91"/>
      <c r="J90" s="91"/>
      <c r="K90" s="91"/>
      <c r="L90" s="91"/>
      <c r="M90" s="91"/>
      <c r="N90" s="91"/>
      <c r="O90" s="91"/>
      <c r="P90" s="91"/>
      <c r="Q90" s="91"/>
      <c r="R90" s="91"/>
      <c r="S90" s="91"/>
      <c r="T90" s="91"/>
      <c r="U90" s="91"/>
      <c r="V90" s="91"/>
      <c r="W90" s="91"/>
      <c r="X90" s="91"/>
      <c r="Y90" s="91"/>
    </row>
    <row r="91" spans="1:25">
      <c r="A91" s="96" t="s">
        <v>595</v>
      </c>
      <c r="B91" s="97" t="s">
        <v>2199</v>
      </c>
      <c r="C91" s="97" t="s">
        <v>2200</v>
      </c>
      <c r="D91" s="91"/>
      <c r="E91" s="91"/>
      <c r="F91" s="91"/>
      <c r="G91" s="91"/>
      <c r="H91" s="91"/>
      <c r="I91" s="91"/>
      <c r="J91" s="91"/>
      <c r="K91" s="91"/>
      <c r="L91" s="91"/>
      <c r="M91" s="91"/>
      <c r="N91" s="91"/>
      <c r="O91" s="91"/>
      <c r="P91" s="91"/>
      <c r="Q91" s="91"/>
      <c r="R91" s="91"/>
      <c r="S91" s="91"/>
      <c r="T91" s="91"/>
      <c r="U91" s="91"/>
      <c r="V91" s="91"/>
      <c r="W91" s="91"/>
      <c r="X91" s="91"/>
      <c r="Y91" s="91"/>
    </row>
    <row r="92" spans="1:25">
      <c r="A92" s="96" t="s">
        <v>624</v>
      </c>
      <c r="B92" s="97" t="s">
        <v>2201</v>
      </c>
      <c r="C92" s="97" t="s">
        <v>2202</v>
      </c>
      <c r="D92" s="91"/>
      <c r="E92" s="91"/>
      <c r="F92" s="91"/>
      <c r="G92" s="91"/>
      <c r="H92" s="91"/>
      <c r="I92" s="91"/>
      <c r="J92" s="91"/>
      <c r="K92" s="91"/>
      <c r="L92" s="91"/>
      <c r="M92" s="91"/>
      <c r="N92" s="91"/>
      <c r="O92" s="91"/>
      <c r="P92" s="91"/>
      <c r="Q92" s="91"/>
      <c r="R92" s="91"/>
      <c r="S92" s="91"/>
      <c r="T92" s="91"/>
      <c r="U92" s="91"/>
      <c r="V92" s="91"/>
      <c r="W92" s="91"/>
      <c r="X92" s="91"/>
      <c r="Y92" s="91"/>
    </row>
    <row r="93" spans="1:25">
      <c r="A93" s="91"/>
      <c r="B93" s="97"/>
      <c r="C93" s="94"/>
      <c r="D93" s="91"/>
      <c r="E93" s="91"/>
      <c r="F93" s="91"/>
      <c r="G93" s="91"/>
      <c r="H93" s="91"/>
      <c r="I93" s="91"/>
      <c r="J93" s="91"/>
      <c r="K93" s="91"/>
      <c r="L93" s="91"/>
      <c r="M93" s="91"/>
      <c r="N93" s="91"/>
      <c r="O93" s="91"/>
      <c r="P93" s="91"/>
      <c r="Q93" s="91"/>
      <c r="R93" s="91"/>
      <c r="S93" s="91"/>
      <c r="T93" s="91"/>
      <c r="U93" s="91"/>
      <c r="V93" s="91"/>
      <c r="W93" s="91"/>
      <c r="X93" s="91"/>
      <c r="Y93" s="91"/>
    </row>
    <row r="94" spans="1:25">
      <c r="A94" s="91"/>
      <c r="B94" s="97"/>
      <c r="C94" s="94"/>
      <c r="D94" s="91"/>
      <c r="E94" s="91"/>
      <c r="F94" s="91"/>
      <c r="G94" s="91"/>
      <c r="H94" s="91"/>
      <c r="I94" s="91"/>
      <c r="J94" s="91"/>
      <c r="K94" s="91"/>
      <c r="L94" s="91"/>
      <c r="M94" s="91"/>
      <c r="N94" s="91"/>
      <c r="O94" s="91"/>
      <c r="P94" s="91"/>
      <c r="Q94" s="91"/>
      <c r="R94" s="91"/>
      <c r="S94" s="91"/>
      <c r="T94" s="91"/>
      <c r="U94" s="91"/>
      <c r="V94" s="91"/>
      <c r="W94" s="91"/>
      <c r="X94" s="91"/>
      <c r="Y94" s="91"/>
    </row>
    <row r="95" spans="1:25">
      <c r="A95" s="101" t="s">
        <v>2203</v>
      </c>
      <c r="B95" s="97"/>
      <c r="C95" s="116"/>
      <c r="D95" s="91"/>
      <c r="E95" s="91"/>
      <c r="F95" s="91"/>
      <c r="G95" s="91"/>
      <c r="H95" s="91"/>
      <c r="I95" s="91"/>
      <c r="J95" s="91"/>
      <c r="K95" s="91"/>
      <c r="L95" s="91"/>
      <c r="M95" s="91"/>
      <c r="N95" s="91"/>
      <c r="O95" s="91"/>
      <c r="P95" s="91"/>
      <c r="Q95" s="91"/>
      <c r="R95" s="91"/>
      <c r="S95" s="91"/>
      <c r="T95" s="91"/>
      <c r="U95" s="91"/>
      <c r="V95" s="91"/>
      <c r="W95" s="91"/>
      <c r="X95" s="91"/>
      <c r="Y95" s="91"/>
    </row>
    <row r="96" spans="1:25">
      <c r="A96" s="96" t="s">
        <v>2204</v>
      </c>
      <c r="B96" s="97" t="s">
        <v>2205</v>
      </c>
      <c r="C96" s="97" t="s">
        <v>2206</v>
      </c>
      <c r="D96" s="91"/>
      <c r="E96" s="91"/>
      <c r="F96" s="91"/>
      <c r="G96" s="91"/>
      <c r="H96" s="91"/>
      <c r="I96" s="91"/>
      <c r="J96" s="91"/>
      <c r="K96" s="91"/>
      <c r="L96" s="91"/>
      <c r="M96" s="91"/>
      <c r="N96" s="91"/>
      <c r="O96" s="91"/>
      <c r="P96" s="91"/>
      <c r="Q96" s="91"/>
      <c r="R96" s="91"/>
      <c r="S96" s="91"/>
      <c r="T96" s="91"/>
      <c r="U96" s="91"/>
      <c r="V96" s="91"/>
      <c r="W96" s="91"/>
      <c r="X96" s="91"/>
      <c r="Y96" s="91"/>
    </row>
    <row r="97" spans="1:25">
      <c r="A97" s="91"/>
      <c r="B97" s="97"/>
      <c r="C97" s="94"/>
      <c r="D97" s="91"/>
      <c r="E97" s="91"/>
      <c r="F97" s="91"/>
      <c r="G97" s="91"/>
      <c r="H97" s="91"/>
      <c r="I97" s="91"/>
      <c r="J97" s="91"/>
      <c r="K97" s="91"/>
      <c r="L97" s="91"/>
      <c r="M97" s="91"/>
      <c r="N97" s="91"/>
      <c r="O97" s="91"/>
      <c r="P97" s="91"/>
      <c r="Q97" s="91"/>
      <c r="R97" s="91"/>
      <c r="S97" s="91"/>
      <c r="T97" s="91"/>
      <c r="U97" s="91"/>
      <c r="V97" s="91"/>
      <c r="W97" s="91"/>
      <c r="X97" s="91"/>
      <c r="Y97" s="91"/>
    </row>
    <row r="98" spans="1:25">
      <c r="A98" s="91"/>
      <c r="B98" s="97"/>
      <c r="C98" s="94"/>
      <c r="D98" s="91"/>
      <c r="E98" s="91"/>
      <c r="F98" s="91"/>
      <c r="G98" s="91"/>
      <c r="H98" s="91"/>
      <c r="I98" s="91"/>
      <c r="J98" s="91"/>
      <c r="K98" s="91"/>
      <c r="L98" s="91"/>
      <c r="M98" s="91"/>
      <c r="N98" s="91"/>
      <c r="O98" s="91"/>
      <c r="P98" s="91"/>
      <c r="Q98" s="91"/>
      <c r="R98" s="91"/>
      <c r="S98" s="91"/>
      <c r="T98" s="91"/>
      <c r="U98" s="91"/>
      <c r="V98" s="91"/>
      <c r="W98" s="91"/>
      <c r="X98" s="91"/>
      <c r="Y98" s="91"/>
    </row>
    <row r="99" spans="1:25">
      <c r="A99" s="101" t="s">
        <v>2207</v>
      </c>
      <c r="B99" s="97"/>
      <c r="C99" s="116"/>
      <c r="D99" s="91"/>
      <c r="E99" s="91"/>
      <c r="F99" s="91"/>
      <c r="G99" s="91"/>
      <c r="H99" s="91"/>
      <c r="I99" s="91"/>
      <c r="J99" s="91"/>
      <c r="K99" s="91"/>
      <c r="L99" s="91"/>
      <c r="M99" s="91"/>
      <c r="N99" s="91"/>
      <c r="O99" s="91"/>
      <c r="P99" s="91"/>
      <c r="Q99" s="91"/>
      <c r="R99" s="91"/>
      <c r="S99" s="91"/>
      <c r="T99" s="91"/>
      <c r="U99" s="91"/>
      <c r="V99" s="91"/>
      <c r="W99" s="91"/>
      <c r="X99" s="91"/>
      <c r="Y99" s="91"/>
    </row>
    <row r="100" spans="1:25">
      <c r="A100" s="96" t="s">
        <v>2208</v>
      </c>
      <c r="B100" s="97" t="s">
        <v>2209</v>
      </c>
      <c r="C100" s="97" t="s">
        <v>2210</v>
      </c>
      <c r="D100" s="91"/>
      <c r="E100" s="91"/>
      <c r="F100" s="91"/>
      <c r="G100" s="91"/>
      <c r="H100" s="91"/>
      <c r="I100" s="91"/>
      <c r="J100" s="91"/>
      <c r="K100" s="91"/>
      <c r="L100" s="91"/>
      <c r="M100" s="91"/>
      <c r="N100" s="91"/>
      <c r="O100" s="91"/>
      <c r="P100" s="91"/>
      <c r="Q100" s="91"/>
      <c r="R100" s="91"/>
      <c r="S100" s="91"/>
      <c r="T100" s="91"/>
      <c r="U100" s="91"/>
      <c r="V100" s="91"/>
      <c r="W100" s="91"/>
      <c r="X100" s="91"/>
      <c r="Y100" s="91"/>
    </row>
    <row r="101" spans="1:25">
      <c r="A101" s="96" t="s">
        <v>2211</v>
      </c>
      <c r="B101" s="97" t="s">
        <v>2212</v>
      </c>
      <c r="C101" s="97" t="s">
        <v>2213</v>
      </c>
      <c r="D101" s="91"/>
      <c r="E101" s="91"/>
      <c r="F101" s="91"/>
      <c r="G101" s="91"/>
      <c r="H101" s="91"/>
      <c r="I101" s="91"/>
      <c r="J101" s="91"/>
      <c r="K101" s="91"/>
      <c r="L101" s="91"/>
      <c r="M101" s="91"/>
      <c r="N101" s="91"/>
      <c r="O101" s="91"/>
      <c r="P101" s="91"/>
      <c r="Q101" s="91"/>
      <c r="R101" s="91"/>
      <c r="S101" s="91"/>
      <c r="T101" s="91"/>
      <c r="U101" s="91"/>
      <c r="V101" s="91"/>
      <c r="W101" s="91"/>
      <c r="X101" s="91"/>
      <c r="Y101" s="91"/>
    </row>
    <row r="102" spans="1:25">
      <c r="A102" s="96" t="s">
        <v>799</v>
      </c>
      <c r="B102" s="97" t="s">
        <v>2214</v>
      </c>
      <c r="C102" s="97" t="s">
        <v>2215</v>
      </c>
      <c r="D102" s="91"/>
      <c r="E102" s="91"/>
      <c r="F102" s="91"/>
      <c r="G102" s="91"/>
      <c r="H102" s="91"/>
      <c r="I102" s="91"/>
      <c r="J102" s="91"/>
      <c r="K102" s="91"/>
      <c r="L102" s="91"/>
      <c r="M102" s="91"/>
      <c r="N102" s="91"/>
      <c r="O102" s="91"/>
      <c r="P102" s="91"/>
      <c r="Q102" s="91"/>
      <c r="R102" s="91"/>
      <c r="S102" s="91"/>
      <c r="T102" s="91"/>
      <c r="U102" s="91"/>
      <c r="V102" s="91"/>
      <c r="W102" s="91"/>
      <c r="X102" s="91"/>
      <c r="Y102" s="91"/>
    </row>
    <row r="103" spans="1:25">
      <c r="A103" s="96" t="s">
        <v>809</v>
      </c>
      <c r="B103" s="97" t="s">
        <v>2216</v>
      </c>
      <c r="C103" s="97" t="s">
        <v>2217</v>
      </c>
      <c r="D103" s="91"/>
      <c r="E103" s="91"/>
      <c r="F103" s="91"/>
      <c r="G103" s="91"/>
      <c r="H103" s="91"/>
      <c r="I103" s="91"/>
      <c r="J103" s="91"/>
      <c r="K103" s="91"/>
      <c r="L103" s="91"/>
      <c r="M103" s="91"/>
      <c r="N103" s="91"/>
      <c r="O103" s="91"/>
      <c r="P103" s="91"/>
      <c r="Q103" s="91"/>
      <c r="R103" s="91"/>
      <c r="S103" s="91"/>
      <c r="T103" s="91"/>
      <c r="U103" s="91"/>
      <c r="V103" s="91"/>
      <c r="W103" s="91"/>
      <c r="X103" s="91"/>
      <c r="Y103" s="91"/>
    </row>
    <row r="104" spans="1:25">
      <c r="A104" s="96" t="s">
        <v>816</v>
      </c>
      <c r="B104" s="97" t="s">
        <v>2218</v>
      </c>
      <c r="C104" s="97" t="s">
        <v>2219</v>
      </c>
      <c r="D104" s="91"/>
      <c r="E104" s="91"/>
      <c r="F104" s="91"/>
      <c r="G104" s="91"/>
      <c r="H104" s="91"/>
      <c r="I104" s="91"/>
      <c r="J104" s="91"/>
      <c r="K104" s="91"/>
      <c r="L104" s="91"/>
      <c r="M104" s="91"/>
      <c r="N104" s="91"/>
      <c r="O104" s="91"/>
      <c r="P104" s="91"/>
      <c r="Q104" s="91"/>
      <c r="R104" s="91"/>
      <c r="S104" s="91"/>
      <c r="T104" s="91"/>
      <c r="U104" s="91"/>
      <c r="V104" s="91"/>
      <c r="W104" s="91"/>
      <c r="X104" s="91"/>
      <c r="Y104" s="91"/>
    </row>
    <row r="105" spans="1:25">
      <c r="A105" s="96" t="s">
        <v>823</v>
      </c>
      <c r="B105" s="97" t="s">
        <v>2220</v>
      </c>
      <c r="C105" s="97" t="s">
        <v>2221</v>
      </c>
      <c r="D105" s="91"/>
      <c r="E105" s="91"/>
      <c r="F105" s="91"/>
      <c r="G105" s="91"/>
      <c r="H105" s="91"/>
      <c r="I105" s="91"/>
      <c r="J105" s="91"/>
      <c r="K105" s="91"/>
      <c r="L105" s="91"/>
      <c r="M105" s="91"/>
      <c r="N105" s="91"/>
      <c r="O105" s="91"/>
      <c r="P105" s="91"/>
      <c r="Q105" s="91"/>
      <c r="R105" s="91"/>
      <c r="S105" s="91"/>
      <c r="T105" s="91"/>
      <c r="U105" s="91"/>
      <c r="V105" s="91"/>
      <c r="W105" s="91"/>
      <c r="X105" s="91"/>
      <c r="Y105" s="91"/>
    </row>
    <row r="106" spans="1:25">
      <c r="A106" s="96" t="s">
        <v>827</v>
      </c>
      <c r="B106" s="97" t="s">
        <v>2222</v>
      </c>
      <c r="C106" s="97" t="s">
        <v>2223</v>
      </c>
      <c r="D106" s="91"/>
      <c r="E106" s="91"/>
      <c r="F106" s="91"/>
      <c r="G106" s="91"/>
      <c r="H106" s="91"/>
      <c r="I106" s="91"/>
      <c r="J106" s="91"/>
      <c r="K106" s="91"/>
      <c r="L106" s="91"/>
      <c r="M106" s="91"/>
      <c r="N106" s="91"/>
      <c r="O106" s="91"/>
      <c r="P106" s="91"/>
      <c r="Q106" s="91"/>
      <c r="R106" s="91"/>
      <c r="S106" s="91"/>
      <c r="T106" s="91"/>
      <c r="U106" s="91"/>
      <c r="V106" s="91"/>
      <c r="W106" s="91"/>
      <c r="X106" s="91"/>
      <c r="Y106" s="91"/>
    </row>
    <row r="107" spans="1:25">
      <c r="A107" s="96" t="s">
        <v>831</v>
      </c>
      <c r="B107" s="97" t="s">
        <v>2224</v>
      </c>
      <c r="C107" s="97" t="s">
        <v>2225</v>
      </c>
      <c r="D107" s="91"/>
      <c r="E107" s="91"/>
      <c r="F107" s="91"/>
      <c r="G107" s="91"/>
      <c r="H107" s="91"/>
      <c r="I107" s="91"/>
      <c r="J107" s="91"/>
      <c r="K107" s="91"/>
      <c r="L107" s="91"/>
      <c r="M107" s="91"/>
      <c r="N107" s="91"/>
      <c r="O107" s="91"/>
      <c r="P107" s="91"/>
      <c r="Q107" s="91"/>
      <c r="R107" s="91"/>
      <c r="S107" s="91"/>
      <c r="T107" s="91"/>
      <c r="U107" s="91"/>
      <c r="V107" s="91"/>
      <c r="W107" s="91"/>
      <c r="X107" s="91"/>
      <c r="Y107" s="91"/>
    </row>
    <row r="108" spans="1:25">
      <c r="A108" s="96" t="s">
        <v>836</v>
      </c>
      <c r="B108" s="97" t="s">
        <v>2226</v>
      </c>
      <c r="C108" s="97" t="s">
        <v>2227</v>
      </c>
      <c r="D108" s="91"/>
      <c r="E108" s="91"/>
      <c r="F108" s="91"/>
      <c r="G108" s="91"/>
      <c r="H108" s="91"/>
      <c r="I108" s="91"/>
      <c r="J108" s="91"/>
      <c r="K108" s="91"/>
      <c r="L108" s="91"/>
      <c r="M108" s="91"/>
      <c r="N108" s="91"/>
      <c r="O108" s="91"/>
      <c r="P108" s="91"/>
      <c r="Q108" s="91"/>
      <c r="R108" s="91"/>
      <c r="S108" s="91"/>
      <c r="T108" s="91"/>
      <c r="U108" s="91"/>
      <c r="V108" s="91"/>
      <c r="W108" s="91"/>
      <c r="X108" s="91"/>
      <c r="Y108" s="91"/>
    </row>
    <row r="109" spans="1:25">
      <c r="A109" s="96" t="s">
        <v>636</v>
      </c>
      <c r="B109" s="97" t="s">
        <v>2228</v>
      </c>
      <c r="C109" s="97" t="s">
        <v>2229</v>
      </c>
      <c r="D109" s="91"/>
      <c r="E109" s="91"/>
      <c r="F109" s="91"/>
      <c r="G109" s="91"/>
      <c r="H109" s="91"/>
      <c r="I109" s="91"/>
      <c r="J109" s="91"/>
      <c r="K109" s="91"/>
      <c r="L109" s="91"/>
      <c r="M109" s="91"/>
      <c r="N109" s="91"/>
      <c r="O109" s="91"/>
      <c r="P109" s="91"/>
      <c r="Q109" s="91"/>
      <c r="R109" s="91"/>
      <c r="S109" s="91"/>
      <c r="T109" s="91"/>
      <c r="U109" s="91"/>
      <c r="V109" s="91"/>
      <c r="W109" s="91"/>
      <c r="X109" s="91"/>
      <c r="Y109" s="91"/>
    </row>
    <row r="110" spans="1:25">
      <c r="A110" s="96" t="s">
        <v>2230</v>
      </c>
      <c r="B110" s="97" t="s">
        <v>2231</v>
      </c>
      <c r="C110" s="97" t="s">
        <v>2232</v>
      </c>
      <c r="D110" s="91"/>
      <c r="E110" s="91"/>
      <c r="F110" s="91"/>
      <c r="G110" s="91"/>
      <c r="H110" s="91"/>
      <c r="I110" s="91"/>
      <c r="J110" s="91"/>
      <c r="K110" s="91"/>
      <c r="L110" s="91"/>
      <c r="M110" s="91"/>
      <c r="N110" s="91"/>
      <c r="O110" s="91"/>
      <c r="P110" s="91"/>
      <c r="Q110" s="91"/>
      <c r="R110" s="91"/>
      <c r="S110" s="91"/>
      <c r="T110" s="91"/>
      <c r="U110" s="91"/>
      <c r="V110" s="91"/>
      <c r="W110" s="91"/>
      <c r="X110" s="91"/>
      <c r="Y110" s="91"/>
    </row>
    <row r="111" spans="1:25">
      <c r="A111" s="96" t="s">
        <v>2233</v>
      </c>
      <c r="B111" s="97" t="s">
        <v>2234</v>
      </c>
      <c r="C111" s="97" t="s">
        <v>2235</v>
      </c>
      <c r="D111" s="91"/>
      <c r="E111" s="91"/>
      <c r="F111" s="91"/>
      <c r="G111" s="91"/>
      <c r="H111" s="91"/>
      <c r="I111" s="91"/>
      <c r="J111" s="91"/>
      <c r="K111" s="91"/>
      <c r="L111" s="91"/>
      <c r="M111" s="91"/>
      <c r="N111" s="91"/>
      <c r="O111" s="91"/>
      <c r="P111" s="91"/>
      <c r="Q111" s="91"/>
      <c r="R111" s="91"/>
      <c r="S111" s="91"/>
      <c r="T111" s="91"/>
      <c r="U111" s="91"/>
      <c r="V111" s="91"/>
      <c r="W111" s="91"/>
      <c r="X111" s="91"/>
      <c r="Y111" s="91"/>
    </row>
    <row r="112" spans="1:25">
      <c r="A112" s="96" t="s">
        <v>705</v>
      </c>
      <c r="B112" s="97" t="s">
        <v>2236</v>
      </c>
      <c r="C112" s="97" t="s">
        <v>2237</v>
      </c>
      <c r="D112" s="91"/>
      <c r="E112" s="91"/>
      <c r="F112" s="91"/>
      <c r="G112" s="91"/>
      <c r="H112" s="91"/>
      <c r="I112" s="91"/>
      <c r="J112" s="91"/>
      <c r="K112" s="91"/>
      <c r="L112" s="91"/>
      <c r="M112" s="91"/>
      <c r="N112" s="91"/>
      <c r="O112" s="91"/>
      <c r="P112" s="91"/>
      <c r="Q112" s="91"/>
      <c r="R112" s="91"/>
      <c r="S112" s="91"/>
      <c r="T112" s="91"/>
      <c r="U112" s="91"/>
      <c r="V112" s="91"/>
      <c r="W112" s="91"/>
      <c r="X112" s="91"/>
      <c r="Y112" s="91"/>
    </row>
    <row r="113" spans="1:25">
      <c r="A113" s="91"/>
      <c r="B113" s="97"/>
      <c r="C113" s="94"/>
      <c r="D113" s="91"/>
      <c r="E113" s="91"/>
      <c r="F113" s="91"/>
      <c r="G113" s="91"/>
      <c r="H113" s="91"/>
      <c r="I113" s="91"/>
      <c r="J113" s="91"/>
      <c r="K113" s="91"/>
      <c r="L113" s="91"/>
      <c r="M113" s="91"/>
      <c r="N113" s="91"/>
      <c r="O113" s="91"/>
      <c r="P113" s="91"/>
      <c r="Q113" s="91"/>
      <c r="R113" s="91"/>
      <c r="S113" s="91"/>
      <c r="T113" s="91"/>
      <c r="U113" s="91"/>
      <c r="V113" s="91"/>
      <c r="W113" s="91"/>
      <c r="X113" s="91"/>
      <c r="Y113" s="91"/>
    </row>
    <row r="114" spans="1:25">
      <c r="A114" s="91"/>
      <c r="B114" s="97"/>
      <c r="C114" s="94"/>
      <c r="D114" s="91"/>
      <c r="E114" s="91"/>
      <c r="F114" s="91"/>
      <c r="G114" s="91"/>
      <c r="H114" s="91"/>
      <c r="I114" s="91"/>
      <c r="J114" s="91"/>
      <c r="K114" s="91"/>
      <c r="L114" s="91"/>
      <c r="M114" s="91"/>
      <c r="N114" s="91"/>
      <c r="O114" s="91"/>
      <c r="P114" s="91"/>
      <c r="Q114" s="91"/>
      <c r="R114" s="91"/>
      <c r="S114" s="91"/>
      <c r="T114" s="91"/>
      <c r="U114" s="91"/>
      <c r="V114" s="91"/>
      <c r="W114" s="91"/>
      <c r="X114" s="91"/>
      <c r="Y114" s="91"/>
    </row>
    <row r="115" spans="1:25">
      <c r="A115" s="101" t="s">
        <v>2238</v>
      </c>
      <c r="B115" s="97"/>
      <c r="C115" s="116"/>
      <c r="D115" s="91"/>
      <c r="E115" s="91"/>
      <c r="F115" s="91"/>
      <c r="G115" s="91"/>
      <c r="H115" s="91"/>
      <c r="I115" s="91"/>
      <c r="J115" s="91"/>
      <c r="K115" s="91"/>
      <c r="L115" s="91"/>
      <c r="M115" s="91"/>
      <c r="N115" s="91"/>
      <c r="O115" s="91"/>
      <c r="P115" s="91"/>
      <c r="Q115" s="91"/>
      <c r="R115" s="91"/>
      <c r="S115" s="91"/>
      <c r="T115" s="91"/>
      <c r="U115" s="91"/>
      <c r="V115" s="91"/>
      <c r="W115" s="91"/>
      <c r="X115" s="91"/>
      <c r="Y115" s="91"/>
    </row>
    <row r="116" spans="1:25">
      <c r="A116" s="96" t="s">
        <v>2239</v>
      </c>
      <c r="B116" s="97" t="s">
        <v>2240</v>
      </c>
      <c r="C116" s="97" t="s">
        <v>2241</v>
      </c>
      <c r="D116" s="91"/>
      <c r="E116" s="91"/>
      <c r="F116" s="91"/>
      <c r="G116" s="91"/>
      <c r="H116" s="91"/>
      <c r="I116" s="91"/>
      <c r="J116" s="91"/>
      <c r="K116" s="91"/>
      <c r="L116" s="91"/>
      <c r="M116" s="91"/>
      <c r="N116" s="91"/>
      <c r="O116" s="91"/>
      <c r="P116" s="91"/>
      <c r="Q116" s="91"/>
      <c r="R116" s="91"/>
      <c r="S116" s="91"/>
      <c r="T116" s="91"/>
      <c r="U116" s="91"/>
      <c r="V116" s="91"/>
      <c r="W116" s="91"/>
      <c r="X116" s="91"/>
      <c r="Y116" s="91"/>
    </row>
    <row r="117" spans="1:25">
      <c r="A117" s="103" t="s">
        <v>920</v>
      </c>
      <c r="B117" s="97" t="s">
        <v>2242</v>
      </c>
      <c r="C117" s="97" t="s">
        <v>2243</v>
      </c>
      <c r="D117" s="91"/>
      <c r="E117" s="91"/>
      <c r="F117" s="91"/>
      <c r="G117" s="91"/>
      <c r="H117" s="91"/>
      <c r="I117" s="91"/>
      <c r="J117" s="91"/>
      <c r="K117" s="91"/>
      <c r="L117" s="91"/>
      <c r="M117" s="91"/>
      <c r="N117" s="91"/>
      <c r="O117" s="91"/>
      <c r="P117" s="91"/>
      <c r="Q117" s="91"/>
      <c r="R117" s="91"/>
      <c r="S117" s="91"/>
      <c r="T117" s="91"/>
      <c r="U117" s="91"/>
      <c r="V117" s="91"/>
      <c r="W117" s="91"/>
      <c r="X117" s="91"/>
      <c r="Y117" s="91"/>
    </row>
    <row r="118" spans="1:25">
      <c r="A118" s="103" t="s">
        <v>945</v>
      </c>
      <c r="B118" s="97" t="s">
        <v>2244</v>
      </c>
      <c r="C118" s="97" t="s">
        <v>2245</v>
      </c>
      <c r="D118" s="91"/>
      <c r="E118" s="91"/>
      <c r="F118" s="91"/>
      <c r="G118" s="91"/>
      <c r="H118" s="91"/>
      <c r="I118" s="91"/>
      <c r="J118" s="91"/>
      <c r="K118" s="91"/>
      <c r="L118" s="91"/>
      <c r="M118" s="91"/>
      <c r="N118" s="91"/>
      <c r="O118" s="91"/>
      <c r="P118" s="91"/>
      <c r="Q118" s="91"/>
      <c r="R118" s="91"/>
      <c r="S118" s="91"/>
      <c r="T118" s="91"/>
      <c r="U118" s="91"/>
      <c r="V118" s="91"/>
      <c r="W118" s="91"/>
      <c r="X118" s="91"/>
      <c r="Y118" s="91"/>
    </row>
    <row r="119" spans="1:25">
      <c r="A119" s="103" t="s">
        <v>950</v>
      </c>
      <c r="B119" s="97" t="s">
        <v>2246</v>
      </c>
      <c r="C119" s="97" t="s">
        <v>2247</v>
      </c>
      <c r="D119" s="91"/>
      <c r="E119" s="91"/>
      <c r="F119" s="91"/>
      <c r="G119" s="91"/>
      <c r="H119" s="91"/>
      <c r="I119" s="91"/>
      <c r="J119" s="91"/>
      <c r="K119" s="91"/>
      <c r="L119" s="91"/>
      <c r="M119" s="91"/>
      <c r="N119" s="91"/>
      <c r="O119" s="91"/>
      <c r="P119" s="91"/>
      <c r="Q119" s="91"/>
      <c r="R119" s="91"/>
      <c r="S119" s="91"/>
      <c r="T119" s="91"/>
      <c r="U119" s="91"/>
      <c r="V119" s="91"/>
      <c r="W119" s="91"/>
      <c r="X119" s="91"/>
      <c r="Y119" s="91"/>
    </row>
    <row r="120" spans="1:25">
      <c r="A120" s="103" t="s">
        <v>955</v>
      </c>
      <c r="B120" s="97" t="s">
        <v>2248</v>
      </c>
      <c r="C120" s="97" t="s">
        <v>2249</v>
      </c>
      <c r="D120" s="91"/>
      <c r="E120" s="91"/>
      <c r="F120" s="91"/>
      <c r="G120" s="91"/>
      <c r="H120" s="91"/>
      <c r="I120" s="91"/>
      <c r="J120" s="91"/>
      <c r="K120" s="91"/>
      <c r="L120" s="91"/>
      <c r="M120" s="91"/>
      <c r="N120" s="91"/>
      <c r="O120" s="91"/>
      <c r="P120" s="91"/>
      <c r="Q120" s="91"/>
      <c r="R120" s="91"/>
      <c r="S120" s="91"/>
      <c r="T120" s="91"/>
      <c r="U120" s="91"/>
      <c r="V120" s="91"/>
      <c r="W120" s="91"/>
      <c r="X120" s="91"/>
      <c r="Y120" s="91"/>
    </row>
    <row r="121" spans="1:25">
      <c r="A121" s="96" t="s">
        <v>960</v>
      </c>
      <c r="B121" s="97" t="s">
        <v>2250</v>
      </c>
      <c r="C121" s="97" t="s">
        <v>2251</v>
      </c>
      <c r="D121" s="91"/>
      <c r="E121" s="91"/>
      <c r="F121" s="91"/>
      <c r="G121" s="91"/>
      <c r="H121" s="91"/>
      <c r="I121" s="91"/>
      <c r="J121" s="91"/>
      <c r="K121" s="91"/>
      <c r="L121" s="91"/>
      <c r="M121" s="91"/>
      <c r="N121" s="91"/>
      <c r="O121" s="91"/>
      <c r="P121" s="91"/>
      <c r="Q121" s="91"/>
      <c r="R121" s="91"/>
      <c r="S121" s="91"/>
      <c r="T121" s="91"/>
      <c r="U121" s="91"/>
      <c r="V121" s="91"/>
      <c r="W121" s="91"/>
      <c r="X121" s="91"/>
      <c r="Y121" s="91"/>
    </row>
    <row r="122" spans="1:25">
      <c r="A122" s="96" t="s">
        <v>964</v>
      </c>
      <c r="B122" s="97" t="s">
        <v>2252</v>
      </c>
      <c r="C122" s="97" t="s">
        <v>2253</v>
      </c>
      <c r="D122" s="91"/>
      <c r="E122" s="91"/>
      <c r="F122" s="91"/>
      <c r="G122" s="91"/>
      <c r="H122" s="91"/>
      <c r="I122" s="91"/>
      <c r="J122" s="91"/>
      <c r="K122" s="91"/>
      <c r="L122" s="91"/>
      <c r="M122" s="91"/>
      <c r="N122" s="91"/>
      <c r="O122" s="91"/>
      <c r="P122" s="91"/>
      <c r="Q122" s="91"/>
      <c r="R122" s="91"/>
      <c r="S122" s="91"/>
      <c r="T122" s="91"/>
      <c r="U122" s="91"/>
      <c r="V122" s="91"/>
      <c r="W122" s="91"/>
      <c r="X122" s="91"/>
      <c r="Y122" s="91"/>
    </row>
    <row r="123" spans="1:25">
      <c r="A123" s="96" t="s">
        <v>969</v>
      </c>
      <c r="B123" s="97" t="s">
        <v>2254</v>
      </c>
      <c r="C123" s="97" t="s">
        <v>2255</v>
      </c>
      <c r="D123" s="91"/>
      <c r="E123" s="91"/>
      <c r="F123" s="91"/>
      <c r="G123" s="91"/>
      <c r="H123" s="91"/>
      <c r="I123" s="91"/>
      <c r="J123" s="91"/>
      <c r="K123" s="91"/>
      <c r="L123" s="91"/>
      <c r="M123" s="91"/>
      <c r="N123" s="91"/>
      <c r="O123" s="91"/>
      <c r="P123" s="91"/>
      <c r="Q123" s="91"/>
      <c r="R123" s="91"/>
      <c r="S123" s="91"/>
      <c r="T123" s="91"/>
      <c r="U123" s="91"/>
      <c r="V123" s="91"/>
      <c r="W123" s="91"/>
      <c r="X123" s="91"/>
      <c r="Y123" s="91"/>
    </row>
    <row r="124" spans="1:25">
      <c r="A124" s="96" t="s">
        <v>2256</v>
      </c>
      <c r="B124" s="97" t="s">
        <v>2257</v>
      </c>
      <c r="C124" s="97" t="s">
        <v>2258</v>
      </c>
      <c r="D124" s="91"/>
      <c r="E124" s="91"/>
      <c r="F124" s="91"/>
      <c r="G124" s="91"/>
      <c r="H124" s="91"/>
      <c r="I124" s="91"/>
      <c r="J124" s="91"/>
      <c r="K124" s="91"/>
      <c r="L124" s="91"/>
      <c r="M124" s="91"/>
      <c r="N124" s="91"/>
      <c r="O124" s="91"/>
      <c r="P124" s="91"/>
      <c r="Q124" s="91"/>
      <c r="R124" s="91"/>
      <c r="S124" s="91"/>
      <c r="T124" s="91"/>
      <c r="U124" s="91"/>
      <c r="V124" s="91"/>
      <c r="W124" s="91"/>
      <c r="X124" s="91"/>
      <c r="Y124" s="91"/>
    </row>
    <row r="125" spans="1:25">
      <c r="A125" s="96" t="s">
        <v>2259</v>
      </c>
      <c r="B125" s="97" t="s">
        <v>2260</v>
      </c>
      <c r="C125" s="97" t="s">
        <v>2261</v>
      </c>
      <c r="D125" s="91"/>
      <c r="E125" s="91"/>
      <c r="F125" s="91"/>
      <c r="G125" s="91"/>
      <c r="H125" s="91"/>
      <c r="I125" s="91"/>
      <c r="J125" s="91"/>
      <c r="K125" s="91"/>
      <c r="L125" s="91"/>
      <c r="M125" s="91"/>
      <c r="N125" s="91"/>
      <c r="O125" s="91"/>
      <c r="P125" s="91"/>
      <c r="Q125" s="91"/>
      <c r="R125" s="91"/>
      <c r="S125" s="91"/>
      <c r="T125" s="91"/>
      <c r="U125" s="91"/>
      <c r="V125" s="91"/>
      <c r="W125" s="91"/>
      <c r="X125" s="91"/>
      <c r="Y125" s="91"/>
    </row>
    <row r="126" spans="1:25">
      <c r="A126" s="96" t="s">
        <v>2262</v>
      </c>
      <c r="B126" s="97" t="s">
        <v>2263</v>
      </c>
      <c r="C126" s="97" t="s">
        <v>2264</v>
      </c>
      <c r="D126" s="91"/>
      <c r="E126" s="91"/>
      <c r="F126" s="91"/>
      <c r="G126" s="91"/>
      <c r="H126" s="91"/>
      <c r="I126" s="91"/>
      <c r="J126" s="91"/>
      <c r="K126" s="91"/>
      <c r="L126" s="91"/>
      <c r="M126" s="91"/>
      <c r="N126" s="91"/>
      <c r="O126" s="91"/>
      <c r="P126" s="91"/>
      <c r="Q126" s="91"/>
      <c r="R126" s="91"/>
      <c r="S126" s="91"/>
      <c r="T126" s="91"/>
      <c r="U126" s="91"/>
      <c r="V126" s="91"/>
      <c r="W126" s="91"/>
      <c r="X126" s="91"/>
      <c r="Y126" s="91"/>
    </row>
    <row r="127" spans="1:25">
      <c r="A127" s="96" t="s">
        <v>2265</v>
      </c>
      <c r="B127" s="97" t="s">
        <v>2266</v>
      </c>
      <c r="C127" s="97" t="s">
        <v>2267</v>
      </c>
      <c r="D127" s="91"/>
      <c r="E127" s="91"/>
      <c r="F127" s="91"/>
      <c r="G127" s="91"/>
      <c r="H127" s="91"/>
      <c r="I127" s="91"/>
      <c r="J127" s="91"/>
      <c r="K127" s="91"/>
      <c r="L127" s="91"/>
      <c r="M127" s="91"/>
      <c r="N127" s="91"/>
      <c r="O127" s="91"/>
      <c r="P127" s="91"/>
      <c r="Q127" s="91"/>
      <c r="R127" s="91"/>
      <c r="S127" s="91"/>
      <c r="T127" s="91"/>
      <c r="U127" s="91"/>
      <c r="V127" s="91"/>
      <c r="W127" s="91"/>
      <c r="X127" s="91"/>
      <c r="Y127" s="91"/>
    </row>
    <row r="128" spans="1:25">
      <c r="A128" s="96" t="s">
        <v>2268</v>
      </c>
      <c r="B128" s="97" t="s">
        <v>2269</v>
      </c>
      <c r="C128" s="97" t="s">
        <v>2270</v>
      </c>
      <c r="D128" s="91"/>
      <c r="E128" s="91"/>
      <c r="F128" s="91"/>
      <c r="G128" s="91"/>
      <c r="H128" s="91"/>
      <c r="I128" s="91"/>
      <c r="J128" s="91"/>
      <c r="K128" s="91"/>
      <c r="L128" s="91"/>
      <c r="M128" s="91"/>
      <c r="N128" s="91"/>
      <c r="O128" s="91"/>
      <c r="P128" s="91"/>
      <c r="Q128" s="91"/>
      <c r="R128" s="91"/>
      <c r="S128" s="91"/>
      <c r="T128" s="91"/>
      <c r="U128" s="91"/>
      <c r="V128" s="91"/>
      <c r="W128" s="91"/>
      <c r="X128" s="91"/>
      <c r="Y128" s="91"/>
    </row>
    <row r="129" spans="1:25">
      <c r="A129" s="96" t="s">
        <v>2271</v>
      </c>
      <c r="B129" s="97" t="s">
        <v>2272</v>
      </c>
      <c r="C129" s="97" t="s">
        <v>2273</v>
      </c>
      <c r="D129" s="91"/>
      <c r="E129" s="91"/>
      <c r="F129" s="91"/>
      <c r="G129" s="91"/>
      <c r="H129" s="91"/>
      <c r="I129" s="91"/>
      <c r="J129" s="91"/>
      <c r="K129" s="91"/>
      <c r="L129" s="91"/>
      <c r="M129" s="91"/>
      <c r="N129" s="91"/>
      <c r="O129" s="91"/>
      <c r="P129" s="91"/>
      <c r="Q129" s="91"/>
      <c r="R129" s="91"/>
      <c r="S129" s="91"/>
      <c r="T129" s="91"/>
      <c r="U129" s="91"/>
      <c r="V129" s="91"/>
      <c r="W129" s="91"/>
      <c r="X129" s="91"/>
      <c r="Y129" s="91"/>
    </row>
    <row r="130" spans="1:25">
      <c r="A130" s="91"/>
      <c r="B130" s="97"/>
      <c r="C130" s="104"/>
      <c r="D130" s="91"/>
      <c r="E130" s="91"/>
      <c r="F130" s="91"/>
      <c r="G130" s="91"/>
      <c r="H130" s="91"/>
      <c r="I130" s="91"/>
      <c r="J130" s="91"/>
      <c r="K130" s="91"/>
      <c r="L130" s="91"/>
      <c r="M130" s="91"/>
      <c r="N130" s="91"/>
      <c r="O130" s="91"/>
      <c r="P130" s="91"/>
      <c r="Q130" s="91"/>
      <c r="R130" s="91"/>
      <c r="S130" s="91"/>
      <c r="T130" s="91"/>
      <c r="U130" s="91"/>
      <c r="V130" s="91"/>
      <c r="W130" s="91"/>
      <c r="X130" s="91"/>
      <c r="Y130" s="91"/>
    </row>
    <row r="131" spans="1:25">
      <c r="A131" s="91"/>
      <c r="B131" s="97"/>
      <c r="C131" s="104"/>
      <c r="D131" s="91"/>
      <c r="E131" s="91"/>
      <c r="F131" s="91"/>
      <c r="G131" s="91"/>
      <c r="H131" s="91"/>
      <c r="I131" s="91"/>
      <c r="J131" s="91"/>
      <c r="K131" s="91"/>
      <c r="L131" s="91"/>
      <c r="M131" s="91"/>
      <c r="N131" s="91"/>
      <c r="O131" s="91"/>
      <c r="P131" s="91"/>
      <c r="Q131" s="91"/>
      <c r="R131" s="91"/>
      <c r="S131" s="91"/>
      <c r="T131" s="91"/>
      <c r="U131" s="91"/>
      <c r="V131" s="91"/>
      <c r="W131" s="91"/>
      <c r="X131" s="91"/>
      <c r="Y131" s="91"/>
    </row>
    <row r="132" spans="1:25">
      <c r="A132" s="101" t="s">
        <v>2238</v>
      </c>
      <c r="B132" s="97"/>
      <c r="C132" s="116"/>
      <c r="D132" s="91"/>
      <c r="E132" s="91"/>
      <c r="F132" s="91"/>
      <c r="G132" s="91"/>
      <c r="H132" s="91"/>
      <c r="I132" s="91"/>
      <c r="J132" s="91"/>
      <c r="K132" s="91"/>
      <c r="L132" s="91"/>
      <c r="M132" s="91"/>
      <c r="N132" s="91"/>
      <c r="O132" s="91"/>
      <c r="P132" s="91"/>
      <c r="Q132" s="91"/>
      <c r="R132" s="91"/>
      <c r="S132" s="91"/>
      <c r="T132" s="91"/>
      <c r="U132" s="91"/>
      <c r="V132" s="91"/>
      <c r="W132" s="91"/>
      <c r="X132" s="91"/>
      <c r="Y132" s="91"/>
    </row>
    <row r="133" spans="1:25">
      <c r="A133" s="96" t="s">
        <v>2274</v>
      </c>
      <c r="B133" s="97" t="s">
        <v>2275</v>
      </c>
      <c r="C133" s="97" t="s">
        <v>2276</v>
      </c>
      <c r="D133" s="91"/>
      <c r="E133" s="91"/>
      <c r="F133" s="91"/>
      <c r="G133" s="91"/>
      <c r="H133" s="91"/>
      <c r="I133" s="91"/>
      <c r="J133" s="91"/>
      <c r="K133" s="91"/>
      <c r="L133" s="91"/>
      <c r="M133" s="91"/>
      <c r="N133" s="91"/>
      <c r="O133" s="91"/>
      <c r="P133" s="91"/>
      <c r="Q133" s="91"/>
      <c r="R133" s="91"/>
      <c r="S133" s="91"/>
      <c r="T133" s="91"/>
      <c r="U133" s="91"/>
      <c r="V133" s="91"/>
      <c r="W133" s="91"/>
      <c r="X133" s="91"/>
      <c r="Y133" s="91"/>
    </row>
    <row r="134" spans="1:25">
      <c r="A134" s="96" t="s">
        <v>2277</v>
      </c>
      <c r="B134" s="97" t="s">
        <v>2278</v>
      </c>
      <c r="C134" s="97" t="s">
        <v>2279</v>
      </c>
      <c r="D134" s="91"/>
      <c r="E134" s="91"/>
      <c r="F134" s="91"/>
      <c r="G134" s="91"/>
      <c r="H134" s="91"/>
      <c r="I134" s="91"/>
      <c r="J134" s="91"/>
      <c r="K134" s="91"/>
      <c r="L134" s="91"/>
      <c r="M134" s="91"/>
      <c r="N134" s="91"/>
      <c r="O134" s="91"/>
      <c r="P134" s="91"/>
      <c r="Q134" s="91"/>
      <c r="R134" s="91"/>
      <c r="S134" s="91"/>
      <c r="T134" s="91"/>
      <c r="U134" s="91"/>
      <c r="V134" s="91"/>
      <c r="W134" s="91"/>
      <c r="X134" s="91"/>
      <c r="Y134" s="91"/>
    </row>
    <row r="135" spans="1:25">
      <c r="A135" s="96" t="s">
        <v>2280</v>
      </c>
      <c r="B135" s="97" t="s">
        <v>2281</v>
      </c>
      <c r="C135" s="97" t="s">
        <v>2282</v>
      </c>
      <c r="D135" s="91"/>
      <c r="E135" s="91"/>
      <c r="F135" s="91"/>
      <c r="G135" s="91"/>
      <c r="H135" s="91"/>
      <c r="I135" s="91"/>
      <c r="J135" s="91"/>
      <c r="K135" s="91"/>
      <c r="L135" s="91"/>
      <c r="M135" s="91"/>
      <c r="N135" s="91"/>
      <c r="O135" s="91"/>
      <c r="P135" s="91"/>
      <c r="Q135" s="91"/>
      <c r="R135" s="91"/>
      <c r="S135" s="91"/>
      <c r="T135" s="91"/>
      <c r="U135" s="91"/>
      <c r="V135" s="91"/>
      <c r="W135" s="91"/>
      <c r="X135" s="91"/>
      <c r="Y135" s="91"/>
    </row>
    <row r="136" spans="1:25">
      <c r="A136" s="91"/>
      <c r="B136" s="97"/>
      <c r="C136" s="104"/>
      <c r="D136" s="91"/>
      <c r="E136" s="91"/>
      <c r="F136" s="91"/>
      <c r="G136" s="91"/>
      <c r="H136" s="91"/>
      <c r="I136" s="91"/>
      <c r="J136" s="91"/>
      <c r="K136" s="91"/>
      <c r="L136" s="91"/>
      <c r="M136" s="91"/>
      <c r="N136" s="91"/>
      <c r="O136" s="91"/>
      <c r="P136" s="91"/>
      <c r="Q136" s="91"/>
      <c r="R136" s="91"/>
      <c r="S136" s="91"/>
      <c r="T136" s="91"/>
      <c r="U136" s="91"/>
      <c r="V136" s="91"/>
      <c r="W136" s="91"/>
      <c r="X136" s="91"/>
      <c r="Y136" s="91"/>
    </row>
    <row r="137" spans="1:25">
      <c r="A137" s="91"/>
      <c r="B137" s="97"/>
      <c r="C137" s="104"/>
      <c r="D137" s="91"/>
      <c r="E137" s="91"/>
      <c r="F137" s="91"/>
      <c r="G137" s="91"/>
      <c r="H137" s="91"/>
      <c r="I137" s="91"/>
      <c r="J137" s="91"/>
      <c r="K137" s="91"/>
      <c r="L137" s="91"/>
      <c r="M137" s="91"/>
      <c r="N137" s="91"/>
      <c r="O137" s="91"/>
      <c r="P137" s="91"/>
      <c r="Q137" s="91"/>
      <c r="R137" s="91"/>
      <c r="S137" s="91"/>
      <c r="T137" s="91"/>
      <c r="U137" s="91"/>
      <c r="V137" s="91"/>
      <c r="W137" s="91"/>
      <c r="X137" s="91"/>
      <c r="Y137" s="91"/>
    </row>
    <row r="138" spans="1:25">
      <c r="A138" s="101" t="s">
        <v>2283</v>
      </c>
      <c r="B138" s="97"/>
      <c r="C138" s="116"/>
      <c r="D138" s="91"/>
      <c r="E138" s="91"/>
      <c r="F138" s="91"/>
      <c r="G138" s="91"/>
      <c r="H138" s="91"/>
      <c r="I138" s="91"/>
      <c r="J138" s="91"/>
      <c r="K138" s="91"/>
      <c r="L138" s="91"/>
      <c r="M138" s="91"/>
      <c r="N138" s="91"/>
      <c r="O138" s="91"/>
      <c r="P138" s="91"/>
      <c r="Q138" s="91"/>
      <c r="R138" s="91"/>
      <c r="S138" s="91"/>
      <c r="T138" s="91"/>
      <c r="U138" s="91"/>
      <c r="V138" s="91"/>
      <c r="W138" s="91"/>
      <c r="X138" s="91"/>
      <c r="Y138" s="91"/>
    </row>
    <row r="139" spans="1:25">
      <c r="A139" s="96" t="s">
        <v>2284</v>
      </c>
      <c r="B139" s="97" t="s">
        <v>2285</v>
      </c>
      <c r="C139" s="97" t="s">
        <v>2286</v>
      </c>
      <c r="D139" s="91"/>
      <c r="E139" s="91"/>
      <c r="F139" s="91"/>
      <c r="G139" s="91"/>
      <c r="H139" s="91"/>
      <c r="I139" s="91"/>
      <c r="J139" s="91"/>
      <c r="K139" s="91"/>
      <c r="L139" s="91"/>
      <c r="M139" s="91"/>
      <c r="N139" s="91"/>
      <c r="O139" s="91"/>
      <c r="P139" s="91"/>
      <c r="Q139" s="91"/>
      <c r="R139" s="91"/>
      <c r="S139" s="91"/>
      <c r="T139" s="91"/>
      <c r="U139" s="91"/>
      <c r="V139" s="91"/>
      <c r="W139" s="91"/>
      <c r="X139" s="91"/>
      <c r="Y139" s="91"/>
    </row>
    <row r="140" spans="1:25">
      <c r="A140" s="96" t="s">
        <v>1434</v>
      </c>
      <c r="B140" s="97" t="s">
        <v>2287</v>
      </c>
      <c r="C140" s="97" t="s">
        <v>2288</v>
      </c>
      <c r="D140" s="91"/>
      <c r="E140" s="91"/>
      <c r="F140" s="91"/>
      <c r="G140" s="91"/>
      <c r="H140" s="91"/>
      <c r="I140" s="91"/>
      <c r="J140" s="91"/>
      <c r="K140" s="91"/>
      <c r="L140" s="91"/>
      <c r="M140" s="91"/>
      <c r="N140" s="91"/>
      <c r="O140" s="91"/>
      <c r="P140" s="91"/>
      <c r="Q140" s="91"/>
      <c r="R140" s="91"/>
      <c r="S140" s="91"/>
      <c r="T140" s="91"/>
      <c r="U140" s="91"/>
      <c r="V140" s="91"/>
      <c r="W140" s="91"/>
      <c r="X140" s="91"/>
      <c r="Y140" s="91"/>
    </row>
    <row r="141" spans="1:25">
      <c r="A141" s="91"/>
      <c r="B141" s="97"/>
      <c r="C141" s="104"/>
      <c r="D141" s="91"/>
      <c r="E141" s="91"/>
      <c r="F141" s="91"/>
      <c r="G141" s="91"/>
      <c r="H141" s="91"/>
      <c r="I141" s="91"/>
      <c r="J141" s="91"/>
      <c r="K141" s="91"/>
      <c r="L141" s="91"/>
      <c r="M141" s="91"/>
      <c r="N141" s="91"/>
      <c r="O141" s="91"/>
      <c r="P141" s="91"/>
      <c r="Q141" s="91"/>
      <c r="R141" s="91"/>
      <c r="S141" s="91"/>
      <c r="T141" s="91"/>
      <c r="U141" s="91"/>
      <c r="V141" s="91"/>
      <c r="W141" s="91"/>
      <c r="X141" s="91"/>
      <c r="Y141" s="91"/>
    </row>
    <row r="142" spans="1:25">
      <c r="A142" s="91"/>
      <c r="B142" s="97"/>
      <c r="C142" s="104"/>
      <c r="D142" s="91"/>
      <c r="E142" s="91"/>
      <c r="F142" s="91"/>
      <c r="G142" s="91"/>
      <c r="H142" s="91"/>
      <c r="I142" s="91"/>
      <c r="J142" s="91"/>
      <c r="K142" s="91"/>
      <c r="L142" s="91"/>
      <c r="M142" s="91"/>
      <c r="N142" s="91"/>
      <c r="O142" s="91"/>
      <c r="P142" s="91"/>
      <c r="Q142" s="91"/>
      <c r="R142" s="91"/>
      <c r="S142" s="91"/>
      <c r="T142" s="91"/>
      <c r="U142" s="91"/>
      <c r="V142" s="91"/>
      <c r="W142" s="91"/>
      <c r="X142" s="91"/>
      <c r="Y142" s="91"/>
    </row>
    <row r="143" spans="1:25">
      <c r="A143" s="101" t="s">
        <v>2289</v>
      </c>
      <c r="B143" s="97"/>
      <c r="C143" s="116"/>
      <c r="D143" s="91"/>
      <c r="E143" s="91"/>
      <c r="F143" s="91"/>
      <c r="G143" s="91"/>
      <c r="H143" s="91"/>
      <c r="I143" s="91"/>
      <c r="J143" s="91"/>
      <c r="K143" s="91"/>
      <c r="L143" s="91"/>
      <c r="M143" s="91"/>
      <c r="N143" s="91"/>
      <c r="O143" s="91"/>
      <c r="P143" s="91"/>
      <c r="Q143" s="91"/>
      <c r="R143" s="91"/>
      <c r="S143" s="91"/>
      <c r="T143" s="91"/>
      <c r="U143" s="91"/>
      <c r="V143" s="91"/>
      <c r="W143" s="91"/>
      <c r="X143" s="91"/>
      <c r="Y143" s="91"/>
    </row>
    <row r="144" spans="1:25">
      <c r="A144" s="96" t="s">
        <v>1467</v>
      </c>
      <c r="B144" s="97" t="s">
        <v>2290</v>
      </c>
      <c r="C144" s="97" t="s">
        <v>2291</v>
      </c>
      <c r="D144" s="91"/>
      <c r="E144" s="91"/>
      <c r="F144" s="91"/>
      <c r="G144" s="91"/>
      <c r="H144" s="91"/>
      <c r="I144" s="91"/>
      <c r="J144" s="91"/>
      <c r="K144" s="91"/>
      <c r="L144" s="91"/>
      <c r="M144" s="91"/>
      <c r="N144" s="91"/>
      <c r="O144" s="91"/>
      <c r="P144" s="91"/>
      <c r="Q144" s="91"/>
      <c r="R144" s="91"/>
      <c r="S144" s="91"/>
      <c r="T144" s="91"/>
      <c r="U144" s="91"/>
      <c r="V144" s="91"/>
      <c r="W144" s="91"/>
      <c r="X144" s="91"/>
      <c r="Y144" s="91"/>
    </row>
    <row r="145" spans="1:25">
      <c r="A145" s="96" t="s">
        <v>1471</v>
      </c>
      <c r="B145" s="97" t="s">
        <v>2292</v>
      </c>
      <c r="C145" s="97" t="s">
        <v>2293</v>
      </c>
      <c r="D145" s="91"/>
      <c r="E145" s="91"/>
      <c r="F145" s="91"/>
      <c r="G145" s="91"/>
      <c r="H145" s="91"/>
      <c r="I145" s="91"/>
      <c r="J145" s="91"/>
      <c r="K145" s="91"/>
      <c r="L145" s="91"/>
      <c r="M145" s="91"/>
      <c r="N145" s="91"/>
      <c r="O145" s="91"/>
      <c r="P145" s="91"/>
      <c r="Q145" s="91"/>
      <c r="R145" s="91"/>
      <c r="S145" s="91"/>
      <c r="T145" s="91"/>
      <c r="U145" s="91"/>
      <c r="V145" s="91"/>
      <c r="W145" s="91"/>
      <c r="X145" s="91"/>
      <c r="Y145" s="91"/>
    </row>
    <row r="146" spans="1:25">
      <c r="A146" s="96" t="s">
        <v>1494</v>
      </c>
      <c r="B146" s="97" t="s">
        <v>2294</v>
      </c>
      <c r="C146" s="97" t="s">
        <v>2295</v>
      </c>
      <c r="D146" s="91"/>
      <c r="E146" s="91"/>
      <c r="F146" s="91"/>
      <c r="G146" s="91"/>
      <c r="H146" s="91"/>
      <c r="I146" s="91"/>
      <c r="J146" s="91"/>
      <c r="K146" s="91"/>
      <c r="L146" s="91"/>
      <c r="M146" s="91"/>
      <c r="N146" s="91"/>
      <c r="O146" s="91"/>
      <c r="P146" s="91"/>
      <c r="Q146" s="91"/>
      <c r="R146" s="91"/>
      <c r="S146" s="91"/>
      <c r="T146" s="91"/>
      <c r="U146" s="91"/>
      <c r="V146" s="91"/>
      <c r="W146" s="91"/>
      <c r="X146" s="91"/>
      <c r="Y146" s="91"/>
    </row>
    <row r="147" spans="1:25">
      <c r="A147" s="96" t="s">
        <v>2296</v>
      </c>
      <c r="B147" s="97" t="s">
        <v>2297</v>
      </c>
      <c r="C147" s="97" t="s">
        <v>2298</v>
      </c>
      <c r="D147" s="91"/>
      <c r="E147" s="91"/>
      <c r="F147" s="91"/>
      <c r="G147" s="91"/>
      <c r="H147" s="91"/>
      <c r="I147" s="91"/>
      <c r="J147" s="91"/>
      <c r="K147" s="91"/>
      <c r="L147" s="91"/>
      <c r="M147" s="91"/>
      <c r="N147" s="91"/>
      <c r="O147" s="91"/>
      <c r="P147" s="91"/>
      <c r="Q147" s="91"/>
      <c r="R147" s="91"/>
      <c r="S147" s="91"/>
      <c r="T147" s="91"/>
      <c r="U147" s="91"/>
      <c r="V147" s="91"/>
      <c r="W147" s="91"/>
      <c r="X147" s="91"/>
      <c r="Y147" s="91"/>
    </row>
    <row r="148" spans="1:25">
      <c r="A148" s="91" t="s">
        <v>2299</v>
      </c>
      <c r="B148" s="97" t="s">
        <v>2300</v>
      </c>
      <c r="C148" s="97" t="s">
        <v>2301</v>
      </c>
      <c r="D148" s="91"/>
      <c r="E148" s="91"/>
      <c r="F148" s="91"/>
      <c r="G148" s="91"/>
      <c r="H148" s="91"/>
      <c r="I148" s="91"/>
      <c r="J148" s="91"/>
      <c r="K148" s="91"/>
      <c r="L148" s="91"/>
      <c r="M148" s="91"/>
      <c r="N148" s="91"/>
      <c r="O148" s="91"/>
      <c r="P148" s="91"/>
      <c r="Q148" s="91"/>
      <c r="R148" s="91"/>
      <c r="S148" s="91"/>
      <c r="T148" s="91"/>
      <c r="U148" s="91"/>
      <c r="V148" s="91"/>
      <c r="W148" s="91"/>
      <c r="X148" s="91"/>
      <c r="Y148" s="91"/>
    </row>
    <row r="149" spans="1:25">
      <c r="A149" s="96" t="s">
        <v>2302</v>
      </c>
      <c r="B149" s="97" t="s">
        <v>2303</v>
      </c>
      <c r="C149" s="97" t="s">
        <v>2304</v>
      </c>
      <c r="D149" s="91"/>
      <c r="E149" s="91"/>
      <c r="F149" s="91"/>
      <c r="G149" s="91"/>
      <c r="H149" s="91"/>
      <c r="I149" s="91"/>
      <c r="J149" s="91"/>
      <c r="K149" s="91"/>
      <c r="L149" s="91"/>
      <c r="M149" s="91"/>
      <c r="N149" s="91"/>
      <c r="O149" s="91"/>
      <c r="P149" s="91"/>
      <c r="Q149" s="91"/>
      <c r="R149" s="91"/>
      <c r="S149" s="91"/>
      <c r="T149" s="91"/>
      <c r="U149" s="91"/>
      <c r="V149" s="91"/>
      <c r="W149" s="91"/>
      <c r="X149" s="91"/>
      <c r="Y149" s="91"/>
    </row>
    <row r="150" spans="1:25">
      <c r="A150" s="96" t="s">
        <v>2305</v>
      </c>
      <c r="B150" s="97" t="s">
        <v>2306</v>
      </c>
      <c r="C150" s="97" t="s">
        <v>2307</v>
      </c>
      <c r="D150" s="91"/>
      <c r="E150" s="91"/>
      <c r="F150" s="91"/>
      <c r="G150" s="91"/>
      <c r="H150" s="91"/>
      <c r="I150" s="91"/>
      <c r="J150" s="91"/>
      <c r="K150" s="91"/>
      <c r="L150" s="91"/>
      <c r="M150" s="91"/>
      <c r="N150" s="91"/>
      <c r="O150" s="91"/>
      <c r="P150" s="91"/>
      <c r="Q150" s="91"/>
      <c r="R150" s="91"/>
      <c r="S150" s="91"/>
      <c r="T150" s="91"/>
      <c r="U150" s="91"/>
      <c r="V150" s="91"/>
      <c r="W150" s="91"/>
      <c r="X150" s="91"/>
      <c r="Y150" s="91"/>
    </row>
    <row r="151" spans="1:25">
      <c r="A151" s="96" t="s">
        <v>2308</v>
      </c>
      <c r="B151" s="97" t="s">
        <v>2309</v>
      </c>
      <c r="C151" s="97" t="s">
        <v>2310</v>
      </c>
      <c r="D151" s="91"/>
      <c r="E151" s="91"/>
      <c r="F151" s="91"/>
      <c r="G151" s="91"/>
      <c r="H151" s="91"/>
      <c r="I151" s="91"/>
      <c r="J151" s="91"/>
      <c r="K151" s="91"/>
      <c r="L151" s="91"/>
      <c r="M151" s="91"/>
      <c r="N151" s="91"/>
      <c r="O151" s="91"/>
      <c r="P151" s="91"/>
      <c r="Q151" s="91"/>
      <c r="R151" s="91"/>
      <c r="S151" s="91"/>
      <c r="T151" s="91"/>
      <c r="U151" s="91"/>
      <c r="V151" s="91"/>
      <c r="W151" s="91"/>
      <c r="X151" s="91"/>
      <c r="Y151" s="91"/>
    </row>
    <row r="152" spans="1:25">
      <c r="A152" s="96" t="s">
        <v>2311</v>
      </c>
      <c r="B152" s="97" t="s">
        <v>2312</v>
      </c>
      <c r="C152" s="97" t="s">
        <v>2313</v>
      </c>
      <c r="D152" s="91"/>
      <c r="E152" s="91"/>
      <c r="F152" s="91"/>
      <c r="G152" s="91"/>
      <c r="H152" s="91"/>
      <c r="I152" s="91"/>
      <c r="J152" s="91"/>
      <c r="K152" s="91"/>
      <c r="L152" s="91"/>
      <c r="M152" s="91"/>
      <c r="N152" s="91"/>
      <c r="O152" s="91"/>
      <c r="P152" s="91"/>
      <c r="Q152" s="91"/>
      <c r="R152" s="91"/>
      <c r="S152" s="91"/>
      <c r="T152" s="91"/>
      <c r="U152" s="91"/>
      <c r="V152" s="91"/>
      <c r="W152" s="91"/>
      <c r="X152" s="91"/>
      <c r="Y152" s="91"/>
    </row>
    <row r="153" spans="1:25">
      <c r="A153" s="96" t="s">
        <v>2314</v>
      </c>
      <c r="B153" s="97" t="s">
        <v>2315</v>
      </c>
      <c r="C153" s="97" t="s">
        <v>2316</v>
      </c>
      <c r="D153" s="91"/>
      <c r="E153" s="91"/>
      <c r="F153" s="91"/>
      <c r="G153" s="91"/>
      <c r="H153" s="91"/>
      <c r="I153" s="91"/>
      <c r="J153" s="91"/>
      <c r="K153" s="91"/>
      <c r="L153" s="91"/>
      <c r="M153" s="91"/>
      <c r="N153" s="91"/>
      <c r="O153" s="91"/>
      <c r="P153" s="91"/>
      <c r="Q153" s="91"/>
      <c r="R153" s="91"/>
      <c r="S153" s="91"/>
      <c r="T153" s="91"/>
      <c r="U153" s="91"/>
      <c r="V153" s="91"/>
      <c r="W153" s="91"/>
      <c r="X153" s="91"/>
      <c r="Y153" s="91"/>
    </row>
    <row r="154" spans="1:25">
      <c r="A154" s="91"/>
      <c r="B154" s="97"/>
      <c r="C154" s="97"/>
      <c r="D154" s="91"/>
      <c r="E154" s="91"/>
      <c r="F154" s="91"/>
      <c r="G154" s="91"/>
      <c r="H154" s="91"/>
      <c r="I154" s="91"/>
      <c r="J154" s="91"/>
      <c r="K154" s="91"/>
      <c r="L154" s="91"/>
      <c r="M154" s="91"/>
      <c r="N154" s="91"/>
      <c r="O154" s="91"/>
      <c r="P154" s="91"/>
      <c r="Q154" s="91"/>
      <c r="R154" s="91"/>
      <c r="S154" s="91"/>
      <c r="T154" s="91"/>
      <c r="U154" s="91"/>
      <c r="V154" s="91"/>
      <c r="W154" s="91"/>
      <c r="X154" s="91"/>
      <c r="Y154" s="91"/>
    </row>
    <row r="155" spans="1:25">
      <c r="A155" s="91"/>
      <c r="B155" s="97"/>
      <c r="C155" s="97"/>
      <c r="D155" s="91"/>
      <c r="E155" s="91"/>
      <c r="F155" s="91"/>
      <c r="G155" s="91"/>
      <c r="H155" s="91"/>
      <c r="I155" s="91"/>
      <c r="J155" s="91"/>
      <c r="K155" s="91"/>
      <c r="L155" s="91"/>
      <c r="M155" s="91"/>
      <c r="N155" s="91"/>
      <c r="O155" s="91"/>
      <c r="P155" s="91"/>
      <c r="Q155" s="91"/>
      <c r="R155" s="91"/>
      <c r="S155" s="91"/>
      <c r="T155" s="91"/>
      <c r="U155" s="91"/>
      <c r="V155" s="91"/>
      <c r="W155" s="91"/>
      <c r="X155" s="91"/>
      <c r="Y155" s="91"/>
    </row>
    <row r="156" spans="1:25">
      <c r="A156" s="105" t="s">
        <v>2317</v>
      </c>
      <c r="B156" s="97"/>
      <c r="C156" s="116"/>
      <c r="D156" s="91"/>
      <c r="E156" s="91"/>
      <c r="F156" s="91"/>
      <c r="G156" s="91"/>
      <c r="H156" s="91"/>
      <c r="I156" s="91"/>
      <c r="J156" s="91"/>
      <c r="K156" s="91"/>
      <c r="L156" s="91"/>
      <c r="M156" s="91"/>
      <c r="N156" s="91"/>
      <c r="O156" s="91"/>
      <c r="P156" s="91"/>
      <c r="Q156" s="91"/>
      <c r="R156" s="91"/>
      <c r="S156" s="91"/>
      <c r="T156" s="91"/>
      <c r="U156" s="91"/>
      <c r="V156" s="91"/>
      <c r="W156" s="91"/>
      <c r="X156" s="91"/>
      <c r="Y156" s="91"/>
    </row>
    <row r="157" spans="1:25">
      <c r="A157" s="96" t="s">
        <v>1557</v>
      </c>
      <c r="B157" s="97" t="s">
        <v>2318</v>
      </c>
      <c r="C157" s="97" t="s">
        <v>2319</v>
      </c>
      <c r="D157" s="91"/>
      <c r="E157" s="91"/>
      <c r="F157" s="91"/>
      <c r="G157" s="91"/>
      <c r="H157" s="91"/>
      <c r="I157" s="91"/>
      <c r="J157" s="91"/>
      <c r="K157" s="91"/>
      <c r="L157" s="91"/>
      <c r="M157" s="91"/>
      <c r="N157" s="91"/>
      <c r="O157" s="91"/>
      <c r="P157" s="91"/>
      <c r="Q157" s="91"/>
      <c r="R157" s="91"/>
      <c r="S157" s="91"/>
      <c r="T157" s="91"/>
      <c r="U157" s="91"/>
      <c r="V157" s="91"/>
      <c r="W157" s="91"/>
      <c r="X157" s="91"/>
      <c r="Y157" s="91"/>
    </row>
    <row r="158" spans="1:25">
      <c r="A158" s="96" t="s">
        <v>2320</v>
      </c>
      <c r="B158" s="97" t="s">
        <v>2321</v>
      </c>
      <c r="C158" s="97" t="s">
        <v>2322</v>
      </c>
      <c r="D158" s="91"/>
      <c r="E158" s="91"/>
      <c r="F158" s="91"/>
      <c r="G158" s="91"/>
      <c r="H158" s="91"/>
      <c r="I158" s="91"/>
      <c r="J158" s="91"/>
      <c r="K158" s="91"/>
      <c r="L158" s="91"/>
      <c r="M158" s="91"/>
      <c r="N158" s="91"/>
      <c r="O158" s="91"/>
      <c r="P158" s="91"/>
      <c r="Q158" s="91"/>
      <c r="R158" s="91"/>
      <c r="S158" s="91"/>
      <c r="T158" s="91"/>
      <c r="U158" s="91"/>
      <c r="V158" s="91"/>
      <c r="W158" s="91"/>
      <c r="X158" s="91"/>
      <c r="Y158" s="91"/>
    </row>
    <row r="159" spans="1:25">
      <c r="A159" s="96" t="s">
        <v>2323</v>
      </c>
      <c r="B159" s="97" t="s">
        <v>2324</v>
      </c>
      <c r="C159" s="97" t="s">
        <v>2325</v>
      </c>
      <c r="D159" s="91"/>
      <c r="E159" s="91"/>
      <c r="F159" s="91"/>
      <c r="G159" s="91"/>
      <c r="H159" s="91"/>
      <c r="I159" s="91"/>
      <c r="J159" s="91"/>
      <c r="K159" s="91"/>
      <c r="L159" s="91"/>
      <c r="M159" s="91"/>
      <c r="N159" s="91"/>
      <c r="O159" s="91"/>
      <c r="P159" s="91"/>
      <c r="Q159" s="91"/>
      <c r="R159" s="91"/>
      <c r="S159" s="91"/>
      <c r="T159" s="91"/>
      <c r="U159" s="91"/>
      <c r="V159" s="91"/>
      <c r="W159" s="91"/>
      <c r="X159" s="91"/>
      <c r="Y159" s="91"/>
    </row>
    <row r="160" spans="1:25">
      <c r="A160" s="96" t="s">
        <v>2326</v>
      </c>
      <c r="B160" s="97" t="s">
        <v>2327</v>
      </c>
      <c r="C160" s="97" t="s">
        <v>2328</v>
      </c>
      <c r="D160" s="91"/>
      <c r="E160" s="91"/>
      <c r="F160" s="91"/>
      <c r="G160" s="91"/>
      <c r="H160" s="91"/>
      <c r="I160" s="91"/>
      <c r="J160" s="91"/>
      <c r="K160" s="91"/>
      <c r="L160" s="91"/>
      <c r="M160" s="91"/>
      <c r="N160" s="91"/>
      <c r="O160" s="91"/>
      <c r="P160" s="91"/>
      <c r="Q160" s="91"/>
      <c r="R160" s="91"/>
      <c r="S160" s="91"/>
      <c r="T160" s="91"/>
      <c r="U160" s="91"/>
      <c r="V160" s="91"/>
      <c r="W160" s="91"/>
      <c r="X160" s="91"/>
      <c r="Y160" s="91"/>
    </row>
    <row r="161" spans="1:25">
      <c r="A161" s="96" t="s">
        <v>2329</v>
      </c>
      <c r="B161" s="97" t="s">
        <v>2330</v>
      </c>
      <c r="C161" s="97" t="s">
        <v>2331</v>
      </c>
      <c r="D161" s="91"/>
      <c r="E161" s="91"/>
      <c r="F161" s="91"/>
      <c r="G161" s="91"/>
      <c r="H161" s="91"/>
      <c r="I161" s="91"/>
      <c r="J161" s="91"/>
      <c r="K161" s="91"/>
      <c r="L161" s="91"/>
      <c r="M161" s="91"/>
      <c r="N161" s="91"/>
      <c r="O161" s="91"/>
      <c r="P161" s="91"/>
      <c r="Q161" s="91"/>
      <c r="R161" s="91"/>
      <c r="S161" s="91"/>
      <c r="T161" s="91"/>
      <c r="U161" s="91"/>
      <c r="V161" s="91"/>
      <c r="W161" s="91"/>
      <c r="X161" s="91"/>
      <c r="Y161" s="91"/>
    </row>
    <row r="162" spans="1:25">
      <c r="A162" s="96" t="s">
        <v>2332</v>
      </c>
      <c r="B162" s="97" t="s">
        <v>2333</v>
      </c>
      <c r="C162" s="97" t="s">
        <v>2334</v>
      </c>
      <c r="D162" s="91"/>
      <c r="E162" s="91"/>
      <c r="F162" s="91"/>
      <c r="G162" s="91"/>
      <c r="H162" s="91"/>
      <c r="I162" s="91"/>
      <c r="J162" s="91"/>
      <c r="K162" s="91"/>
      <c r="L162" s="91"/>
      <c r="M162" s="91"/>
      <c r="N162" s="91"/>
      <c r="O162" s="91"/>
      <c r="P162" s="91"/>
      <c r="Q162" s="91"/>
      <c r="R162" s="91"/>
      <c r="S162" s="91"/>
      <c r="T162" s="91"/>
      <c r="U162" s="91"/>
      <c r="V162" s="91"/>
      <c r="W162" s="91"/>
      <c r="X162" s="91"/>
      <c r="Y162" s="91"/>
    </row>
    <row r="163" spans="1:25">
      <c r="A163" s="96" t="s">
        <v>2335</v>
      </c>
      <c r="B163" s="97" t="s">
        <v>2336</v>
      </c>
      <c r="C163" s="97" t="s">
        <v>2337</v>
      </c>
      <c r="D163" s="91"/>
      <c r="E163" s="91"/>
      <c r="F163" s="91"/>
      <c r="G163" s="91"/>
      <c r="H163" s="91"/>
      <c r="I163" s="91"/>
      <c r="J163" s="91"/>
      <c r="K163" s="91"/>
      <c r="L163" s="91"/>
      <c r="M163" s="91"/>
      <c r="N163" s="91"/>
      <c r="O163" s="91"/>
      <c r="P163" s="91"/>
      <c r="Q163" s="91"/>
      <c r="R163" s="91"/>
      <c r="S163" s="91"/>
      <c r="T163" s="91"/>
      <c r="U163" s="91"/>
      <c r="V163" s="91"/>
      <c r="W163" s="91"/>
      <c r="X163" s="91"/>
      <c r="Y163" s="91"/>
    </row>
    <row r="164" spans="1:25">
      <c r="A164" s="96" t="s">
        <v>2338</v>
      </c>
      <c r="B164" s="97" t="s">
        <v>2339</v>
      </c>
      <c r="C164" s="97" t="s">
        <v>2340</v>
      </c>
      <c r="D164" s="91"/>
      <c r="E164" s="91"/>
      <c r="F164" s="91"/>
      <c r="G164" s="91"/>
      <c r="H164" s="91"/>
      <c r="I164" s="91"/>
      <c r="J164" s="91"/>
      <c r="K164" s="91"/>
      <c r="L164" s="91"/>
      <c r="M164" s="91"/>
      <c r="N164" s="91"/>
      <c r="O164" s="91"/>
      <c r="P164" s="91"/>
      <c r="Q164" s="91"/>
      <c r="R164" s="91"/>
      <c r="S164" s="91"/>
      <c r="T164" s="91"/>
      <c r="U164" s="91"/>
      <c r="V164" s="91"/>
      <c r="W164" s="91"/>
      <c r="X164" s="91"/>
      <c r="Y164" s="91"/>
    </row>
    <row r="165" spans="1:25">
      <c r="A165" s="96" t="s">
        <v>2196</v>
      </c>
      <c r="B165" s="97" t="s">
        <v>2341</v>
      </c>
      <c r="C165" s="97" t="s">
        <v>2342</v>
      </c>
      <c r="D165" s="91"/>
      <c r="E165" s="91"/>
      <c r="F165" s="91"/>
      <c r="G165" s="91"/>
      <c r="H165" s="91"/>
      <c r="I165" s="91"/>
      <c r="J165" s="91"/>
      <c r="K165" s="91"/>
      <c r="L165" s="91"/>
      <c r="M165" s="91"/>
      <c r="N165" s="91"/>
      <c r="O165" s="91"/>
      <c r="P165" s="91"/>
      <c r="Q165" s="91"/>
      <c r="R165" s="91"/>
      <c r="S165" s="91"/>
      <c r="T165" s="91"/>
      <c r="U165" s="91"/>
      <c r="V165" s="91"/>
      <c r="W165" s="91"/>
      <c r="X165" s="91"/>
      <c r="Y165" s="91"/>
    </row>
    <row r="166" spans="1:25">
      <c r="A166" s="96" t="s">
        <v>2343</v>
      </c>
      <c r="B166" s="97" t="s">
        <v>2344</v>
      </c>
      <c r="C166" s="97" t="s">
        <v>2345</v>
      </c>
      <c r="D166" s="91"/>
      <c r="E166" s="91"/>
      <c r="F166" s="91"/>
      <c r="G166" s="91"/>
      <c r="H166" s="91"/>
      <c r="I166" s="91"/>
      <c r="J166" s="91"/>
      <c r="K166" s="91"/>
      <c r="L166" s="91"/>
      <c r="M166" s="91"/>
      <c r="N166" s="91"/>
      <c r="O166" s="91"/>
      <c r="P166" s="91"/>
      <c r="Q166" s="91"/>
      <c r="R166" s="91"/>
      <c r="S166" s="91"/>
      <c r="T166" s="91"/>
      <c r="U166" s="91"/>
      <c r="V166" s="91"/>
      <c r="W166" s="91"/>
      <c r="X166" s="91"/>
      <c r="Y166" s="91"/>
    </row>
    <row r="167" spans="1:25">
      <c r="A167" s="96" t="s">
        <v>1707</v>
      </c>
      <c r="B167" s="97" t="s">
        <v>2346</v>
      </c>
      <c r="C167" s="97" t="s">
        <v>2347</v>
      </c>
      <c r="D167" s="91"/>
      <c r="E167" s="91"/>
      <c r="F167" s="91"/>
      <c r="G167" s="91"/>
      <c r="H167" s="91"/>
      <c r="I167" s="91"/>
      <c r="J167" s="91"/>
      <c r="K167" s="91"/>
      <c r="L167" s="91"/>
      <c r="M167" s="91"/>
      <c r="N167" s="91"/>
      <c r="O167" s="91"/>
      <c r="P167" s="91"/>
      <c r="Q167" s="91"/>
      <c r="R167" s="91"/>
      <c r="S167" s="91"/>
      <c r="T167" s="91"/>
      <c r="U167" s="91"/>
      <c r="V167" s="91"/>
      <c r="W167" s="91"/>
      <c r="X167" s="91"/>
      <c r="Y167" s="91"/>
    </row>
    <row r="168" spans="1:25">
      <c r="A168" s="96" t="s">
        <v>1711</v>
      </c>
      <c r="B168" s="97" t="s">
        <v>2348</v>
      </c>
      <c r="C168" s="97" t="s">
        <v>2349</v>
      </c>
      <c r="D168" s="91"/>
      <c r="E168" s="91"/>
      <c r="F168" s="91"/>
      <c r="G168" s="91"/>
      <c r="H168" s="91"/>
      <c r="I168" s="91"/>
      <c r="J168" s="91"/>
      <c r="K168" s="91"/>
      <c r="L168" s="91"/>
      <c r="M168" s="91"/>
      <c r="N168" s="91"/>
      <c r="O168" s="91"/>
      <c r="P168" s="91"/>
      <c r="Q168" s="91"/>
      <c r="R168" s="91"/>
      <c r="S168" s="91"/>
      <c r="T168" s="91"/>
      <c r="U168" s="91"/>
      <c r="V168" s="91"/>
      <c r="W168" s="91"/>
      <c r="X168" s="91"/>
      <c r="Y168" s="91"/>
    </row>
    <row r="169" spans="1:25">
      <c r="A169" s="96" t="s">
        <v>1561</v>
      </c>
      <c r="B169" s="97" t="s">
        <v>2350</v>
      </c>
      <c r="C169" s="97" t="s">
        <v>2351</v>
      </c>
      <c r="D169" s="91"/>
      <c r="E169" s="91"/>
      <c r="F169" s="91"/>
      <c r="G169" s="91"/>
      <c r="H169" s="91"/>
      <c r="I169" s="91"/>
      <c r="J169" s="91"/>
      <c r="K169" s="91"/>
      <c r="L169" s="91"/>
      <c r="M169" s="91"/>
      <c r="N169" s="91"/>
      <c r="O169" s="91"/>
      <c r="P169" s="91"/>
      <c r="Q169" s="91"/>
      <c r="R169" s="91"/>
      <c r="S169" s="91"/>
      <c r="T169" s="91"/>
      <c r="U169" s="91"/>
      <c r="V169" s="91"/>
      <c r="W169" s="91"/>
      <c r="X169" s="91"/>
      <c r="Y169" s="91"/>
    </row>
    <row r="170" spans="1:25">
      <c r="A170" s="91"/>
      <c r="B170" s="97"/>
      <c r="C170" s="94"/>
      <c r="D170" s="91"/>
      <c r="E170" s="91"/>
      <c r="F170" s="91"/>
      <c r="G170" s="91"/>
      <c r="H170" s="91"/>
      <c r="I170" s="91"/>
      <c r="J170" s="91"/>
      <c r="K170" s="91"/>
      <c r="L170" s="91"/>
      <c r="M170" s="91"/>
      <c r="N170" s="91"/>
      <c r="O170" s="91"/>
      <c r="P170" s="91"/>
      <c r="Q170" s="91"/>
      <c r="R170" s="91"/>
      <c r="S170" s="91"/>
      <c r="T170" s="91"/>
      <c r="U170" s="91"/>
      <c r="V170" s="91"/>
      <c r="W170" s="91"/>
      <c r="X170" s="91"/>
      <c r="Y170" s="91"/>
    </row>
    <row r="171" spans="1:25">
      <c r="A171" s="91"/>
      <c r="B171" s="97"/>
      <c r="C171" s="94"/>
      <c r="D171" s="91"/>
      <c r="E171" s="91"/>
      <c r="F171" s="91"/>
      <c r="G171" s="91"/>
      <c r="H171" s="91"/>
      <c r="I171" s="91"/>
      <c r="J171" s="91"/>
      <c r="K171" s="91"/>
      <c r="L171" s="91"/>
      <c r="M171" s="91"/>
      <c r="N171" s="91"/>
      <c r="O171" s="91"/>
      <c r="P171" s="91"/>
      <c r="Q171" s="91"/>
      <c r="R171" s="91"/>
      <c r="S171" s="91"/>
      <c r="T171" s="91"/>
      <c r="U171" s="91"/>
      <c r="V171" s="91"/>
      <c r="W171" s="91"/>
      <c r="X171" s="91"/>
      <c r="Y171" s="91"/>
    </row>
    <row r="172" spans="1:25">
      <c r="A172" s="105" t="s">
        <v>2352</v>
      </c>
      <c r="B172" s="97"/>
      <c r="C172" s="116"/>
      <c r="D172" s="91"/>
      <c r="E172" s="91"/>
      <c r="F172" s="91"/>
      <c r="G172" s="91"/>
      <c r="H172" s="91"/>
      <c r="I172" s="91"/>
      <c r="J172" s="91"/>
      <c r="K172" s="91"/>
      <c r="L172" s="91"/>
      <c r="M172" s="91"/>
      <c r="N172" s="91"/>
      <c r="O172" s="91"/>
      <c r="P172" s="91"/>
      <c r="Q172" s="91"/>
      <c r="R172" s="91"/>
      <c r="S172" s="91"/>
      <c r="T172" s="91"/>
      <c r="U172" s="91"/>
      <c r="V172" s="91"/>
      <c r="W172" s="91"/>
      <c r="X172" s="91"/>
      <c r="Y172" s="91"/>
    </row>
    <row r="173" spans="1:25">
      <c r="A173" s="106" t="s">
        <v>2353</v>
      </c>
      <c r="B173" s="97" t="s">
        <v>2354</v>
      </c>
      <c r="C173" s="97" t="s">
        <v>2355</v>
      </c>
      <c r="D173" s="91"/>
      <c r="E173" s="91"/>
      <c r="F173" s="91"/>
      <c r="G173" s="91"/>
      <c r="H173" s="91"/>
      <c r="I173" s="91"/>
      <c r="J173" s="91"/>
      <c r="K173" s="91"/>
      <c r="L173" s="91"/>
      <c r="M173" s="91"/>
      <c r="N173" s="91"/>
      <c r="O173" s="91"/>
      <c r="P173" s="91"/>
      <c r="Q173" s="91"/>
      <c r="R173" s="91"/>
      <c r="S173" s="91"/>
      <c r="T173" s="91"/>
      <c r="U173" s="91"/>
      <c r="V173" s="91"/>
      <c r="W173" s="91"/>
      <c r="X173" s="91"/>
      <c r="Y173" s="91"/>
    </row>
    <row r="174" spans="1:25">
      <c r="A174" s="106" t="s">
        <v>1780</v>
      </c>
      <c r="B174" s="97" t="s">
        <v>2356</v>
      </c>
      <c r="C174" s="97" t="s">
        <v>2357</v>
      </c>
      <c r="D174" s="91"/>
      <c r="E174" s="91"/>
      <c r="F174" s="91"/>
      <c r="G174" s="91"/>
      <c r="H174" s="91"/>
      <c r="I174" s="91"/>
      <c r="J174" s="91"/>
      <c r="K174" s="91"/>
      <c r="L174" s="91"/>
      <c r="M174" s="91"/>
      <c r="N174" s="91"/>
      <c r="O174" s="91"/>
      <c r="P174" s="91"/>
      <c r="Q174" s="91"/>
      <c r="R174" s="91"/>
      <c r="S174" s="91"/>
      <c r="T174" s="91"/>
      <c r="U174" s="91"/>
      <c r="V174" s="91"/>
      <c r="W174" s="91"/>
      <c r="X174" s="91"/>
      <c r="Y174" s="91"/>
    </row>
    <row r="175" spans="1:25">
      <c r="A175" s="96" t="s">
        <v>2358</v>
      </c>
      <c r="B175" s="97" t="s">
        <v>2359</v>
      </c>
      <c r="C175" s="97" t="s">
        <v>2360</v>
      </c>
      <c r="D175" s="91"/>
      <c r="E175" s="91"/>
      <c r="F175" s="91"/>
      <c r="G175" s="91"/>
      <c r="H175" s="91"/>
      <c r="I175" s="91"/>
      <c r="J175" s="91"/>
      <c r="K175" s="91"/>
      <c r="L175" s="91"/>
      <c r="M175" s="91"/>
      <c r="N175" s="91"/>
      <c r="O175" s="91"/>
      <c r="P175" s="91"/>
      <c r="Q175" s="91"/>
      <c r="R175" s="91"/>
      <c r="S175" s="91"/>
      <c r="T175" s="91"/>
      <c r="U175" s="91"/>
      <c r="V175" s="91"/>
      <c r="W175" s="91"/>
      <c r="X175" s="91"/>
      <c r="Y175" s="91"/>
    </row>
    <row r="176" spans="1:25">
      <c r="A176" s="96" t="s">
        <v>2361</v>
      </c>
      <c r="B176" s="97" t="s">
        <v>2362</v>
      </c>
      <c r="C176" s="97" t="s">
        <v>2363</v>
      </c>
      <c r="D176" s="91"/>
      <c r="E176" s="91"/>
      <c r="F176" s="91"/>
      <c r="G176" s="91"/>
      <c r="H176" s="91"/>
      <c r="I176" s="91"/>
      <c r="J176" s="91"/>
      <c r="K176" s="91"/>
      <c r="L176" s="91"/>
      <c r="M176" s="91"/>
      <c r="N176" s="91"/>
      <c r="O176" s="91"/>
      <c r="P176" s="91"/>
      <c r="Q176" s="91"/>
      <c r="R176" s="91"/>
      <c r="S176" s="91"/>
      <c r="T176" s="91"/>
      <c r="U176" s="91"/>
      <c r="V176" s="91"/>
      <c r="W176" s="91"/>
      <c r="X176" s="91"/>
      <c r="Y176" s="91"/>
    </row>
    <row r="177" spans="1:25">
      <c r="A177" s="96" t="s">
        <v>2364</v>
      </c>
      <c r="B177" s="97" t="s">
        <v>2365</v>
      </c>
      <c r="C177" s="97" t="s">
        <v>2366</v>
      </c>
      <c r="D177" s="91"/>
      <c r="E177" s="91"/>
      <c r="F177" s="91"/>
      <c r="G177" s="91"/>
      <c r="H177" s="91"/>
      <c r="I177" s="91"/>
      <c r="J177" s="91"/>
      <c r="K177" s="91"/>
      <c r="L177" s="91"/>
      <c r="M177" s="91"/>
      <c r="N177" s="91"/>
      <c r="O177" s="91"/>
      <c r="P177" s="91"/>
      <c r="Q177" s="91"/>
      <c r="R177" s="91"/>
      <c r="S177" s="91"/>
      <c r="T177" s="91"/>
      <c r="U177" s="91"/>
      <c r="V177" s="91"/>
      <c r="W177" s="91"/>
      <c r="X177" s="91"/>
      <c r="Y177" s="91"/>
    </row>
    <row r="178" spans="1:25">
      <c r="A178" s="96" t="s">
        <v>2367</v>
      </c>
      <c r="B178" s="97" t="s">
        <v>2368</v>
      </c>
      <c r="C178" s="97" t="s">
        <v>2369</v>
      </c>
      <c r="D178" s="91"/>
      <c r="E178" s="91"/>
      <c r="F178" s="91"/>
      <c r="G178" s="91"/>
      <c r="H178" s="91"/>
      <c r="I178" s="91"/>
      <c r="J178" s="91"/>
      <c r="K178" s="91"/>
      <c r="L178" s="91"/>
      <c r="M178" s="91"/>
      <c r="N178" s="91"/>
      <c r="O178" s="91"/>
      <c r="P178" s="91"/>
      <c r="Q178" s="91"/>
      <c r="R178" s="91"/>
      <c r="S178" s="91"/>
      <c r="T178" s="91"/>
      <c r="U178" s="91"/>
      <c r="V178" s="91"/>
      <c r="W178" s="91"/>
      <c r="X178" s="91"/>
      <c r="Y178" s="91"/>
    </row>
    <row r="179" spans="1:25">
      <c r="A179" s="96" t="s">
        <v>2370</v>
      </c>
      <c r="B179" s="97" t="s">
        <v>2371</v>
      </c>
      <c r="C179" s="97" t="s">
        <v>2372</v>
      </c>
      <c r="D179" s="91"/>
      <c r="E179" s="91"/>
      <c r="F179" s="91"/>
      <c r="G179" s="91"/>
      <c r="H179" s="91"/>
      <c r="I179" s="91"/>
      <c r="J179" s="91"/>
      <c r="K179" s="91"/>
      <c r="L179" s="91"/>
      <c r="M179" s="91"/>
      <c r="N179" s="91"/>
      <c r="O179" s="91"/>
      <c r="P179" s="91"/>
      <c r="Q179" s="91"/>
      <c r="R179" s="91"/>
      <c r="S179" s="91"/>
      <c r="T179" s="91"/>
      <c r="U179" s="91"/>
      <c r="V179" s="91"/>
      <c r="W179" s="91"/>
      <c r="X179" s="91"/>
      <c r="Y179" s="91"/>
    </row>
    <row r="180" spans="1:25">
      <c r="A180" s="106" t="s">
        <v>2373</v>
      </c>
      <c r="B180" s="97" t="s">
        <v>2374</v>
      </c>
      <c r="C180" s="97" t="s">
        <v>2375</v>
      </c>
      <c r="D180" s="91"/>
      <c r="E180" s="91"/>
      <c r="F180" s="91"/>
      <c r="G180" s="91"/>
      <c r="H180" s="91"/>
      <c r="I180" s="91"/>
      <c r="J180" s="91"/>
      <c r="K180" s="91"/>
      <c r="L180" s="91"/>
      <c r="M180" s="91"/>
      <c r="N180" s="91"/>
      <c r="O180" s="91"/>
      <c r="P180" s="91"/>
      <c r="Q180" s="91"/>
      <c r="R180" s="91"/>
      <c r="S180" s="91"/>
      <c r="T180" s="91"/>
      <c r="U180" s="91"/>
      <c r="V180" s="91"/>
      <c r="W180" s="91"/>
      <c r="X180" s="91"/>
      <c r="Y180" s="91"/>
    </row>
    <row r="181" spans="1:25">
      <c r="A181" s="106" t="s">
        <v>1825</v>
      </c>
      <c r="B181" s="97" t="s">
        <v>2376</v>
      </c>
      <c r="C181" s="97" t="s">
        <v>2377</v>
      </c>
      <c r="D181" s="91"/>
      <c r="E181" s="91"/>
      <c r="F181" s="91"/>
      <c r="G181" s="91"/>
      <c r="H181" s="91"/>
      <c r="I181" s="91"/>
      <c r="J181" s="91"/>
      <c r="K181" s="91"/>
      <c r="L181" s="91"/>
      <c r="M181" s="91"/>
      <c r="N181" s="91"/>
      <c r="O181" s="91"/>
      <c r="P181" s="91"/>
      <c r="Q181" s="91"/>
      <c r="R181" s="91"/>
      <c r="S181" s="91"/>
      <c r="T181" s="91"/>
      <c r="U181" s="91"/>
      <c r="V181" s="91"/>
      <c r="W181" s="91"/>
      <c r="X181" s="91"/>
      <c r="Y181" s="91"/>
    </row>
    <row r="182" spans="1:25">
      <c r="A182" s="106" t="s">
        <v>2378</v>
      </c>
      <c r="B182" s="97" t="s">
        <v>2379</v>
      </c>
      <c r="C182" s="97" t="s">
        <v>2380</v>
      </c>
      <c r="D182" s="91"/>
      <c r="E182" s="91"/>
      <c r="F182" s="91"/>
      <c r="G182" s="91"/>
      <c r="H182" s="91"/>
      <c r="I182" s="91"/>
      <c r="J182" s="91"/>
      <c r="K182" s="91"/>
      <c r="L182" s="91"/>
      <c r="M182" s="91"/>
      <c r="N182" s="91"/>
      <c r="O182" s="91"/>
      <c r="P182" s="91"/>
      <c r="Q182" s="91"/>
      <c r="R182" s="91"/>
      <c r="S182" s="91"/>
      <c r="T182" s="91"/>
      <c r="U182" s="91"/>
      <c r="V182" s="91"/>
      <c r="W182" s="91"/>
      <c r="X182" s="91"/>
      <c r="Y182" s="91"/>
    </row>
    <row r="183" spans="1:25">
      <c r="A183" s="96" t="s">
        <v>2381</v>
      </c>
      <c r="B183" s="97" t="s">
        <v>2382</v>
      </c>
      <c r="C183" s="97" t="s">
        <v>2383</v>
      </c>
      <c r="D183" s="91"/>
      <c r="E183" s="91"/>
      <c r="F183" s="91"/>
      <c r="G183" s="91"/>
      <c r="H183" s="91"/>
      <c r="I183" s="91"/>
      <c r="J183" s="91"/>
      <c r="K183" s="91"/>
      <c r="L183" s="91"/>
      <c r="M183" s="91"/>
      <c r="N183" s="91"/>
      <c r="O183" s="91"/>
      <c r="P183" s="91"/>
      <c r="Q183" s="91"/>
      <c r="R183" s="91"/>
      <c r="S183" s="91"/>
      <c r="T183" s="91"/>
      <c r="U183" s="91"/>
      <c r="V183" s="91"/>
      <c r="W183" s="91"/>
      <c r="X183" s="91"/>
      <c r="Y183" s="91"/>
    </row>
    <row r="184" spans="1:25">
      <c r="A184" s="96" t="s">
        <v>1821</v>
      </c>
      <c r="B184" s="97" t="s">
        <v>2384</v>
      </c>
      <c r="C184" s="97" t="s">
        <v>2385</v>
      </c>
      <c r="D184" s="91"/>
      <c r="E184" s="91"/>
      <c r="F184" s="91"/>
      <c r="G184" s="91"/>
      <c r="H184" s="91"/>
      <c r="I184" s="91"/>
      <c r="J184" s="91"/>
      <c r="K184" s="91"/>
      <c r="L184" s="91"/>
      <c r="M184" s="91"/>
      <c r="N184" s="91"/>
      <c r="O184" s="91"/>
      <c r="P184" s="91"/>
      <c r="Q184" s="91"/>
      <c r="R184" s="91"/>
      <c r="S184" s="91"/>
      <c r="T184" s="91"/>
      <c r="U184" s="91"/>
      <c r="V184" s="91"/>
      <c r="W184" s="91"/>
      <c r="X184" s="91"/>
      <c r="Y184" s="91"/>
    </row>
    <row r="185" spans="1:25">
      <c r="A185" s="96" t="s">
        <v>1836</v>
      </c>
      <c r="B185" s="97" t="s">
        <v>2386</v>
      </c>
      <c r="C185" s="97" t="s">
        <v>2387</v>
      </c>
      <c r="D185" s="91"/>
      <c r="E185" s="91"/>
      <c r="F185" s="91"/>
      <c r="G185" s="91"/>
      <c r="H185" s="91"/>
      <c r="I185" s="91"/>
      <c r="J185" s="91"/>
      <c r="K185" s="91"/>
      <c r="L185" s="91"/>
      <c r="M185" s="91"/>
      <c r="N185" s="91"/>
      <c r="O185" s="91"/>
      <c r="P185" s="91"/>
      <c r="Q185" s="91"/>
      <c r="R185" s="91"/>
      <c r="S185" s="91"/>
      <c r="T185" s="91"/>
      <c r="U185" s="91"/>
      <c r="V185" s="91"/>
      <c r="W185" s="91"/>
      <c r="X185" s="91"/>
      <c r="Y185" s="91"/>
    </row>
    <row r="186" spans="1:25">
      <c r="A186" s="96" t="s">
        <v>1849</v>
      </c>
      <c r="B186" s="97" t="s">
        <v>2388</v>
      </c>
      <c r="C186" s="97" t="s">
        <v>2389</v>
      </c>
      <c r="D186" s="91"/>
      <c r="E186" s="91"/>
      <c r="F186" s="91"/>
      <c r="G186" s="91"/>
      <c r="H186" s="91"/>
      <c r="I186" s="91"/>
      <c r="J186" s="91"/>
      <c r="K186" s="91"/>
      <c r="L186" s="91"/>
      <c r="M186" s="91"/>
      <c r="N186" s="91"/>
      <c r="O186" s="91"/>
      <c r="P186" s="91"/>
      <c r="Q186" s="91"/>
      <c r="R186" s="91"/>
      <c r="S186" s="91"/>
      <c r="T186" s="91"/>
      <c r="U186" s="91"/>
      <c r="V186" s="91"/>
      <c r="W186" s="91"/>
      <c r="X186" s="91"/>
      <c r="Y186" s="91"/>
    </row>
    <row r="187" spans="1:25">
      <c r="A187" s="96" t="s">
        <v>1853</v>
      </c>
      <c r="B187" s="97" t="s">
        <v>2390</v>
      </c>
      <c r="C187" s="97" t="s">
        <v>2391</v>
      </c>
      <c r="D187" s="91"/>
      <c r="E187" s="91"/>
      <c r="F187" s="91"/>
      <c r="G187" s="91"/>
      <c r="H187" s="91"/>
      <c r="I187" s="91"/>
      <c r="J187" s="91"/>
      <c r="K187" s="91"/>
      <c r="L187" s="91"/>
      <c r="M187" s="91"/>
      <c r="N187" s="91"/>
      <c r="O187" s="91"/>
      <c r="P187" s="91"/>
      <c r="Q187" s="91"/>
      <c r="R187" s="91"/>
      <c r="S187" s="91"/>
      <c r="T187" s="91"/>
      <c r="U187" s="91"/>
      <c r="V187" s="91"/>
      <c r="W187" s="91"/>
      <c r="X187" s="91"/>
      <c r="Y187" s="91"/>
    </row>
    <row r="188" spans="1:25">
      <c r="A188" s="96" t="s">
        <v>1858</v>
      </c>
      <c r="B188" s="97" t="s">
        <v>2392</v>
      </c>
      <c r="C188" s="97" t="s">
        <v>2393</v>
      </c>
      <c r="D188" s="91"/>
      <c r="E188" s="91"/>
      <c r="F188" s="91"/>
      <c r="G188" s="91"/>
      <c r="H188" s="91"/>
      <c r="I188" s="91"/>
      <c r="J188" s="91"/>
      <c r="K188" s="91"/>
      <c r="L188" s="91"/>
      <c r="M188" s="91"/>
      <c r="N188" s="91"/>
      <c r="O188" s="91"/>
      <c r="P188" s="91"/>
      <c r="Q188" s="91"/>
      <c r="R188" s="91"/>
      <c r="S188" s="91"/>
      <c r="T188" s="91"/>
      <c r="U188" s="91"/>
      <c r="V188" s="91"/>
      <c r="W188" s="91"/>
      <c r="X188" s="91"/>
      <c r="Y188" s="91"/>
    </row>
    <row r="189" spans="1:25">
      <c r="A189" s="96" t="s">
        <v>1869</v>
      </c>
      <c r="B189" s="97" t="s">
        <v>2394</v>
      </c>
      <c r="C189" s="97" t="s">
        <v>2395</v>
      </c>
      <c r="D189" s="91"/>
      <c r="E189" s="91"/>
      <c r="F189" s="91"/>
      <c r="G189" s="91"/>
      <c r="H189" s="91"/>
      <c r="I189" s="91"/>
      <c r="J189" s="91"/>
      <c r="K189" s="91"/>
      <c r="L189" s="91"/>
      <c r="M189" s="91"/>
      <c r="N189" s="91"/>
      <c r="O189" s="91"/>
      <c r="P189" s="91"/>
      <c r="Q189" s="91"/>
      <c r="R189" s="91"/>
      <c r="S189" s="91"/>
      <c r="T189" s="91"/>
      <c r="U189" s="91"/>
      <c r="V189" s="91"/>
      <c r="W189" s="91"/>
      <c r="X189" s="91"/>
      <c r="Y189" s="91"/>
    </row>
    <row r="190" spans="1:25">
      <c r="A190" s="96" t="s">
        <v>1878</v>
      </c>
      <c r="B190" s="97" t="s">
        <v>2396</v>
      </c>
      <c r="C190" s="97" t="s">
        <v>2397</v>
      </c>
      <c r="D190" s="91"/>
      <c r="E190" s="91"/>
      <c r="F190" s="91"/>
      <c r="G190" s="91"/>
      <c r="H190" s="91"/>
      <c r="I190" s="91"/>
      <c r="J190" s="91"/>
      <c r="K190" s="91"/>
      <c r="L190" s="91"/>
      <c r="M190" s="91"/>
      <c r="N190" s="91"/>
      <c r="O190" s="91"/>
      <c r="P190" s="91"/>
      <c r="Q190" s="91"/>
      <c r="R190" s="91"/>
      <c r="S190" s="91"/>
      <c r="T190" s="91"/>
      <c r="U190" s="91"/>
      <c r="V190" s="91"/>
      <c r="W190" s="91"/>
      <c r="X190" s="91"/>
      <c r="Y190" s="91"/>
    </row>
    <row r="191" spans="1:25">
      <c r="A191" s="96" t="s">
        <v>1895</v>
      </c>
      <c r="B191" s="97" t="s">
        <v>2398</v>
      </c>
      <c r="C191" s="97" t="s">
        <v>2399</v>
      </c>
      <c r="D191" s="91"/>
      <c r="E191" s="91"/>
      <c r="F191" s="91"/>
      <c r="G191" s="91"/>
      <c r="H191" s="91"/>
      <c r="I191" s="91"/>
      <c r="J191" s="91"/>
      <c r="K191" s="91"/>
      <c r="L191" s="91"/>
      <c r="M191" s="91"/>
      <c r="N191" s="91"/>
      <c r="O191" s="91"/>
      <c r="P191" s="91"/>
      <c r="Q191" s="91"/>
      <c r="R191" s="91"/>
      <c r="S191" s="91"/>
      <c r="T191" s="91"/>
      <c r="U191" s="91"/>
      <c r="V191" s="91"/>
      <c r="W191" s="91"/>
      <c r="X191" s="91"/>
      <c r="Y191" s="91"/>
    </row>
    <row r="192" spans="1:25">
      <c r="A192" s="96" t="s">
        <v>1886</v>
      </c>
      <c r="B192" s="97" t="s">
        <v>2400</v>
      </c>
      <c r="C192" s="97" t="s">
        <v>2401</v>
      </c>
      <c r="D192" s="91"/>
      <c r="E192" s="91"/>
      <c r="F192" s="91"/>
      <c r="G192" s="91"/>
      <c r="H192" s="91"/>
      <c r="I192" s="91"/>
      <c r="J192" s="91"/>
      <c r="K192" s="91"/>
      <c r="L192" s="91"/>
      <c r="M192" s="91"/>
      <c r="N192" s="91"/>
      <c r="O192" s="91"/>
      <c r="P192" s="91"/>
      <c r="Q192" s="91"/>
      <c r="R192" s="91"/>
      <c r="S192" s="91"/>
      <c r="T192" s="91"/>
      <c r="U192" s="91"/>
      <c r="V192" s="91"/>
      <c r="W192" s="91"/>
      <c r="X192" s="91"/>
      <c r="Y192" s="91"/>
    </row>
    <row r="193" spans="1:25">
      <c r="A193" s="96" t="s">
        <v>1890</v>
      </c>
      <c r="B193" s="97" t="s">
        <v>2402</v>
      </c>
      <c r="C193" s="97" t="s">
        <v>2403</v>
      </c>
      <c r="D193" s="91"/>
      <c r="E193" s="91"/>
      <c r="F193" s="91"/>
      <c r="G193" s="91"/>
      <c r="H193" s="91"/>
      <c r="I193" s="91"/>
      <c r="J193" s="91"/>
      <c r="K193" s="91"/>
      <c r="L193" s="91"/>
      <c r="M193" s="91"/>
      <c r="N193" s="91"/>
      <c r="O193" s="91"/>
      <c r="P193" s="91"/>
      <c r="Q193" s="91"/>
      <c r="R193" s="91"/>
      <c r="S193" s="91"/>
      <c r="T193" s="91"/>
      <c r="U193" s="91"/>
      <c r="V193" s="91"/>
      <c r="W193" s="91"/>
      <c r="X193" s="91"/>
      <c r="Y193" s="91"/>
    </row>
    <row r="194" spans="1:25">
      <c r="A194" s="96" t="s">
        <v>1910</v>
      </c>
      <c r="B194" s="97" t="s">
        <v>2404</v>
      </c>
      <c r="C194" s="97" t="s">
        <v>2405</v>
      </c>
      <c r="D194" s="91"/>
      <c r="E194" s="91"/>
      <c r="F194" s="91"/>
      <c r="G194" s="91"/>
      <c r="H194" s="91"/>
      <c r="I194" s="91"/>
      <c r="J194" s="91"/>
      <c r="K194" s="91"/>
      <c r="L194" s="91"/>
      <c r="M194" s="91"/>
      <c r="N194" s="91"/>
      <c r="O194" s="91"/>
      <c r="P194" s="91"/>
      <c r="Q194" s="91"/>
      <c r="R194" s="91"/>
      <c r="S194" s="91"/>
      <c r="T194" s="91"/>
      <c r="U194" s="91"/>
      <c r="V194" s="91"/>
      <c r="W194" s="91"/>
      <c r="X194" s="91"/>
      <c r="Y194" s="91"/>
    </row>
    <row r="195" spans="1:25">
      <c r="A195" s="96" t="s">
        <v>1914</v>
      </c>
      <c r="B195" s="97" t="s">
        <v>2406</v>
      </c>
      <c r="C195" s="97" t="s">
        <v>2407</v>
      </c>
      <c r="D195" s="91"/>
      <c r="E195" s="91"/>
      <c r="F195" s="91"/>
      <c r="G195" s="91"/>
      <c r="H195" s="91"/>
      <c r="I195" s="91"/>
      <c r="J195" s="91"/>
      <c r="K195" s="91"/>
      <c r="L195" s="91"/>
      <c r="M195" s="91"/>
      <c r="N195" s="91"/>
      <c r="O195" s="91"/>
      <c r="P195" s="91"/>
      <c r="Q195" s="91"/>
      <c r="R195" s="91"/>
      <c r="S195" s="91"/>
      <c r="T195" s="91"/>
      <c r="U195" s="91"/>
      <c r="V195" s="91"/>
      <c r="W195" s="91"/>
      <c r="X195" s="91"/>
      <c r="Y195" s="91"/>
    </row>
    <row r="196" spans="1:25">
      <c r="A196" s="96" t="s">
        <v>2408</v>
      </c>
      <c r="B196" s="97" t="s">
        <v>2409</v>
      </c>
      <c r="C196" s="97" t="s">
        <v>2410</v>
      </c>
      <c r="D196" s="91"/>
      <c r="E196" s="91"/>
      <c r="F196" s="91"/>
      <c r="G196" s="91"/>
      <c r="H196" s="91"/>
      <c r="I196" s="91"/>
      <c r="J196" s="91"/>
      <c r="K196" s="91"/>
      <c r="L196" s="91"/>
      <c r="M196" s="91"/>
      <c r="N196" s="91"/>
      <c r="O196" s="91"/>
      <c r="P196" s="91"/>
      <c r="Q196" s="91"/>
      <c r="R196" s="91"/>
      <c r="S196" s="91"/>
      <c r="T196" s="91"/>
      <c r="U196" s="91"/>
      <c r="V196" s="91"/>
      <c r="W196" s="91"/>
      <c r="X196" s="91"/>
      <c r="Y196" s="91"/>
    </row>
    <row r="197" spans="1:25">
      <c r="A197" s="96" t="s">
        <v>1926</v>
      </c>
      <c r="B197" s="97" t="s">
        <v>2411</v>
      </c>
      <c r="C197" s="97" t="s">
        <v>2412</v>
      </c>
      <c r="D197" s="91"/>
      <c r="E197" s="91"/>
      <c r="F197" s="91"/>
      <c r="G197" s="91"/>
      <c r="H197" s="91"/>
      <c r="I197" s="91"/>
      <c r="J197" s="91"/>
      <c r="K197" s="91"/>
      <c r="L197" s="91"/>
      <c r="M197" s="91"/>
      <c r="N197" s="91"/>
      <c r="O197" s="91"/>
      <c r="P197" s="91"/>
      <c r="Q197" s="91"/>
      <c r="R197" s="91"/>
      <c r="S197" s="91"/>
      <c r="T197" s="91"/>
      <c r="U197" s="91"/>
      <c r="V197" s="91"/>
      <c r="W197" s="91"/>
      <c r="X197" s="91"/>
      <c r="Y197" s="91"/>
    </row>
    <row r="198" spans="1:25">
      <c r="A198" s="91"/>
      <c r="B198" s="94"/>
      <c r="C198" s="94"/>
      <c r="D198" s="91"/>
      <c r="E198" s="91"/>
      <c r="F198" s="91"/>
      <c r="G198" s="91"/>
      <c r="H198" s="91"/>
      <c r="I198" s="91"/>
      <c r="J198" s="91"/>
      <c r="K198" s="91"/>
      <c r="L198" s="91"/>
      <c r="M198" s="91"/>
      <c r="N198" s="91"/>
      <c r="O198" s="91"/>
      <c r="P198" s="91"/>
      <c r="Q198" s="91"/>
      <c r="R198" s="91"/>
      <c r="S198" s="91"/>
      <c r="T198" s="91"/>
      <c r="U198" s="91"/>
      <c r="V198" s="91"/>
      <c r="W198" s="91"/>
      <c r="X198" s="91"/>
      <c r="Y198" s="91"/>
    </row>
    <row r="199" spans="1:25">
      <c r="A199" s="91"/>
      <c r="B199" s="94"/>
      <c r="C199" s="94"/>
      <c r="D199" s="91"/>
      <c r="E199" s="91"/>
      <c r="F199" s="91"/>
      <c r="G199" s="91"/>
      <c r="H199" s="91"/>
      <c r="I199" s="91"/>
      <c r="J199" s="91"/>
      <c r="K199" s="91"/>
      <c r="L199" s="91"/>
      <c r="M199" s="91"/>
      <c r="N199" s="91"/>
      <c r="O199" s="91"/>
      <c r="P199" s="91"/>
      <c r="Q199" s="91"/>
      <c r="R199" s="91"/>
      <c r="S199" s="91"/>
      <c r="T199" s="91"/>
      <c r="U199" s="91"/>
      <c r="V199" s="91"/>
      <c r="W199" s="91"/>
      <c r="X199" s="91"/>
      <c r="Y199" s="91"/>
    </row>
    <row r="200" spans="1:25">
      <c r="A200" s="91"/>
      <c r="B200" s="94"/>
      <c r="C200" s="94"/>
      <c r="D200" s="91"/>
      <c r="E200" s="91"/>
      <c r="F200" s="91"/>
      <c r="G200" s="91"/>
      <c r="H200" s="91"/>
      <c r="I200" s="91"/>
      <c r="J200" s="91"/>
      <c r="K200" s="91"/>
      <c r="L200" s="91"/>
      <c r="M200" s="91"/>
      <c r="N200" s="91"/>
      <c r="O200" s="91"/>
      <c r="P200" s="91"/>
      <c r="Q200" s="91"/>
      <c r="R200" s="91"/>
      <c r="S200" s="91"/>
      <c r="T200" s="91"/>
      <c r="U200" s="91"/>
      <c r="V200" s="91"/>
      <c r="W200" s="91"/>
      <c r="X200" s="91"/>
      <c r="Y200" s="91"/>
    </row>
    <row r="201" spans="1:25">
      <c r="A201" s="91"/>
      <c r="B201" s="94"/>
      <c r="C201" s="94"/>
      <c r="D201" s="91"/>
      <c r="E201" s="91"/>
      <c r="F201" s="91"/>
      <c r="G201" s="91"/>
      <c r="H201" s="91"/>
      <c r="I201" s="91"/>
      <c r="J201" s="91"/>
      <c r="K201" s="91"/>
      <c r="L201" s="91"/>
      <c r="M201" s="91"/>
      <c r="N201" s="91"/>
      <c r="O201" s="91"/>
      <c r="P201" s="91"/>
      <c r="Q201" s="91"/>
      <c r="R201" s="91"/>
      <c r="S201" s="91"/>
      <c r="T201" s="91"/>
      <c r="U201" s="91"/>
      <c r="V201" s="91"/>
      <c r="W201" s="91"/>
      <c r="X201" s="91"/>
      <c r="Y201" s="91"/>
    </row>
    <row r="202" spans="1:25">
      <c r="A202" s="91"/>
      <c r="B202" s="94"/>
      <c r="C202" s="94"/>
      <c r="D202" s="91"/>
      <c r="E202" s="91"/>
      <c r="F202" s="91"/>
      <c r="G202" s="91"/>
      <c r="H202" s="91"/>
      <c r="I202" s="91"/>
      <c r="J202" s="91"/>
      <c r="K202" s="91"/>
      <c r="L202" s="91"/>
      <c r="M202" s="91"/>
      <c r="N202" s="91"/>
      <c r="O202" s="91"/>
      <c r="P202" s="91"/>
      <c r="Q202" s="91"/>
      <c r="R202" s="91"/>
      <c r="S202" s="91"/>
      <c r="T202" s="91"/>
      <c r="U202" s="91"/>
      <c r="V202" s="91"/>
      <c r="W202" s="91"/>
      <c r="X202" s="91"/>
      <c r="Y202" s="91"/>
    </row>
    <row r="203" spans="1:25">
      <c r="A203" s="91"/>
      <c r="B203" s="94"/>
      <c r="C203" s="94"/>
      <c r="D203" s="91"/>
      <c r="E203" s="91"/>
      <c r="F203" s="91"/>
      <c r="G203" s="91"/>
      <c r="H203" s="91"/>
      <c r="I203" s="91"/>
      <c r="J203" s="91"/>
      <c r="K203" s="91"/>
      <c r="L203" s="91"/>
      <c r="M203" s="91"/>
      <c r="N203" s="91"/>
      <c r="O203" s="91"/>
      <c r="P203" s="91"/>
      <c r="Q203" s="91"/>
      <c r="R203" s="91"/>
      <c r="S203" s="91"/>
      <c r="T203" s="91"/>
      <c r="U203" s="91"/>
      <c r="V203" s="91"/>
      <c r="W203" s="91"/>
      <c r="X203" s="91"/>
      <c r="Y203" s="91"/>
    </row>
    <row r="204" spans="1:25">
      <c r="A204" s="91"/>
      <c r="B204" s="94"/>
      <c r="C204" s="94"/>
      <c r="D204" s="91"/>
      <c r="E204" s="91"/>
      <c r="F204" s="91"/>
      <c r="G204" s="91"/>
      <c r="H204" s="91"/>
      <c r="I204" s="91"/>
      <c r="J204" s="91"/>
      <c r="K204" s="91"/>
      <c r="L204" s="91"/>
      <c r="M204" s="91"/>
      <c r="N204" s="91"/>
      <c r="O204" s="91"/>
      <c r="P204" s="91"/>
      <c r="Q204" s="91"/>
      <c r="R204" s="91"/>
      <c r="S204" s="91"/>
      <c r="T204" s="91"/>
      <c r="U204" s="91"/>
      <c r="V204" s="91"/>
      <c r="W204" s="91"/>
      <c r="X204" s="91"/>
      <c r="Y204" s="91"/>
    </row>
    <row r="205" spans="1:25">
      <c r="A205" s="91"/>
      <c r="B205" s="94"/>
      <c r="C205" s="94"/>
      <c r="D205" s="91"/>
      <c r="E205" s="91"/>
      <c r="F205" s="91"/>
      <c r="G205" s="91"/>
      <c r="H205" s="91"/>
      <c r="I205" s="91"/>
      <c r="J205" s="91"/>
      <c r="K205" s="91"/>
      <c r="L205" s="91"/>
      <c r="M205" s="91"/>
      <c r="N205" s="91"/>
      <c r="O205" s="91"/>
      <c r="P205" s="91"/>
      <c r="Q205" s="91"/>
      <c r="R205" s="91"/>
      <c r="S205" s="91"/>
      <c r="T205" s="91"/>
      <c r="U205" s="91"/>
      <c r="V205" s="91"/>
      <c r="W205" s="91"/>
      <c r="X205" s="91"/>
      <c r="Y205" s="91"/>
    </row>
    <row r="206" spans="1:25">
      <c r="A206" s="91"/>
      <c r="B206" s="94"/>
      <c r="C206" s="94"/>
      <c r="D206" s="91"/>
      <c r="E206" s="91"/>
      <c r="F206" s="91"/>
      <c r="G206" s="91"/>
      <c r="H206" s="91"/>
      <c r="I206" s="91"/>
      <c r="J206" s="91"/>
      <c r="K206" s="91"/>
      <c r="L206" s="91"/>
      <c r="M206" s="91"/>
      <c r="N206" s="91"/>
      <c r="O206" s="91"/>
      <c r="P206" s="91"/>
      <c r="Q206" s="91"/>
      <c r="R206" s="91"/>
      <c r="S206" s="91"/>
      <c r="T206" s="91"/>
      <c r="U206" s="91"/>
      <c r="V206" s="91"/>
      <c r="W206" s="91"/>
      <c r="X206" s="91"/>
      <c r="Y206" s="91"/>
    </row>
    <row r="207" spans="1:25">
      <c r="A207" s="91"/>
      <c r="B207" s="94"/>
      <c r="C207" s="94"/>
      <c r="D207" s="91"/>
      <c r="E207" s="91"/>
      <c r="F207" s="91"/>
      <c r="G207" s="91"/>
      <c r="H207" s="91"/>
      <c r="I207" s="91"/>
      <c r="J207" s="91"/>
      <c r="K207" s="91"/>
      <c r="L207" s="91"/>
      <c r="M207" s="91"/>
      <c r="N207" s="91"/>
      <c r="O207" s="91"/>
      <c r="P207" s="91"/>
      <c r="Q207" s="91"/>
      <c r="R207" s="91"/>
      <c r="S207" s="91"/>
      <c r="T207" s="91"/>
      <c r="U207" s="91"/>
      <c r="V207" s="91"/>
      <c r="W207" s="91"/>
      <c r="X207" s="91"/>
      <c r="Y207" s="91"/>
    </row>
    <row r="208" spans="1:25">
      <c r="A208" s="91"/>
      <c r="B208" s="94"/>
      <c r="C208" s="94"/>
      <c r="D208" s="91"/>
      <c r="E208" s="91"/>
      <c r="F208" s="91"/>
      <c r="G208" s="91"/>
      <c r="H208" s="91"/>
      <c r="I208" s="91"/>
      <c r="J208" s="91"/>
      <c r="K208" s="91"/>
      <c r="L208" s="91"/>
      <c r="M208" s="91"/>
      <c r="N208" s="91"/>
      <c r="O208" s="91"/>
      <c r="P208" s="91"/>
      <c r="Q208" s="91"/>
      <c r="R208" s="91"/>
      <c r="S208" s="91"/>
      <c r="T208" s="91"/>
      <c r="U208" s="91"/>
      <c r="V208" s="91"/>
      <c r="W208" s="91"/>
      <c r="X208" s="91"/>
      <c r="Y208" s="91"/>
    </row>
    <row r="209" spans="1:25">
      <c r="A209" s="91"/>
      <c r="B209" s="94"/>
      <c r="C209" s="94"/>
      <c r="D209" s="91"/>
      <c r="E209" s="91"/>
      <c r="F209" s="91"/>
      <c r="G209" s="91"/>
      <c r="H209" s="91"/>
      <c r="I209" s="91"/>
      <c r="J209" s="91"/>
      <c r="K209" s="91"/>
      <c r="L209" s="91"/>
      <c r="M209" s="91"/>
      <c r="N209" s="91"/>
      <c r="O209" s="91"/>
      <c r="P209" s="91"/>
      <c r="Q209" s="91"/>
      <c r="R209" s="91"/>
      <c r="S209" s="91"/>
      <c r="T209" s="91"/>
      <c r="U209" s="91"/>
      <c r="V209" s="91"/>
      <c r="W209" s="91"/>
      <c r="X209" s="91"/>
      <c r="Y209" s="91"/>
    </row>
    <row r="210" spans="1:25">
      <c r="A210" s="91"/>
      <c r="B210" s="94"/>
      <c r="C210" s="94"/>
      <c r="D210" s="91"/>
      <c r="E210" s="91"/>
      <c r="F210" s="91"/>
      <c r="G210" s="91"/>
      <c r="H210" s="91"/>
      <c r="I210" s="91"/>
      <c r="J210" s="91"/>
      <c r="K210" s="91"/>
      <c r="L210" s="91"/>
      <c r="M210" s="91"/>
      <c r="N210" s="91"/>
      <c r="O210" s="91"/>
      <c r="P210" s="91"/>
      <c r="Q210" s="91"/>
      <c r="R210" s="91"/>
      <c r="S210" s="91"/>
      <c r="T210" s="91"/>
      <c r="U210" s="91"/>
      <c r="V210" s="91"/>
      <c r="W210" s="91"/>
      <c r="X210" s="91"/>
      <c r="Y210" s="91"/>
    </row>
    <row r="211" spans="1:25">
      <c r="A211" s="91"/>
      <c r="B211" s="94"/>
      <c r="C211" s="94"/>
      <c r="D211" s="91"/>
      <c r="E211" s="91"/>
      <c r="F211" s="91"/>
      <c r="G211" s="91"/>
      <c r="H211" s="91"/>
      <c r="I211" s="91"/>
      <c r="J211" s="91"/>
      <c r="K211" s="91"/>
      <c r="L211" s="91"/>
      <c r="M211" s="91"/>
      <c r="N211" s="91"/>
      <c r="O211" s="91"/>
      <c r="P211" s="91"/>
      <c r="Q211" s="91"/>
      <c r="R211" s="91"/>
      <c r="S211" s="91"/>
      <c r="T211" s="91"/>
      <c r="U211" s="91"/>
      <c r="V211" s="91"/>
      <c r="W211" s="91"/>
      <c r="X211" s="91"/>
      <c r="Y211" s="91"/>
    </row>
    <row r="212" spans="1:25">
      <c r="A212" s="91"/>
      <c r="B212" s="94"/>
      <c r="C212" s="94"/>
      <c r="D212" s="91"/>
      <c r="E212" s="91"/>
      <c r="F212" s="91"/>
      <c r="G212" s="91"/>
      <c r="H212" s="91"/>
      <c r="I212" s="91"/>
      <c r="J212" s="91"/>
      <c r="K212" s="91"/>
      <c r="L212" s="91"/>
      <c r="M212" s="91"/>
      <c r="N212" s="91"/>
      <c r="O212" s="91"/>
      <c r="P212" s="91"/>
      <c r="Q212" s="91"/>
      <c r="R212" s="91"/>
      <c r="S212" s="91"/>
      <c r="T212" s="91"/>
      <c r="U212" s="91"/>
      <c r="V212" s="91"/>
      <c r="W212" s="91"/>
      <c r="X212" s="91"/>
      <c r="Y212" s="91"/>
    </row>
    <row r="213" spans="1:25">
      <c r="A213" s="91"/>
      <c r="B213" s="94"/>
      <c r="C213" s="94"/>
      <c r="D213" s="91"/>
      <c r="E213" s="91"/>
      <c r="F213" s="91"/>
      <c r="G213" s="91"/>
      <c r="H213" s="91"/>
      <c r="I213" s="91"/>
      <c r="J213" s="91"/>
      <c r="K213" s="91"/>
      <c r="L213" s="91"/>
      <c r="M213" s="91"/>
      <c r="N213" s="91"/>
      <c r="O213" s="91"/>
      <c r="P213" s="91"/>
      <c r="Q213" s="91"/>
      <c r="R213" s="91"/>
      <c r="S213" s="91"/>
      <c r="T213" s="91"/>
      <c r="U213" s="91"/>
      <c r="V213" s="91"/>
      <c r="W213" s="91"/>
      <c r="X213" s="91"/>
      <c r="Y213" s="91"/>
    </row>
    <row r="214" spans="1:25">
      <c r="A214" s="91"/>
      <c r="B214" s="94"/>
      <c r="C214" s="94"/>
      <c r="D214" s="91"/>
      <c r="E214" s="91"/>
      <c r="F214" s="91"/>
      <c r="G214" s="91"/>
      <c r="H214" s="91"/>
      <c r="I214" s="91"/>
      <c r="J214" s="91"/>
      <c r="K214" s="91"/>
      <c r="L214" s="91"/>
      <c r="M214" s="91"/>
      <c r="N214" s="91"/>
      <c r="O214" s="91"/>
      <c r="P214" s="91"/>
      <c r="Q214" s="91"/>
      <c r="R214" s="91"/>
      <c r="S214" s="91"/>
      <c r="T214" s="91"/>
      <c r="U214" s="91"/>
      <c r="V214" s="91"/>
      <c r="W214" s="91"/>
      <c r="X214" s="91"/>
      <c r="Y214" s="91"/>
    </row>
    <row r="215" spans="1:25">
      <c r="A215" s="91"/>
      <c r="B215" s="94"/>
      <c r="C215" s="94"/>
      <c r="D215" s="91"/>
      <c r="E215" s="91"/>
      <c r="F215" s="91"/>
      <c r="G215" s="91"/>
      <c r="H215" s="91"/>
      <c r="I215" s="91"/>
      <c r="J215" s="91"/>
      <c r="K215" s="91"/>
      <c r="L215" s="91"/>
      <c r="M215" s="91"/>
      <c r="N215" s="91"/>
      <c r="O215" s="91"/>
      <c r="P215" s="91"/>
      <c r="Q215" s="91"/>
      <c r="R215" s="91"/>
      <c r="S215" s="91"/>
      <c r="T215" s="91"/>
      <c r="U215" s="91"/>
      <c r="V215" s="91"/>
      <c r="W215" s="91"/>
      <c r="X215" s="91"/>
      <c r="Y215" s="91"/>
    </row>
    <row r="216" spans="1:25">
      <c r="A216" s="91"/>
      <c r="B216" s="94"/>
      <c r="C216" s="94"/>
      <c r="D216" s="91"/>
      <c r="E216" s="91"/>
      <c r="F216" s="91"/>
      <c r="G216" s="91"/>
      <c r="H216" s="91"/>
      <c r="I216" s="91"/>
      <c r="J216" s="91"/>
      <c r="K216" s="91"/>
      <c r="L216" s="91"/>
      <c r="M216" s="91"/>
      <c r="N216" s="91"/>
      <c r="O216" s="91"/>
      <c r="P216" s="91"/>
      <c r="Q216" s="91"/>
      <c r="R216" s="91"/>
      <c r="S216" s="91"/>
      <c r="T216" s="91"/>
      <c r="U216" s="91"/>
      <c r="V216" s="91"/>
      <c r="W216" s="91"/>
      <c r="X216" s="91"/>
      <c r="Y216" s="91"/>
    </row>
    <row r="217" spans="1:25">
      <c r="A217" s="91"/>
      <c r="B217" s="94"/>
      <c r="C217" s="94"/>
      <c r="D217" s="91"/>
      <c r="E217" s="91"/>
      <c r="F217" s="91"/>
      <c r="G217" s="91"/>
      <c r="H217" s="91"/>
      <c r="I217" s="91"/>
      <c r="J217" s="91"/>
      <c r="K217" s="91"/>
      <c r="L217" s="91"/>
      <c r="M217" s="91"/>
      <c r="N217" s="91"/>
      <c r="O217" s="91"/>
      <c r="P217" s="91"/>
      <c r="Q217" s="91"/>
      <c r="R217" s="91"/>
      <c r="S217" s="91"/>
      <c r="T217" s="91"/>
      <c r="U217" s="91"/>
      <c r="V217" s="91"/>
      <c r="W217" s="91"/>
      <c r="X217" s="91"/>
      <c r="Y217" s="91"/>
    </row>
    <row r="218" spans="1:25">
      <c r="A218" s="91"/>
      <c r="B218" s="94"/>
      <c r="C218" s="94"/>
      <c r="D218" s="91"/>
      <c r="E218" s="91"/>
      <c r="F218" s="91"/>
      <c r="G218" s="91"/>
      <c r="H218" s="91"/>
      <c r="I218" s="91"/>
      <c r="J218" s="91"/>
      <c r="K218" s="91"/>
      <c r="L218" s="91"/>
      <c r="M218" s="91"/>
      <c r="N218" s="91"/>
      <c r="O218" s="91"/>
      <c r="P218" s="91"/>
      <c r="Q218" s="91"/>
      <c r="R218" s="91"/>
      <c r="S218" s="91"/>
      <c r="T218" s="91"/>
      <c r="U218" s="91"/>
      <c r="V218" s="91"/>
      <c r="W218" s="91"/>
      <c r="X218" s="91"/>
      <c r="Y218" s="91"/>
    </row>
    <row r="219" spans="1:25">
      <c r="A219" s="91"/>
      <c r="B219" s="94"/>
      <c r="C219" s="94"/>
      <c r="D219" s="91"/>
      <c r="E219" s="91"/>
      <c r="F219" s="91"/>
      <c r="G219" s="91"/>
      <c r="H219" s="91"/>
      <c r="I219" s="91"/>
      <c r="J219" s="91"/>
      <c r="K219" s="91"/>
      <c r="L219" s="91"/>
      <c r="M219" s="91"/>
      <c r="N219" s="91"/>
      <c r="O219" s="91"/>
      <c r="P219" s="91"/>
      <c r="Q219" s="91"/>
      <c r="R219" s="91"/>
      <c r="S219" s="91"/>
      <c r="T219" s="91"/>
      <c r="U219" s="91"/>
      <c r="V219" s="91"/>
      <c r="W219" s="91"/>
      <c r="X219" s="91"/>
      <c r="Y219" s="91"/>
    </row>
    <row r="220" spans="1:25">
      <c r="A220" s="91"/>
      <c r="B220" s="94"/>
      <c r="C220" s="94"/>
      <c r="D220" s="91"/>
      <c r="E220" s="91"/>
      <c r="F220" s="91"/>
      <c r="G220" s="91"/>
      <c r="H220" s="91"/>
      <c r="I220" s="91"/>
      <c r="J220" s="91"/>
      <c r="K220" s="91"/>
      <c r="L220" s="91"/>
      <c r="M220" s="91"/>
      <c r="N220" s="91"/>
      <c r="O220" s="91"/>
      <c r="P220" s="91"/>
      <c r="Q220" s="91"/>
      <c r="R220" s="91"/>
      <c r="S220" s="91"/>
      <c r="T220" s="91"/>
      <c r="U220" s="91"/>
      <c r="V220" s="91"/>
      <c r="W220" s="91"/>
      <c r="X220" s="91"/>
      <c r="Y220" s="91"/>
    </row>
    <row r="221" spans="1:25">
      <c r="A221" s="91"/>
      <c r="B221" s="94"/>
      <c r="C221" s="94"/>
      <c r="D221" s="91"/>
      <c r="E221" s="91"/>
      <c r="F221" s="91"/>
      <c r="G221" s="91"/>
      <c r="H221" s="91"/>
      <c r="I221" s="91"/>
      <c r="J221" s="91"/>
      <c r="K221" s="91"/>
      <c r="L221" s="91"/>
      <c r="M221" s="91"/>
      <c r="N221" s="91"/>
      <c r="O221" s="91"/>
      <c r="P221" s="91"/>
      <c r="Q221" s="91"/>
      <c r="R221" s="91"/>
      <c r="S221" s="91"/>
      <c r="T221" s="91"/>
      <c r="U221" s="91"/>
      <c r="V221" s="91"/>
      <c r="W221" s="91"/>
      <c r="X221" s="91"/>
      <c r="Y221" s="91"/>
    </row>
    <row r="222" spans="1:25">
      <c r="A222" s="91"/>
      <c r="B222" s="94"/>
      <c r="C222" s="94"/>
      <c r="D222" s="91"/>
      <c r="E222" s="91"/>
      <c r="F222" s="91"/>
      <c r="G222" s="91"/>
      <c r="H222" s="91"/>
      <c r="I222" s="91"/>
      <c r="J222" s="91"/>
      <c r="K222" s="91"/>
      <c r="L222" s="91"/>
      <c r="M222" s="91"/>
      <c r="N222" s="91"/>
      <c r="O222" s="91"/>
      <c r="P222" s="91"/>
      <c r="Q222" s="91"/>
      <c r="R222" s="91"/>
      <c r="S222" s="91"/>
      <c r="T222" s="91"/>
      <c r="U222" s="91"/>
      <c r="V222" s="91"/>
      <c r="W222" s="91"/>
      <c r="X222" s="91"/>
      <c r="Y222" s="91"/>
    </row>
    <row r="223" spans="1:25">
      <c r="A223" s="91"/>
      <c r="B223" s="94"/>
      <c r="C223" s="94"/>
      <c r="D223" s="91"/>
      <c r="E223" s="91"/>
      <c r="F223" s="91"/>
      <c r="G223" s="91"/>
      <c r="H223" s="91"/>
      <c r="I223" s="91"/>
      <c r="J223" s="91"/>
      <c r="K223" s="91"/>
      <c r="L223" s="91"/>
      <c r="M223" s="91"/>
      <c r="N223" s="91"/>
      <c r="O223" s="91"/>
      <c r="P223" s="91"/>
      <c r="Q223" s="91"/>
      <c r="R223" s="91"/>
      <c r="S223" s="91"/>
      <c r="T223" s="91"/>
      <c r="U223" s="91"/>
      <c r="V223" s="91"/>
      <c r="W223" s="91"/>
      <c r="X223" s="91"/>
      <c r="Y223" s="91"/>
    </row>
    <row r="224" spans="1:25">
      <c r="A224" s="91"/>
      <c r="B224" s="94"/>
      <c r="C224" s="94"/>
      <c r="D224" s="91"/>
      <c r="E224" s="91"/>
      <c r="F224" s="91"/>
      <c r="G224" s="91"/>
      <c r="H224" s="91"/>
      <c r="I224" s="91"/>
      <c r="J224" s="91"/>
      <c r="K224" s="91"/>
      <c r="L224" s="91"/>
      <c r="M224" s="91"/>
      <c r="N224" s="91"/>
      <c r="O224" s="91"/>
      <c r="P224" s="91"/>
      <c r="Q224" s="91"/>
      <c r="R224" s="91"/>
      <c r="S224" s="91"/>
      <c r="T224" s="91"/>
      <c r="U224" s="91"/>
      <c r="V224" s="91"/>
      <c r="W224" s="91"/>
      <c r="X224" s="91"/>
      <c r="Y224" s="91"/>
    </row>
    <row r="225" spans="1:25">
      <c r="A225" s="91"/>
      <c r="B225" s="94"/>
      <c r="C225" s="94"/>
      <c r="D225" s="91"/>
      <c r="E225" s="91"/>
      <c r="F225" s="91"/>
      <c r="G225" s="91"/>
      <c r="H225" s="91"/>
      <c r="I225" s="91"/>
      <c r="J225" s="91"/>
      <c r="K225" s="91"/>
      <c r="L225" s="91"/>
      <c r="M225" s="91"/>
      <c r="N225" s="91"/>
      <c r="O225" s="91"/>
      <c r="P225" s="91"/>
      <c r="Q225" s="91"/>
      <c r="R225" s="91"/>
      <c r="S225" s="91"/>
      <c r="T225" s="91"/>
      <c r="U225" s="91"/>
      <c r="V225" s="91"/>
      <c r="W225" s="91"/>
      <c r="X225" s="91"/>
      <c r="Y225" s="91"/>
    </row>
    <row r="226" spans="1:25">
      <c r="A226" s="91"/>
      <c r="B226" s="94"/>
      <c r="C226" s="94"/>
      <c r="D226" s="91"/>
      <c r="E226" s="91"/>
      <c r="F226" s="91"/>
      <c r="G226" s="91"/>
      <c r="H226" s="91"/>
      <c r="I226" s="91"/>
      <c r="J226" s="91"/>
      <c r="K226" s="91"/>
      <c r="L226" s="91"/>
      <c r="M226" s="91"/>
      <c r="N226" s="91"/>
      <c r="O226" s="91"/>
      <c r="P226" s="91"/>
      <c r="Q226" s="91"/>
      <c r="R226" s="91"/>
      <c r="S226" s="91"/>
      <c r="T226" s="91"/>
      <c r="U226" s="91"/>
      <c r="V226" s="91"/>
      <c r="W226" s="91"/>
      <c r="X226" s="91"/>
      <c r="Y226" s="91"/>
    </row>
    <row r="227" spans="1:25">
      <c r="A227" s="91"/>
      <c r="B227" s="94"/>
      <c r="C227" s="94"/>
      <c r="D227" s="91"/>
      <c r="E227" s="91"/>
      <c r="F227" s="91"/>
      <c r="G227" s="91"/>
      <c r="H227" s="91"/>
      <c r="I227" s="91"/>
      <c r="J227" s="91"/>
      <c r="K227" s="91"/>
      <c r="L227" s="91"/>
      <c r="M227" s="91"/>
      <c r="N227" s="91"/>
      <c r="O227" s="91"/>
      <c r="P227" s="91"/>
      <c r="Q227" s="91"/>
      <c r="R227" s="91"/>
      <c r="S227" s="91"/>
      <c r="T227" s="91"/>
      <c r="U227" s="91"/>
      <c r="V227" s="91"/>
      <c r="W227" s="91"/>
      <c r="X227" s="91"/>
      <c r="Y227" s="91"/>
    </row>
    <row r="228" spans="1:25">
      <c r="A228" s="91"/>
      <c r="B228" s="94"/>
      <c r="C228" s="94"/>
      <c r="D228" s="91"/>
      <c r="E228" s="91"/>
      <c r="F228" s="91"/>
      <c r="G228" s="91"/>
      <c r="H228" s="91"/>
      <c r="I228" s="91"/>
      <c r="J228" s="91"/>
      <c r="K228" s="91"/>
      <c r="L228" s="91"/>
      <c r="M228" s="91"/>
      <c r="N228" s="91"/>
      <c r="O228" s="91"/>
      <c r="P228" s="91"/>
      <c r="Q228" s="91"/>
      <c r="R228" s="91"/>
      <c r="S228" s="91"/>
      <c r="T228" s="91"/>
      <c r="U228" s="91"/>
      <c r="V228" s="91"/>
      <c r="W228" s="91"/>
      <c r="X228" s="91"/>
      <c r="Y228" s="91"/>
    </row>
    <row r="229" spans="1:25">
      <c r="A229" s="91"/>
      <c r="B229" s="94"/>
      <c r="C229" s="94"/>
      <c r="D229" s="91"/>
      <c r="E229" s="91"/>
      <c r="F229" s="91"/>
      <c r="G229" s="91"/>
      <c r="H229" s="91"/>
      <c r="I229" s="91"/>
      <c r="J229" s="91"/>
      <c r="K229" s="91"/>
      <c r="L229" s="91"/>
      <c r="M229" s="91"/>
      <c r="N229" s="91"/>
      <c r="O229" s="91"/>
      <c r="P229" s="91"/>
      <c r="Q229" s="91"/>
      <c r="R229" s="91"/>
      <c r="S229" s="91"/>
      <c r="T229" s="91"/>
      <c r="U229" s="91"/>
      <c r="V229" s="91"/>
      <c r="W229" s="91"/>
      <c r="X229" s="91"/>
      <c r="Y229" s="91"/>
    </row>
    <row r="230" spans="1:25">
      <c r="A230" s="91"/>
      <c r="B230" s="94"/>
      <c r="C230" s="94"/>
      <c r="D230" s="91"/>
      <c r="E230" s="91"/>
      <c r="F230" s="91"/>
      <c r="G230" s="91"/>
      <c r="H230" s="91"/>
      <c r="I230" s="91"/>
      <c r="J230" s="91"/>
      <c r="K230" s="91"/>
      <c r="L230" s="91"/>
      <c r="M230" s="91"/>
      <c r="N230" s="91"/>
      <c r="O230" s="91"/>
      <c r="P230" s="91"/>
      <c r="Q230" s="91"/>
      <c r="R230" s="91"/>
      <c r="S230" s="91"/>
      <c r="T230" s="91"/>
      <c r="U230" s="91"/>
      <c r="V230" s="91"/>
      <c r="W230" s="91"/>
      <c r="X230" s="91"/>
      <c r="Y230" s="91"/>
    </row>
    <row r="231" spans="1:25">
      <c r="A231" s="91"/>
      <c r="B231" s="94"/>
      <c r="C231" s="94"/>
      <c r="D231" s="91"/>
      <c r="E231" s="91"/>
      <c r="F231" s="91"/>
      <c r="G231" s="91"/>
      <c r="H231" s="91"/>
      <c r="I231" s="91"/>
      <c r="J231" s="91"/>
      <c r="K231" s="91"/>
      <c r="L231" s="91"/>
      <c r="M231" s="91"/>
      <c r="N231" s="91"/>
      <c r="O231" s="91"/>
      <c r="P231" s="91"/>
      <c r="Q231" s="91"/>
      <c r="R231" s="91"/>
      <c r="S231" s="91"/>
      <c r="T231" s="91"/>
      <c r="U231" s="91"/>
      <c r="V231" s="91"/>
      <c r="W231" s="91"/>
      <c r="X231" s="91"/>
      <c r="Y231" s="91"/>
    </row>
    <row r="232" spans="1:25">
      <c r="A232" s="91"/>
      <c r="B232" s="94"/>
      <c r="C232" s="94"/>
      <c r="D232" s="91"/>
      <c r="E232" s="91"/>
      <c r="F232" s="91"/>
      <c r="G232" s="91"/>
      <c r="H232" s="91"/>
      <c r="I232" s="91"/>
      <c r="J232" s="91"/>
      <c r="K232" s="91"/>
      <c r="L232" s="91"/>
      <c r="M232" s="91"/>
      <c r="N232" s="91"/>
      <c r="O232" s="91"/>
      <c r="P232" s="91"/>
      <c r="Q232" s="91"/>
      <c r="R232" s="91"/>
      <c r="S232" s="91"/>
      <c r="T232" s="91"/>
      <c r="U232" s="91"/>
      <c r="V232" s="91"/>
      <c r="W232" s="91"/>
      <c r="X232" s="91"/>
      <c r="Y232" s="91"/>
    </row>
    <row r="233" spans="1:25">
      <c r="A233" s="91"/>
      <c r="B233" s="94"/>
      <c r="C233" s="94"/>
      <c r="D233" s="91"/>
      <c r="E233" s="91"/>
      <c r="F233" s="91"/>
      <c r="G233" s="91"/>
      <c r="H233" s="91"/>
      <c r="I233" s="91"/>
      <c r="J233" s="91"/>
      <c r="K233" s="91"/>
      <c r="L233" s="91"/>
      <c r="M233" s="91"/>
      <c r="N233" s="91"/>
      <c r="O233" s="91"/>
      <c r="P233" s="91"/>
      <c r="Q233" s="91"/>
      <c r="R233" s="91"/>
      <c r="S233" s="91"/>
      <c r="T233" s="91"/>
      <c r="U233" s="91"/>
      <c r="V233" s="91"/>
      <c r="W233" s="91"/>
      <c r="X233" s="91"/>
      <c r="Y233" s="91"/>
    </row>
    <row r="234" spans="1:25">
      <c r="A234" s="91"/>
      <c r="B234" s="94"/>
      <c r="C234" s="94"/>
      <c r="D234" s="91"/>
      <c r="E234" s="91"/>
      <c r="F234" s="91"/>
      <c r="G234" s="91"/>
      <c r="H234" s="91"/>
      <c r="I234" s="91"/>
      <c r="J234" s="91"/>
      <c r="K234" s="91"/>
      <c r="L234" s="91"/>
      <c r="M234" s="91"/>
      <c r="N234" s="91"/>
      <c r="O234" s="91"/>
      <c r="P234" s="91"/>
      <c r="Q234" s="91"/>
      <c r="R234" s="91"/>
      <c r="S234" s="91"/>
      <c r="T234" s="91"/>
      <c r="U234" s="91"/>
      <c r="V234" s="91"/>
      <c r="W234" s="91"/>
      <c r="X234" s="91"/>
      <c r="Y234" s="91"/>
    </row>
    <row r="235" spans="1:25">
      <c r="A235" s="91"/>
      <c r="B235" s="94"/>
      <c r="C235" s="94"/>
      <c r="D235" s="91"/>
      <c r="E235" s="91"/>
      <c r="F235" s="91"/>
      <c r="G235" s="91"/>
      <c r="H235" s="91"/>
      <c r="I235" s="91"/>
      <c r="J235" s="91"/>
      <c r="K235" s="91"/>
      <c r="L235" s="91"/>
      <c r="M235" s="91"/>
      <c r="N235" s="91"/>
      <c r="O235" s="91"/>
      <c r="P235" s="91"/>
      <c r="Q235" s="91"/>
      <c r="R235" s="91"/>
      <c r="S235" s="91"/>
      <c r="T235" s="91"/>
      <c r="U235" s="91"/>
      <c r="V235" s="91"/>
      <c r="W235" s="91"/>
      <c r="X235" s="91"/>
      <c r="Y235" s="91"/>
    </row>
    <row r="236" spans="1:25">
      <c r="A236" s="91"/>
      <c r="B236" s="94"/>
      <c r="C236" s="94"/>
      <c r="D236" s="91"/>
      <c r="E236" s="91"/>
      <c r="F236" s="91"/>
      <c r="G236" s="91"/>
      <c r="H236" s="91"/>
      <c r="I236" s="91"/>
      <c r="J236" s="91"/>
      <c r="K236" s="91"/>
      <c r="L236" s="91"/>
      <c r="M236" s="91"/>
      <c r="N236" s="91"/>
      <c r="O236" s="91"/>
      <c r="P236" s="91"/>
      <c r="Q236" s="91"/>
      <c r="R236" s="91"/>
      <c r="S236" s="91"/>
      <c r="T236" s="91"/>
      <c r="U236" s="91"/>
      <c r="V236" s="91"/>
      <c r="W236" s="91"/>
      <c r="X236" s="91"/>
      <c r="Y236" s="91"/>
    </row>
    <row r="237" spans="1:25">
      <c r="A237" s="91"/>
      <c r="B237" s="94"/>
      <c r="C237" s="94"/>
      <c r="D237" s="91"/>
      <c r="E237" s="91"/>
      <c r="F237" s="91"/>
      <c r="G237" s="91"/>
      <c r="H237" s="91"/>
      <c r="I237" s="91"/>
      <c r="J237" s="91"/>
      <c r="K237" s="91"/>
      <c r="L237" s="91"/>
      <c r="M237" s="91"/>
      <c r="N237" s="91"/>
      <c r="O237" s="91"/>
      <c r="P237" s="91"/>
      <c r="Q237" s="91"/>
      <c r="R237" s="91"/>
      <c r="S237" s="91"/>
      <c r="T237" s="91"/>
      <c r="U237" s="91"/>
      <c r="V237" s="91"/>
      <c r="W237" s="91"/>
      <c r="X237" s="91"/>
      <c r="Y237" s="91"/>
    </row>
    <row r="238" spans="1:25">
      <c r="A238" s="91"/>
      <c r="B238" s="94"/>
      <c r="C238" s="94"/>
      <c r="D238" s="91"/>
      <c r="E238" s="91"/>
      <c r="F238" s="91"/>
      <c r="G238" s="91"/>
      <c r="H238" s="91"/>
      <c r="I238" s="91"/>
      <c r="J238" s="91"/>
      <c r="K238" s="91"/>
      <c r="L238" s="91"/>
      <c r="M238" s="91"/>
      <c r="N238" s="91"/>
      <c r="O238" s="91"/>
      <c r="P238" s="91"/>
      <c r="Q238" s="91"/>
      <c r="R238" s="91"/>
      <c r="S238" s="91"/>
      <c r="T238" s="91"/>
      <c r="U238" s="91"/>
      <c r="V238" s="91"/>
      <c r="W238" s="91"/>
      <c r="X238" s="91"/>
      <c r="Y238" s="91"/>
    </row>
    <row r="239" spans="1:25">
      <c r="A239" s="91"/>
      <c r="B239" s="94"/>
      <c r="C239" s="94"/>
      <c r="D239" s="91"/>
      <c r="E239" s="91"/>
      <c r="F239" s="91"/>
      <c r="G239" s="91"/>
      <c r="H239" s="91"/>
      <c r="I239" s="91"/>
      <c r="J239" s="91"/>
      <c r="K239" s="91"/>
      <c r="L239" s="91"/>
      <c r="M239" s="91"/>
      <c r="N239" s="91"/>
      <c r="O239" s="91"/>
      <c r="P239" s="91"/>
      <c r="Q239" s="91"/>
      <c r="R239" s="91"/>
      <c r="S239" s="91"/>
      <c r="T239" s="91"/>
      <c r="U239" s="91"/>
      <c r="V239" s="91"/>
      <c r="W239" s="91"/>
      <c r="X239" s="91"/>
      <c r="Y239" s="91"/>
    </row>
    <row r="240" spans="1:25">
      <c r="A240" s="91"/>
      <c r="B240" s="94"/>
      <c r="C240" s="94"/>
      <c r="D240" s="91"/>
      <c r="E240" s="91"/>
      <c r="F240" s="91"/>
      <c r="G240" s="91"/>
      <c r="H240" s="91"/>
      <c r="I240" s="91"/>
      <c r="J240" s="91"/>
      <c r="K240" s="91"/>
      <c r="L240" s="91"/>
      <c r="M240" s="91"/>
      <c r="N240" s="91"/>
      <c r="O240" s="91"/>
      <c r="P240" s="91"/>
      <c r="Q240" s="91"/>
      <c r="R240" s="91"/>
      <c r="S240" s="91"/>
      <c r="T240" s="91"/>
      <c r="U240" s="91"/>
      <c r="V240" s="91"/>
      <c r="W240" s="91"/>
      <c r="X240" s="91"/>
      <c r="Y240" s="91"/>
    </row>
    <row r="241" spans="1:25">
      <c r="A241" s="91"/>
      <c r="B241" s="94"/>
      <c r="C241" s="94"/>
      <c r="D241" s="91"/>
      <c r="E241" s="91"/>
      <c r="F241" s="91"/>
      <c r="G241" s="91"/>
      <c r="H241" s="91"/>
      <c r="I241" s="91"/>
      <c r="J241" s="91"/>
      <c r="K241" s="91"/>
      <c r="L241" s="91"/>
      <c r="M241" s="91"/>
      <c r="N241" s="91"/>
      <c r="O241" s="91"/>
      <c r="P241" s="91"/>
      <c r="Q241" s="91"/>
      <c r="R241" s="91"/>
      <c r="S241" s="91"/>
      <c r="T241" s="91"/>
      <c r="U241" s="91"/>
      <c r="V241" s="91"/>
      <c r="W241" s="91"/>
      <c r="X241" s="91"/>
      <c r="Y241" s="91"/>
    </row>
    <row r="242" spans="1:25">
      <c r="A242" s="91"/>
      <c r="B242" s="94"/>
      <c r="C242" s="94"/>
      <c r="D242" s="91"/>
      <c r="E242" s="91"/>
      <c r="F242" s="91"/>
      <c r="G242" s="91"/>
      <c r="H242" s="91"/>
      <c r="I242" s="91"/>
      <c r="J242" s="91"/>
      <c r="K242" s="91"/>
      <c r="L242" s="91"/>
      <c r="M242" s="91"/>
      <c r="N242" s="91"/>
      <c r="O242" s="91"/>
      <c r="P242" s="91"/>
      <c r="Q242" s="91"/>
      <c r="R242" s="91"/>
      <c r="S242" s="91"/>
      <c r="T242" s="91"/>
      <c r="U242" s="91"/>
      <c r="V242" s="91"/>
      <c r="W242" s="91"/>
      <c r="X242" s="91"/>
      <c r="Y242" s="91"/>
    </row>
    <row r="243" spans="1:25">
      <c r="A243" s="91"/>
      <c r="B243" s="94"/>
      <c r="C243" s="94"/>
      <c r="D243" s="91"/>
      <c r="E243" s="91"/>
      <c r="F243" s="91"/>
      <c r="G243" s="91"/>
      <c r="H243" s="91"/>
      <c r="I243" s="91"/>
      <c r="J243" s="91"/>
      <c r="K243" s="91"/>
      <c r="L243" s="91"/>
      <c r="M243" s="91"/>
      <c r="N243" s="91"/>
      <c r="O243" s="91"/>
      <c r="P243" s="91"/>
      <c r="Q243" s="91"/>
      <c r="R243" s="91"/>
      <c r="S243" s="91"/>
      <c r="T243" s="91"/>
      <c r="U243" s="91"/>
      <c r="V243" s="91"/>
      <c r="W243" s="91"/>
      <c r="X243" s="91"/>
      <c r="Y243" s="91"/>
    </row>
    <row r="244" spans="1:25">
      <c r="A244" s="91"/>
      <c r="B244" s="94"/>
      <c r="C244" s="94"/>
      <c r="D244" s="91"/>
      <c r="E244" s="91"/>
      <c r="F244" s="91"/>
      <c r="G244" s="91"/>
      <c r="H244" s="91"/>
      <c r="I244" s="91"/>
      <c r="J244" s="91"/>
      <c r="K244" s="91"/>
      <c r="L244" s="91"/>
      <c r="M244" s="91"/>
      <c r="N244" s="91"/>
      <c r="O244" s="91"/>
      <c r="P244" s="91"/>
      <c r="Q244" s="91"/>
      <c r="R244" s="91"/>
      <c r="S244" s="91"/>
      <c r="T244" s="91"/>
      <c r="U244" s="91"/>
      <c r="V244" s="91"/>
      <c r="W244" s="91"/>
      <c r="X244" s="91"/>
      <c r="Y244" s="91"/>
    </row>
    <row r="245" spans="1:25">
      <c r="A245" s="91"/>
      <c r="B245" s="94"/>
      <c r="C245" s="94"/>
      <c r="D245" s="91"/>
      <c r="E245" s="91"/>
      <c r="F245" s="91"/>
      <c r="G245" s="91"/>
      <c r="H245" s="91"/>
      <c r="I245" s="91"/>
      <c r="J245" s="91"/>
      <c r="K245" s="91"/>
      <c r="L245" s="91"/>
      <c r="M245" s="91"/>
      <c r="N245" s="91"/>
      <c r="O245" s="91"/>
      <c r="P245" s="91"/>
      <c r="Q245" s="91"/>
      <c r="R245" s="91"/>
      <c r="S245" s="91"/>
      <c r="T245" s="91"/>
      <c r="U245" s="91"/>
      <c r="V245" s="91"/>
      <c r="W245" s="91"/>
      <c r="X245" s="91"/>
      <c r="Y245" s="91"/>
    </row>
    <row r="246" spans="1:25">
      <c r="A246" s="91"/>
      <c r="B246" s="94"/>
      <c r="C246" s="94"/>
      <c r="D246" s="91"/>
      <c r="E246" s="91"/>
      <c r="F246" s="91"/>
      <c r="G246" s="91"/>
      <c r="H246" s="91"/>
      <c r="I246" s="91"/>
      <c r="J246" s="91"/>
      <c r="K246" s="91"/>
      <c r="L246" s="91"/>
      <c r="M246" s="91"/>
      <c r="N246" s="91"/>
      <c r="O246" s="91"/>
      <c r="P246" s="91"/>
      <c r="Q246" s="91"/>
      <c r="R246" s="91"/>
      <c r="S246" s="91"/>
      <c r="T246" s="91"/>
      <c r="U246" s="91"/>
      <c r="V246" s="91"/>
      <c r="W246" s="91"/>
      <c r="X246" s="91"/>
      <c r="Y246" s="91"/>
    </row>
    <row r="247" spans="1:25">
      <c r="A247" s="91"/>
      <c r="B247" s="94"/>
      <c r="C247" s="94"/>
      <c r="D247" s="91"/>
      <c r="E247" s="91"/>
      <c r="F247" s="91"/>
      <c r="G247" s="91"/>
      <c r="H247" s="91"/>
      <c r="I247" s="91"/>
      <c r="J247" s="91"/>
      <c r="K247" s="91"/>
      <c r="L247" s="91"/>
      <c r="M247" s="91"/>
      <c r="N247" s="91"/>
      <c r="O247" s="91"/>
      <c r="P247" s="91"/>
      <c r="Q247" s="91"/>
      <c r="R247" s="91"/>
      <c r="S247" s="91"/>
      <c r="T247" s="91"/>
      <c r="U247" s="91"/>
      <c r="V247" s="91"/>
      <c r="W247" s="91"/>
      <c r="X247" s="91"/>
      <c r="Y247" s="91"/>
    </row>
    <row r="248" spans="1:25">
      <c r="A248" s="91"/>
      <c r="B248" s="94"/>
      <c r="C248" s="94"/>
      <c r="D248" s="91"/>
      <c r="E248" s="91"/>
      <c r="F248" s="91"/>
      <c r="G248" s="91"/>
      <c r="H248" s="91"/>
      <c r="I248" s="91"/>
      <c r="J248" s="91"/>
      <c r="K248" s="91"/>
      <c r="L248" s="91"/>
      <c r="M248" s="91"/>
      <c r="N248" s="91"/>
      <c r="O248" s="91"/>
      <c r="P248" s="91"/>
      <c r="Q248" s="91"/>
      <c r="R248" s="91"/>
      <c r="S248" s="91"/>
      <c r="T248" s="91"/>
      <c r="U248" s="91"/>
      <c r="V248" s="91"/>
      <c r="W248" s="91"/>
      <c r="X248" s="91"/>
      <c r="Y248" s="91"/>
    </row>
    <row r="249" spans="1:25">
      <c r="A249" s="91"/>
      <c r="B249" s="94"/>
      <c r="C249" s="94"/>
      <c r="D249" s="91"/>
      <c r="E249" s="91"/>
      <c r="F249" s="91"/>
      <c r="G249" s="91"/>
      <c r="H249" s="91"/>
      <c r="I249" s="91"/>
      <c r="J249" s="91"/>
      <c r="K249" s="91"/>
      <c r="L249" s="91"/>
      <c r="M249" s="91"/>
      <c r="N249" s="91"/>
      <c r="O249" s="91"/>
      <c r="P249" s="91"/>
      <c r="Q249" s="91"/>
      <c r="R249" s="91"/>
      <c r="S249" s="91"/>
      <c r="T249" s="91"/>
      <c r="U249" s="91"/>
      <c r="V249" s="91"/>
      <c r="W249" s="91"/>
      <c r="X249" s="91"/>
      <c r="Y249" s="91"/>
    </row>
    <row r="250" spans="1:25">
      <c r="A250" s="91"/>
      <c r="B250" s="94"/>
      <c r="C250" s="94"/>
      <c r="D250" s="91"/>
      <c r="E250" s="91"/>
      <c r="F250" s="91"/>
      <c r="G250" s="91"/>
      <c r="H250" s="91"/>
      <c r="I250" s="91"/>
      <c r="J250" s="91"/>
      <c r="K250" s="91"/>
      <c r="L250" s="91"/>
      <c r="M250" s="91"/>
      <c r="N250" s="91"/>
      <c r="O250" s="91"/>
      <c r="P250" s="91"/>
      <c r="Q250" s="91"/>
      <c r="R250" s="91"/>
      <c r="S250" s="91"/>
      <c r="T250" s="91"/>
      <c r="U250" s="91"/>
      <c r="V250" s="91"/>
      <c r="W250" s="91"/>
      <c r="X250" s="91"/>
      <c r="Y250" s="91"/>
    </row>
    <row r="251" spans="1:25">
      <c r="A251" s="91"/>
      <c r="B251" s="94"/>
      <c r="C251" s="94"/>
      <c r="D251" s="91"/>
      <c r="E251" s="91"/>
      <c r="F251" s="91"/>
      <c r="G251" s="91"/>
      <c r="H251" s="91"/>
      <c r="I251" s="91"/>
      <c r="J251" s="91"/>
      <c r="K251" s="91"/>
      <c r="L251" s="91"/>
      <c r="M251" s="91"/>
      <c r="N251" s="91"/>
      <c r="O251" s="91"/>
      <c r="P251" s="91"/>
      <c r="Q251" s="91"/>
      <c r="R251" s="91"/>
      <c r="S251" s="91"/>
      <c r="T251" s="91"/>
      <c r="U251" s="91"/>
      <c r="V251" s="91"/>
      <c r="W251" s="91"/>
      <c r="X251" s="91"/>
      <c r="Y251" s="91"/>
    </row>
    <row r="252" spans="1:25">
      <c r="A252" s="91"/>
      <c r="B252" s="94"/>
      <c r="C252" s="94"/>
      <c r="D252" s="91"/>
      <c r="E252" s="91"/>
      <c r="F252" s="91"/>
      <c r="G252" s="91"/>
      <c r="H252" s="91"/>
      <c r="I252" s="91"/>
      <c r="J252" s="91"/>
      <c r="K252" s="91"/>
      <c r="L252" s="91"/>
      <c r="M252" s="91"/>
      <c r="N252" s="91"/>
      <c r="O252" s="91"/>
      <c r="P252" s="91"/>
      <c r="Q252" s="91"/>
      <c r="R252" s="91"/>
      <c r="S252" s="91"/>
      <c r="T252" s="91"/>
      <c r="U252" s="91"/>
      <c r="V252" s="91"/>
      <c r="W252" s="91"/>
      <c r="X252" s="91"/>
      <c r="Y252" s="91"/>
    </row>
    <row r="253" spans="1:25">
      <c r="A253" s="91"/>
      <c r="B253" s="94"/>
      <c r="C253" s="94"/>
      <c r="D253" s="91"/>
      <c r="E253" s="91"/>
      <c r="F253" s="91"/>
      <c r="G253" s="91"/>
      <c r="H253" s="91"/>
      <c r="I253" s="91"/>
      <c r="J253" s="91"/>
      <c r="K253" s="91"/>
      <c r="L253" s="91"/>
      <c r="M253" s="91"/>
      <c r="N253" s="91"/>
      <c r="O253" s="91"/>
      <c r="P253" s="91"/>
      <c r="Q253" s="91"/>
      <c r="R253" s="91"/>
      <c r="S253" s="91"/>
      <c r="T253" s="91"/>
      <c r="U253" s="91"/>
      <c r="V253" s="91"/>
      <c r="W253" s="91"/>
      <c r="X253" s="91"/>
      <c r="Y253" s="91"/>
    </row>
    <row r="254" spans="1:25">
      <c r="A254" s="91"/>
      <c r="B254" s="94"/>
      <c r="C254" s="94"/>
      <c r="D254" s="91"/>
      <c r="E254" s="91"/>
      <c r="F254" s="91"/>
      <c r="G254" s="91"/>
      <c r="H254" s="91"/>
      <c r="I254" s="91"/>
      <c r="J254" s="91"/>
      <c r="K254" s="91"/>
      <c r="L254" s="91"/>
      <c r="M254" s="91"/>
      <c r="N254" s="91"/>
      <c r="O254" s="91"/>
      <c r="P254" s="91"/>
      <c r="Q254" s="91"/>
      <c r="R254" s="91"/>
      <c r="S254" s="91"/>
      <c r="T254" s="91"/>
      <c r="U254" s="91"/>
      <c r="V254" s="91"/>
      <c r="W254" s="91"/>
      <c r="X254" s="91"/>
      <c r="Y254" s="91"/>
    </row>
    <row r="255" spans="1:25">
      <c r="A255" s="91"/>
      <c r="B255" s="94"/>
      <c r="C255" s="94"/>
      <c r="D255" s="91"/>
      <c r="E255" s="91"/>
      <c r="F255" s="91"/>
      <c r="G255" s="91"/>
      <c r="H255" s="91"/>
      <c r="I255" s="91"/>
      <c r="J255" s="91"/>
      <c r="K255" s="91"/>
      <c r="L255" s="91"/>
      <c r="M255" s="91"/>
      <c r="N255" s="91"/>
      <c r="O255" s="91"/>
      <c r="P255" s="91"/>
      <c r="Q255" s="91"/>
      <c r="R255" s="91"/>
      <c r="S255" s="91"/>
      <c r="T255" s="91"/>
      <c r="U255" s="91"/>
      <c r="V255" s="91"/>
      <c r="W255" s="91"/>
      <c r="X255" s="91"/>
      <c r="Y255" s="91"/>
    </row>
    <row r="256" spans="1:25">
      <c r="A256" s="91"/>
      <c r="B256" s="94"/>
      <c r="C256" s="94"/>
      <c r="D256" s="91"/>
      <c r="E256" s="91"/>
      <c r="F256" s="91"/>
      <c r="G256" s="91"/>
      <c r="H256" s="91"/>
      <c r="I256" s="91"/>
      <c r="J256" s="91"/>
      <c r="K256" s="91"/>
      <c r="L256" s="91"/>
      <c r="M256" s="91"/>
      <c r="N256" s="91"/>
      <c r="O256" s="91"/>
      <c r="P256" s="91"/>
      <c r="Q256" s="91"/>
      <c r="R256" s="91"/>
      <c r="S256" s="91"/>
      <c r="T256" s="91"/>
      <c r="U256" s="91"/>
      <c r="V256" s="91"/>
      <c r="W256" s="91"/>
      <c r="X256" s="91"/>
      <c r="Y256" s="91"/>
    </row>
    <row r="257" spans="1:25">
      <c r="A257" s="91"/>
      <c r="B257" s="94"/>
      <c r="C257" s="94"/>
      <c r="D257" s="91"/>
      <c r="E257" s="91"/>
      <c r="F257" s="91"/>
      <c r="G257" s="91"/>
      <c r="H257" s="91"/>
      <c r="I257" s="91"/>
      <c r="J257" s="91"/>
      <c r="K257" s="91"/>
      <c r="L257" s="91"/>
      <c r="M257" s="91"/>
      <c r="N257" s="91"/>
      <c r="O257" s="91"/>
      <c r="P257" s="91"/>
      <c r="Q257" s="91"/>
      <c r="R257" s="91"/>
      <c r="S257" s="91"/>
      <c r="T257" s="91"/>
      <c r="U257" s="91"/>
      <c r="V257" s="91"/>
      <c r="W257" s="91"/>
      <c r="X257" s="91"/>
      <c r="Y257" s="91"/>
    </row>
    <row r="258" spans="1:25">
      <c r="A258" s="91"/>
      <c r="B258" s="94"/>
      <c r="C258" s="94"/>
      <c r="D258" s="91"/>
      <c r="E258" s="91"/>
      <c r="F258" s="91"/>
      <c r="G258" s="91"/>
      <c r="H258" s="91"/>
      <c r="I258" s="91"/>
      <c r="J258" s="91"/>
      <c r="K258" s="91"/>
      <c r="L258" s="91"/>
      <c r="M258" s="91"/>
      <c r="N258" s="91"/>
      <c r="O258" s="91"/>
      <c r="P258" s="91"/>
      <c r="Q258" s="91"/>
      <c r="R258" s="91"/>
      <c r="S258" s="91"/>
      <c r="T258" s="91"/>
      <c r="U258" s="91"/>
      <c r="V258" s="91"/>
      <c r="W258" s="91"/>
      <c r="X258" s="91"/>
      <c r="Y258" s="91"/>
    </row>
    <row r="259" spans="1:25">
      <c r="A259" s="91"/>
      <c r="B259" s="94"/>
      <c r="C259" s="94"/>
      <c r="D259" s="91"/>
      <c r="E259" s="91"/>
      <c r="F259" s="91"/>
      <c r="G259" s="91"/>
      <c r="H259" s="91"/>
      <c r="I259" s="91"/>
      <c r="J259" s="91"/>
      <c r="K259" s="91"/>
      <c r="L259" s="91"/>
      <c r="M259" s="91"/>
      <c r="N259" s="91"/>
      <c r="O259" s="91"/>
      <c r="P259" s="91"/>
      <c r="Q259" s="91"/>
      <c r="R259" s="91"/>
      <c r="S259" s="91"/>
      <c r="T259" s="91"/>
      <c r="U259" s="91"/>
      <c r="V259" s="91"/>
      <c r="W259" s="91"/>
      <c r="X259" s="91"/>
      <c r="Y259" s="91"/>
    </row>
    <row r="260" spans="1:25">
      <c r="A260" s="91"/>
      <c r="B260" s="94"/>
      <c r="C260" s="94"/>
      <c r="D260" s="91"/>
      <c r="E260" s="91"/>
      <c r="F260" s="91"/>
      <c r="G260" s="91"/>
      <c r="H260" s="91"/>
      <c r="I260" s="91"/>
      <c r="J260" s="91"/>
      <c r="K260" s="91"/>
      <c r="L260" s="91"/>
      <c r="M260" s="91"/>
      <c r="N260" s="91"/>
      <c r="O260" s="91"/>
      <c r="P260" s="91"/>
      <c r="Q260" s="91"/>
      <c r="R260" s="91"/>
      <c r="S260" s="91"/>
      <c r="T260" s="91"/>
      <c r="U260" s="91"/>
      <c r="V260" s="91"/>
      <c r="W260" s="91"/>
      <c r="X260" s="91"/>
      <c r="Y260" s="91"/>
    </row>
    <row r="261" spans="1:25">
      <c r="A261" s="91"/>
      <c r="B261" s="94"/>
      <c r="C261" s="94"/>
      <c r="D261" s="91"/>
      <c r="E261" s="91"/>
      <c r="F261" s="91"/>
      <c r="G261" s="91"/>
      <c r="H261" s="91"/>
      <c r="I261" s="91"/>
      <c r="J261" s="91"/>
      <c r="K261" s="91"/>
      <c r="L261" s="91"/>
      <c r="M261" s="91"/>
      <c r="N261" s="91"/>
      <c r="O261" s="91"/>
      <c r="P261" s="91"/>
      <c r="Q261" s="91"/>
      <c r="R261" s="91"/>
      <c r="S261" s="91"/>
      <c r="T261" s="91"/>
      <c r="U261" s="91"/>
      <c r="V261" s="91"/>
      <c r="W261" s="91"/>
      <c r="X261" s="91"/>
      <c r="Y261" s="91"/>
    </row>
    <row r="262" spans="1:25">
      <c r="A262" s="91"/>
      <c r="B262" s="94"/>
      <c r="C262" s="94"/>
      <c r="D262" s="91"/>
      <c r="E262" s="91"/>
      <c r="F262" s="91"/>
      <c r="G262" s="91"/>
      <c r="H262" s="91"/>
      <c r="I262" s="91"/>
      <c r="J262" s="91"/>
      <c r="K262" s="91"/>
      <c r="L262" s="91"/>
      <c r="M262" s="91"/>
      <c r="N262" s="91"/>
      <c r="O262" s="91"/>
      <c r="P262" s="91"/>
      <c r="Q262" s="91"/>
      <c r="R262" s="91"/>
      <c r="S262" s="91"/>
      <c r="T262" s="91"/>
      <c r="U262" s="91"/>
      <c r="V262" s="91"/>
      <c r="W262" s="91"/>
      <c r="X262" s="91"/>
      <c r="Y262" s="91"/>
    </row>
    <row r="263" spans="1:25">
      <c r="A263" s="91"/>
      <c r="B263" s="94"/>
      <c r="C263" s="94"/>
      <c r="D263" s="91"/>
      <c r="E263" s="91"/>
      <c r="F263" s="91"/>
      <c r="G263" s="91"/>
      <c r="H263" s="91"/>
      <c r="I263" s="91"/>
      <c r="J263" s="91"/>
      <c r="K263" s="91"/>
      <c r="L263" s="91"/>
      <c r="M263" s="91"/>
      <c r="N263" s="91"/>
      <c r="O263" s="91"/>
      <c r="P263" s="91"/>
      <c r="Q263" s="91"/>
      <c r="R263" s="91"/>
      <c r="S263" s="91"/>
      <c r="T263" s="91"/>
      <c r="U263" s="91"/>
      <c r="V263" s="91"/>
      <c r="W263" s="91"/>
      <c r="X263" s="91"/>
      <c r="Y263" s="91"/>
    </row>
    <row r="264" spans="1:25">
      <c r="A264" s="91"/>
      <c r="B264" s="94"/>
      <c r="C264" s="94"/>
      <c r="D264" s="91"/>
      <c r="E264" s="91"/>
      <c r="F264" s="91"/>
      <c r="G264" s="91"/>
      <c r="H264" s="91"/>
      <c r="I264" s="91"/>
      <c r="J264" s="91"/>
      <c r="K264" s="91"/>
      <c r="L264" s="91"/>
      <c r="M264" s="91"/>
      <c r="N264" s="91"/>
      <c r="O264" s="91"/>
      <c r="P264" s="91"/>
      <c r="Q264" s="91"/>
      <c r="R264" s="91"/>
      <c r="S264" s="91"/>
      <c r="T264" s="91"/>
      <c r="U264" s="91"/>
      <c r="V264" s="91"/>
      <c r="W264" s="91"/>
      <c r="X264" s="91"/>
      <c r="Y264" s="91"/>
    </row>
    <row r="265" spans="1:25">
      <c r="A265" s="91"/>
      <c r="B265" s="94"/>
      <c r="C265" s="94"/>
      <c r="D265" s="91"/>
      <c r="E265" s="91"/>
      <c r="F265" s="91"/>
      <c r="G265" s="91"/>
      <c r="H265" s="91"/>
      <c r="I265" s="91"/>
      <c r="J265" s="91"/>
      <c r="K265" s="91"/>
      <c r="L265" s="91"/>
      <c r="M265" s="91"/>
      <c r="N265" s="91"/>
      <c r="O265" s="91"/>
      <c r="P265" s="91"/>
      <c r="Q265" s="91"/>
      <c r="R265" s="91"/>
      <c r="S265" s="91"/>
      <c r="T265" s="91"/>
      <c r="U265" s="91"/>
      <c r="V265" s="91"/>
      <c r="W265" s="91"/>
      <c r="X265" s="91"/>
      <c r="Y265" s="91"/>
    </row>
    <row r="266" spans="1:25">
      <c r="A266" s="91"/>
      <c r="B266" s="94"/>
      <c r="C266" s="94"/>
      <c r="D266" s="91"/>
      <c r="E266" s="91"/>
      <c r="F266" s="91"/>
      <c r="G266" s="91"/>
      <c r="H266" s="91"/>
      <c r="I266" s="91"/>
      <c r="J266" s="91"/>
      <c r="K266" s="91"/>
      <c r="L266" s="91"/>
      <c r="M266" s="91"/>
      <c r="N266" s="91"/>
      <c r="O266" s="91"/>
      <c r="P266" s="91"/>
      <c r="Q266" s="91"/>
      <c r="R266" s="91"/>
      <c r="S266" s="91"/>
      <c r="T266" s="91"/>
      <c r="U266" s="91"/>
      <c r="V266" s="91"/>
      <c r="W266" s="91"/>
      <c r="X266" s="91"/>
      <c r="Y266" s="91"/>
    </row>
    <row r="267" spans="1:25">
      <c r="A267" s="91"/>
      <c r="B267" s="94"/>
      <c r="C267" s="94"/>
      <c r="D267" s="91"/>
      <c r="E267" s="91"/>
      <c r="F267" s="91"/>
      <c r="G267" s="91"/>
      <c r="H267" s="91"/>
      <c r="I267" s="91"/>
      <c r="J267" s="91"/>
      <c r="K267" s="91"/>
      <c r="L267" s="91"/>
      <c r="M267" s="91"/>
      <c r="N267" s="91"/>
      <c r="O267" s="91"/>
      <c r="P267" s="91"/>
      <c r="Q267" s="91"/>
      <c r="R267" s="91"/>
      <c r="S267" s="91"/>
      <c r="T267" s="91"/>
      <c r="U267" s="91"/>
      <c r="V267" s="91"/>
      <c r="W267" s="91"/>
      <c r="X267" s="91"/>
      <c r="Y267" s="91"/>
    </row>
    <row r="268" spans="1:25">
      <c r="A268" s="91"/>
      <c r="B268" s="94"/>
      <c r="C268" s="94"/>
      <c r="D268" s="91"/>
      <c r="E268" s="91"/>
      <c r="F268" s="91"/>
      <c r="G268" s="91"/>
      <c r="H268" s="91"/>
      <c r="I268" s="91"/>
      <c r="J268" s="91"/>
      <c r="K268" s="91"/>
      <c r="L268" s="91"/>
      <c r="M268" s="91"/>
      <c r="N268" s="91"/>
      <c r="O268" s="91"/>
      <c r="P268" s="91"/>
      <c r="Q268" s="91"/>
      <c r="R268" s="91"/>
      <c r="S268" s="91"/>
      <c r="T268" s="91"/>
      <c r="U268" s="91"/>
      <c r="V268" s="91"/>
      <c r="W268" s="91"/>
      <c r="X268" s="91"/>
      <c r="Y268" s="91"/>
    </row>
    <row r="269" spans="1:25">
      <c r="A269" s="91"/>
      <c r="B269" s="94"/>
      <c r="C269" s="94"/>
      <c r="D269" s="91"/>
      <c r="E269" s="91"/>
      <c r="F269" s="91"/>
      <c r="G269" s="91"/>
      <c r="H269" s="91"/>
      <c r="I269" s="91"/>
      <c r="J269" s="91"/>
      <c r="K269" s="91"/>
      <c r="L269" s="91"/>
      <c r="M269" s="91"/>
      <c r="N269" s="91"/>
      <c r="O269" s="91"/>
      <c r="P269" s="91"/>
      <c r="Q269" s="91"/>
      <c r="R269" s="91"/>
      <c r="S269" s="91"/>
      <c r="T269" s="91"/>
      <c r="U269" s="91"/>
      <c r="V269" s="91"/>
      <c r="W269" s="91"/>
      <c r="X269" s="91"/>
      <c r="Y269" s="91"/>
    </row>
    <row r="270" spans="1:25">
      <c r="A270" s="91"/>
      <c r="B270" s="94"/>
      <c r="C270" s="94"/>
      <c r="D270" s="91"/>
      <c r="E270" s="91"/>
      <c r="F270" s="91"/>
      <c r="G270" s="91"/>
      <c r="H270" s="91"/>
      <c r="I270" s="91"/>
      <c r="J270" s="91"/>
      <c r="K270" s="91"/>
      <c r="L270" s="91"/>
      <c r="M270" s="91"/>
      <c r="N270" s="91"/>
      <c r="O270" s="91"/>
      <c r="P270" s="91"/>
      <c r="Q270" s="91"/>
      <c r="R270" s="91"/>
      <c r="S270" s="91"/>
      <c r="T270" s="91"/>
      <c r="U270" s="91"/>
      <c r="V270" s="91"/>
      <c r="W270" s="91"/>
      <c r="X270" s="91"/>
      <c r="Y270" s="91"/>
    </row>
    <row r="271" spans="1:25">
      <c r="A271" s="91"/>
      <c r="B271" s="94"/>
      <c r="C271" s="94"/>
      <c r="D271" s="91"/>
      <c r="E271" s="91"/>
      <c r="F271" s="91"/>
      <c r="G271" s="91"/>
      <c r="H271" s="91"/>
      <c r="I271" s="91"/>
      <c r="J271" s="91"/>
      <c r="K271" s="91"/>
      <c r="L271" s="91"/>
      <c r="M271" s="91"/>
      <c r="N271" s="91"/>
      <c r="O271" s="91"/>
      <c r="P271" s="91"/>
      <c r="Q271" s="91"/>
      <c r="R271" s="91"/>
      <c r="S271" s="91"/>
      <c r="T271" s="91"/>
      <c r="U271" s="91"/>
      <c r="V271" s="91"/>
      <c r="W271" s="91"/>
      <c r="X271" s="91"/>
      <c r="Y271" s="91"/>
    </row>
    <row r="272" spans="1:25">
      <c r="A272" s="91"/>
      <c r="B272" s="94"/>
      <c r="C272" s="94"/>
      <c r="D272" s="91"/>
      <c r="E272" s="91"/>
      <c r="F272" s="91"/>
      <c r="G272" s="91"/>
      <c r="H272" s="91"/>
      <c r="I272" s="91"/>
      <c r="J272" s="91"/>
      <c r="K272" s="91"/>
      <c r="L272" s="91"/>
      <c r="M272" s="91"/>
      <c r="N272" s="91"/>
      <c r="O272" s="91"/>
      <c r="P272" s="91"/>
      <c r="Q272" s="91"/>
      <c r="R272" s="91"/>
      <c r="S272" s="91"/>
      <c r="T272" s="91"/>
      <c r="U272" s="91"/>
      <c r="V272" s="91"/>
      <c r="W272" s="91"/>
      <c r="X272" s="91"/>
      <c r="Y272" s="91"/>
    </row>
    <row r="273" spans="1:25">
      <c r="A273" s="91"/>
      <c r="B273" s="94"/>
      <c r="C273" s="94"/>
      <c r="D273" s="91"/>
      <c r="E273" s="91"/>
      <c r="F273" s="91"/>
      <c r="G273" s="91"/>
      <c r="H273" s="91"/>
      <c r="I273" s="91"/>
      <c r="J273" s="91"/>
      <c r="K273" s="91"/>
      <c r="L273" s="91"/>
      <c r="M273" s="91"/>
      <c r="N273" s="91"/>
      <c r="O273" s="91"/>
      <c r="P273" s="91"/>
      <c r="Q273" s="91"/>
      <c r="R273" s="91"/>
      <c r="S273" s="91"/>
      <c r="T273" s="91"/>
      <c r="U273" s="91"/>
      <c r="V273" s="91"/>
      <c r="W273" s="91"/>
      <c r="X273" s="91"/>
      <c r="Y273" s="91"/>
    </row>
    <row r="274" spans="1:25">
      <c r="A274" s="91"/>
      <c r="B274" s="94"/>
      <c r="C274" s="94"/>
      <c r="D274" s="91"/>
      <c r="E274" s="91"/>
      <c r="F274" s="91"/>
      <c r="G274" s="91"/>
      <c r="H274" s="91"/>
      <c r="I274" s="91"/>
      <c r="J274" s="91"/>
      <c r="K274" s="91"/>
      <c r="L274" s="91"/>
      <c r="M274" s="91"/>
      <c r="N274" s="91"/>
      <c r="O274" s="91"/>
      <c r="P274" s="91"/>
      <c r="Q274" s="91"/>
      <c r="R274" s="91"/>
      <c r="S274" s="91"/>
      <c r="T274" s="91"/>
      <c r="U274" s="91"/>
      <c r="V274" s="91"/>
      <c r="W274" s="91"/>
      <c r="X274" s="91"/>
      <c r="Y274" s="91"/>
    </row>
    <row r="275" spans="1:25">
      <c r="A275" s="91"/>
      <c r="B275" s="94"/>
      <c r="C275" s="94"/>
      <c r="D275" s="91"/>
      <c r="E275" s="91"/>
      <c r="F275" s="91"/>
      <c r="G275" s="91"/>
      <c r="H275" s="91"/>
      <c r="I275" s="91"/>
      <c r="J275" s="91"/>
      <c r="K275" s="91"/>
      <c r="L275" s="91"/>
      <c r="M275" s="91"/>
      <c r="N275" s="91"/>
      <c r="O275" s="91"/>
      <c r="P275" s="91"/>
      <c r="Q275" s="91"/>
      <c r="R275" s="91"/>
      <c r="S275" s="91"/>
      <c r="T275" s="91"/>
      <c r="U275" s="91"/>
      <c r="V275" s="91"/>
      <c r="W275" s="91"/>
      <c r="X275" s="91"/>
      <c r="Y275" s="91"/>
    </row>
    <row r="276" spans="1:25">
      <c r="A276" s="91"/>
      <c r="B276" s="94"/>
      <c r="C276" s="94"/>
      <c r="D276" s="91"/>
      <c r="E276" s="91"/>
      <c r="F276" s="91"/>
      <c r="G276" s="91"/>
      <c r="H276" s="91"/>
      <c r="I276" s="91"/>
      <c r="J276" s="91"/>
      <c r="K276" s="91"/>
      <c r="L276" s="91"/>
      <c r="M276" s="91"/>
      <c r="N276" s="91"/>
      <c r="O276" s="91"/>
      <c r="P276" s="91"/>
      <c r="Q276" s="91"/>
      <c r="R276" s="91"/>
      <c r="S276" s="91"/>
      <c r="T276" s="91"/>
      <c r="U276" s="91"/>
      <c r="V276" s="91"/>
      <c r="W276" s="91"/>
      <c r="X276" s="91"/>
      <c r="Y276" s="91"/>
    </row>
    <row r="277" spans="1:25">
      <c r="A277" s="91"/>
      <c r="B277" s="94"/>
      <c r="C277" s="94"/>
      <c r="D277" s="91"/>
      <c r="E277" s="91"/>
      <c r="F277" s="91"/>
      <c r="G277" s="91"/>
      <c r="H277" s="91"/>
      <c r="I277" s="91"/>
      <c r="J277" s="91"/>
      <c r="K277" s="91"/>
      <c r="L277" s="91"/>
      <c r="M277" s="91"/>
      <c r="N277" s="91"/>
      <c r="O277" s="91"/>
      <c r="P277" s="91"/>
      <c r="Q277" s="91"/>
      <c r="R277" s="91"/>
      <c r="S277" s="91"/>
      <c r="T277" s="91"/>
      <c r="U277" s="91"/>
      <c r="V277" s="91"/>
      <c r="W277" s="91"/>
      <c r="X277" s="91"/>
      <c r="Y277" s="91"/>
    </row>
    <row r="278" spans="1:25">
      <c r="A278" s="91"/>
      <c r="B278" s="94"/>
      <c r="C278" s="94"/>
      <c r="D278" s="91"/>
      <c r="E278" s="91"/>
      <c r="F278" s="91"/>
      <c r="G278" s="91"/>
      <c r="H278" s="91"/>
      <c r="I278" s="91"/>
      <c r="J278" s="91"/>
      <c r="K278" s="91"/>
      <c r="L278" s="91"/>
      <c r="M278" s="91"/>
      <c r="N278" s="91"/>
      <c r="O278" s="91"/>
      <c r="P278" s="91"/>
      <c r="Q278" s="91"/>
      <c r="R278" s="91"/>
      <c r="S278" s="91"/>
      <c r="T278" s="91"/>
      <c r="U278" s="91"/>
      <c r="V278" s="91"/>
      <c r="W278" s="91"/>
      <c r="X278" s="91"/>
      <c r="Y278" s="91"/>
    </row>
    <row r="279" spans="1:25">
      <c r="A279" s="91"/>
      <c r="B279" s="94"/>
      <c r="C279" s="94"/>
      <c r="D279" s="91"/>
      <c r="E279" s="91"/>
      <c r="F279" s="91"/>
      <c r="G279" s="91"/>
      <c r="H279" s="91"/>
      <c r="I279" s="91"/>
      <c r="J279" s="91"/>
      <c r="K279" s="91"/>
      <c r="L279" s="91"/>
      <c r="M279" s="91"/>
      <c r="N279" s="91"/>
      <c r="O279" s="91"/>
      <c r="P279" s="91"/>
      <c r="Q279" s="91"/>
      <c r="R279" s="91"/>
      <c r="S279" s="91"/>
      <c r="T279" s="91"/>
      <c r="U279" s="91"/>
      <c r="V279" s="91"/>
      <c r="W279" s="91"/>
      <c r="X279" s="91"/>
      <c r="Y279" s="91"/>
    </row>
    <row r="280" spans="1:25">
      <c r="A280" s="91"/>
      <c r="B280" s="94"/>
      <c r="C280" s="94"/>
      <c r="D280" s="91"/>
      <c r="E280" s="91"/>
      <c r="F280" s="91"/>
      <c r="G280" s="91"/>
      <c r="H280" s="91"/>
      <c r="I280" s="91"/>
      <c r="J280" s="91"/>
      <c r="K280" s="91"/>
      <c r="L280" s="91"/>
      <c r="M280" s="91"/>
      <c r="N280" s="91"/>
      <c r="O280" s="91"/>
      <c r="P280" s="91"/>
      <c r="Q280" s="91"/>
      <c r="R280" s="91"/>
      <c r="S280" s="91"/>
      <c r="T280" s="91"/>
      <c r="U280" s="91"/>
      <c r="V280" s="91"/>
      <c r="W280" s="91"/>
      <c r="X280" s="91"/>
      <c r="Y280" s="91"/>
    </row>
    <row r="281" spans="1:25">
      <c r="A281" s="91"/>
      <c r="B281" s="94"/>
      <c r="C281" s="94"/>
      <c r="D281" s="91"/>
      <c r="E281" s="91"/>
      <c r="F281" s="91"/>
      <c r="G281" s="91"/>
      <c r="H281" s="91"/>
      <c r="I281" s="91"/>
      <c r="J281" s="91"/>
      <c r="K281" s="91"/>
      <c r="L281" s="91"/>
      <c r="M281" s="91"/>
      <c r="N281" s="91"/>
      <c r="O281" s="91"/>
      <c r="P281" s="91"/>
      <c r="Q281" s="91"/>
      <c r="R281" s="91"/>
      <c r="S281" s="91"/>
      <c r="T281" s="91"/>
      <c r="U281" s="91"/>
      <c r="V281" s="91"/>
      <c r="W281" s="91"/>
      <c r="X281" s="91"/>
      <c r="Y281" s="91"/>
    </row>
    <row r="282" spans="1:25">
      <c r="A282" s="91"/>
      <c r="B282" s="94"/>
      <c r="C282" s="94"/>
      <c r="D282" s="91"/>
      <c r="E282" s="91"/>
      <c r="F282" s="91"/>
      <c r="G282" s="91"/>
      <c r="H282" s="91"/>
      <c r="I282" s="91"/>
      <c r="J282" s="91"/>
      <c r="K282" s="91"/>
      <c r="L282" s="91"/>
      <c r="M282" s="91"/>
      <c r="N282" s="91"/>
      <c r="O282" s="91"/>
      <c r="P282" s="91"/>
      <c r="Q282" s="91"/>
      <c r="R282" s="91"/>
      <c r="S282" s="91"/>
      <c r="T282" s="91"/>
      <c r="U282" s="91"/>
      <c r="V282" s="91"/>
      <c r="W282" s="91"/>
      <c r="X282" s="91"/>
      <c r="Y282" s="91"/>
    </row>
    <row r="283" spans="1:25">
      <c r="A283" s="91"/>
      <c r="B283" s="94"/>
      <c r="C283" s="94"/>
      <c r="D283" s="91"/>
      <c r="E283" s="91"/>
      <c r="F283" s="91"/>
      <c r="G283" s="91"/>
      <c r="H283" s="91"/>
      <c r="I283" s="91"/>
      <c r="J283" s="91"/>
      <c r="K283" s="91"/>
      <c r="L283" s="91"/>
      <c r="M283" s="91"/>
      <c r="N283" s="91"/>
      <c r="O283" s="91"/>
      <c r="P283" s="91"/>
      <c r="Q283" s="91"/>
      <c r="R283" s="91"/>
      <c r="S283" s="91"/>
      <c r="T283" s="91"/>
      <c r="U283" s="91"/>
      <c r="V283" s="91"/>
      <c r="W283" s="91"/>
      <c r="X283" s="91"/>
      <c r="Y283" s="91"/>
    </row>
    <row r="284" spans="1:25">
      <c r="A284" s="91"/>
      <c r="B284" s="94"/>
      <c r="C284" s="94"/>
      <c r="D284" s="91"/>
      <c r="E284" s="91"/>
      <c r="F284" s="91"/>
      <c r="G284" s="91"/>
      <c r="H284" s="91"/>
      <c r="I284" s="91"/>
      <c r="J284" s="91"/>
      <c r="K284" s="91"/>
      <c r="L284" s="91"/>
      <c r="M284" s="91"/>
      <c r="N284" s="91"/>
      <c r="O284" s="91"/>
      <c r="P284" s="91"/>
      <c r="Q284" s="91"/>
      <c r="R284" s="91"/>
      <c r="S284" s="91"/>
      <c r="T284" s="91"/>
      <c r="U284" s="91"/>
      <c r="V284" s="91"/>
      <c r="W284" s="91"/>
      <c r="X284" s="91"/>
      <c r="Y284" s="91"/>
    </row>
    <row r="285" spans="1:25">
      <c r="A285" s="91"/>
      <c r="B285" s="94"/>
      <c r="C285" s="94"/>
      <c r="D285" s="91"/>
      <c r="E285" s="91"/>
      <c r="F285" s="91"/>
      <c r="G285" s="91"/>
      <c r="H285" s="91"/>
      <c r="I285" s="91"/>
      <c r="J285" s="91"/>
      <c r="K285" s="91"/>
      <c r="L285" s="91"/>
      <c r="M285" s="91"/>
      <c r="N285" s="91"/>
      <c r="O285" s="91"/>
      <c r="P285" s="91"/>
      <c r="Q285" s="91"/>
      <c r="R285" s="91"/>
      <c r="S285" s="91"/>
      <c r="T285" s="91"/>
      <c r="U285" s="91"/>
      <c r="V285" s="91"/>
      <c r="W285" s="91"/>
      <c r="X285" s="91"/>
      <c r="Y285" s="91"/>
    </row>
    <row r="286" spans="1:25">
      <c r="A286" s="91"/>
      <c r="B286" s="94"/>
      <c r="C286" s="94"/>
      <c r="D286" s="91"/>
      <c r="E286" s="91"/>
      <c r="F286" s="91"/>
      <c r="G286" s="91"/>
      <c r="H286" s="91"/>
      <c r="I286" s="91"/>
      <c r="J286" s="91"/>
      <c r="K286" s="91"/>
      <c r="L286" s="91"/>
      <c r="M286" s="91"/>
      <c r="N286" s="91"/>
      <c r="O286" s="91"/>
      <c r="P286" s="91"/>
      <c r="Q286" s="91"/>
      <c r="R286" s="91"/>
      <c r="S286" s="91"/>
      <c r="T286" s="91"/>
      <c r="U286" s="91"/>
      <c r="V286" s="91"/>
      <c r="W286" s="91"/>
      <c r="X286" s="91"/>
      <c r="Y286" s="91"/>
    </row>
    <row r="287" spans="1:25">
      <c r="A287" s="91"/>
      <c r="B287" s="94"/>
      <c r="C287" s="94"/>
      <c r="D287" s="91"/>
      <c r="E287" s="91"/>
      <c r="F287" s="91"/>
      <c r="G287" s="91"/>
      <c r="H287" s="91"/>
      <c r="I287" s="91"/>
      <c r="J287" s="91"/>
      <c r="K287" s="91"/>
      <c r="L287" s="91"/>
      <c r="M287" s="91"/>
      <c r="N287" s="91"/>
      <c r="O287" s="91"/>
      <c r="P287" s="91"/>
      <c r="Q287" s="91"/>
      <c r="R287" s="91"/>
      <c r="S287" s="91"/>
      <c r="T287" s="91"/>
      <c r="U287" s="91"/>
      <c r="V287" s="91"/>
      <c r="W287" s="91"/>
      <c r="X287" s="91"/>
      <c r="Y287" s="91"/>
    </row>
    <row r="288" spans="1:25">
      <c r="A288" s="91"/>
      <c r="B288" s="94"/>
      <c r="C288" s="94"/>
      <c r="D288" s="91"/>
      <c r="E288" s="91"/>
      <c r="F288" s="91"/>
      <c r="G288" s="91"/>
      <c r="H288" s="91"/>
      <c r="I288" s="91"/>
      <c r="J288" s="91"/>
      <c r="K288" s="91"/>
      <c r="L288" s="91"/>
      <c r="M288" s="91"/>
      <c r="N288" s="91"/>
      <c r="O288" s="91"/>
      <c r="P288" s="91"/>
      <c r="Q288" s="91"/>
      <c r="R288" s="91"/>
      <c r="S288" s="91"/>
      <c r="T288" s="91"/>
      <c r="U288" s="91"/>
      <c r="V288" s="91"/>
      <c r="W288" s="91"/>
      <c r="X288" s="91"/>
      <c r="Y288" s="91"/>
    </row>
    <row r="289" spans="1:25">
      <c r="A289" s="91"/>
      <c r="B289" s="94"/>
      <c r="C289" s="94"/>
      <c r="D289" s="91"/>
      <c r="E289" s="91"/>
      <c r="F289" s="91"/>
      <c r="G289" s="91"/>
      <c r="H289" s="91"/>
      <c r="I289" s="91"/>
      <c r="J289" s="91"/>
      <c r="K289" s="91"/>
      <c r="L289" s="91"/>
      <c r="M289" s="91"/>
      <c r="N289" s="91"/>
      <c r="O289" s="91"/>
      <c r="P289" s="91"/>
      <c r="Q289" s="91"/>
      <c r="R289" s="91"/>
      <c r="S289" s="91"/>
      <c r="T289" s="91"/>
      <c r="U289" s="91"/>
      <c r="V289" s="91"/>
      <c r="W289" s="91"/>
      <c r="X289" s="91"/>
      <c r="Y289" s="91"/>
    </row>
    <row r="290" spans="1:25">
      <c r="A290" s="91"/>
      <c r="B290" s="94"/>
      <c r="C290" s="94"/>
      <c r="D290" s="91"/>
      <c r="E290" s="91"/>
      <c r="F290" s="91"/>
      <c r="G290" s="91"/>
      <c r="H290" s="91"/>
      <c r="I290" s="91"/>
      <c r="J290" s="91"/>
      <c r="K290" s="91"/>
      <c r="L290" s="91"/>
      <c r="M290" s="91"/>
      <c r="N290" s="91"/>
      <c r="O290" s="91"/>
      <c r="P290" s="91"/>
      <c r="Q290" s="91"/>
      <c r="R290" s="91"/>
      <c r="S290" s="91"/>
      <c r="T290" s="91"/>
      <c r="U290" s="91"/>
      <c r="V290" s="91"/>
      <c r="W290" s="91"/>
      <c r="X290" s="91"/>
      <c r="Y290" s="91"/>
    </row>
    <row r="291" spans="1:25">
      <c r="A291" s="91"/>
      <c r="B291" s="94"/>
      <c r="C291" s="94"/>
      <c r="D291" s="91"/>
      <c r="E291" s="91"/>
      <c r="F291" s="91"/>
      <c r="G291" s="91"/>
      <c r="H291" s="91"/>
      <c r="I291" s="91"/>
      <c r="J291" s="91"/>
      <c r="K291" s="91"/>
      <c r="L291" s="91"/>
      <c r="M291" s="91"/>
      <c r="N291" s="91"/>
      <c r="O291" s="91"/>
      <c r="P291" s="91"/>
      <c r="Q291" s="91"/>
      <c r="R291" s="91"/>
      <c r="S291" s="91"/>
      <c r="T291" s="91"/>
      <c r="U291" s="91"/>
      <c r="V291" s="91"/>
      <c r="W291" s="91"/>
      <c r="X291" s="91"/>
      <c r="Y291" s="91"/>
    </row>
    <row r="292" spans="1:25">
      <c r="A292" s="91"/>
      <c r="B292" s="94"/>
      <c r="C292" s="94"/>
      <c r="D292" s="91"/>
      <c r="E292" s="91"/>
      <c r="F292" s="91"/>
      <c r="G292" s="91"/>
      <c r="H292" s="91"/>
      <c r="I292" s="91"/>
      <c r="J292" s="91"/>
      <c r="K292" s="91"/>
      <c r="L292" s="91"/>
      <c r="M292" s="91"/>
      <c r="N292" s="91"/>
      <c r="O292" s="91"/>
      <c r="P292" s="91"/>
      <c r="Q292" s="91"/>
      <c r="R292" s="91"/>
      <c r="S292" s="91"/>
      <c r="T292" s="91"/>
      <c r="U292" s="91"/>
      <c r="V292" s="91"/>
      <c r="W292" s="91"/>
      <c r="X292" s="91"/>
      <c r="Y292" s="91"/>
    </row>
    <row r="293" spans="1:25">
      <c r="A293" s="91"/>
      <c r="B293" s="94"/>
      <c r="C293" s="94"/>
      <c r="D293" s="91"/>
      <c r="E293" s="91"/>
      <c r="F293" s="91"/>
      <c r="G293" s="91"/>
      <c r="H293" s="91"/>
      <c r="I293" s="91"/>
      <c r="J293" s="91"/>
      <c r="K293" s="91"/>
      <c r="L293" s="91"/>
      <c r="M293" s="91"/>
      <c r="N293" s="91"/>
      <c r="O293" s="91"/>
      <c r="P293" s="91"/>
      <c r="Q293" s="91"/>
      <c r="R293" s="91"/>
      <c r="S293" s="91"/>
      <c r="T293" s="91"/>
      <c r="U293" s="91"/>
      <c r="V293" s="91"/>
      <c r="W293" s="91"/>
      <c r="X293" s="91"/>
      <c r="Y293" s="91"/>
    </row>
    <row r="294" spans="1:25">
      <c r="A294" s="91"/>
      <c r="B294" s="94"/>
      <c r="C294" s="94"/>
      <c r="D294" s="91"/>
      <c r="E294" s="91"/>
      <c r="F294" s="91"/>
      <c r="G294" s="91"/>
      <c r="H294" s="91"/>
      <c r="I294" s="91"/>
      <c r="J294" s="91"/>
      <c r="K294" s="91"/>
      <c r="L294" s="91"/>
      <c r="M294" s="91"/>
      <c r="N294" s="91"/>
      <c r="O294" s="91"/>
      <c r="P294" s="91"/>
      <c r="Q294" s="91"/>
      <c r="R294" s="91"/>
      <c r="S294" s="91"/>
      <c r="T294" s="91"/>
      <c r="U294" s="91"/>
      <c r="V294" s="91"/>
      <c r="W294" s="91"/>
      <c r="X294" s="91"/>
      <c r="Y294" s="91"/>
    </row>
    <row r="295" spans="1:25">
      <c r="A295" s="91"/>
      <c r="B295" s="94"/>
      <c r="C295" s="94"/>
      <c r="D295" s="91"/>
      <c r="E295" s="91"/>
      <c r="F295" s="91"/>
      <c r="G295" s="91"/>
      <c r="H295" s="91"/>
      <c r="I295" s="91"/>
      <c r="J295" s="91"/>
      <c r="K295" s="91"/>
      <c r="L295" s="91"/>
      <c r="M295" s="91"/>
      <c r="N295" s="91"/>
      <c r="O295" s="91"/>
      <c r="P295" s="91"/>
      <c r="Q295" s="91"/>
      <c r="R295" s="91"/>
      <c r="S295" s="91"/>
      <c r="T295" s="91"/>
      <c r="U295" s="91"/>
      <c r="V295" s="91"/>
      <c r="W295" s="91"/>
      <c r="X295" s="91"/>
      <c r="Y295" s="91"/>
    </row>
    <row r="296" spans="1:25">
      <c r="A296" s="91"/>
      <c r="B296" s="94"/>
      <c r="C296" s="94"/>
      <c r="D296" s="91"/>
      <c r="E296" s="91"/>
      <c r="F296" s="91"/>
      <c r="G296" s="91"/>
      <c r="H296" s="91"/>
      <c r="I296" s="91"/>
      <c r="J296" s="91"/>
      <c r="K296" s="91"/>
      <c r="L296" s="91"/>
      <c r="M296" s="91"/>
      <c r="N296" s="91"/>
      <c r="O296" s="91"/>
      <c r="P296" s="91"/>
      <c r="Q296" s="91"/>
      <c r="R296" s="91"/>
      <c r="S296" s="91"/>
      <c r="T296" s="91"/>
      <c r="U296" s="91"/>
      <c r="V296" s="91"/>
      <c r="W296" s="91"/>
      <c r="X296" s="91"/>
      <c r="Y296" s="91"/>
    </row>
    <row r="297" spans="1:25">
      <c r="A297" s="91"/>
      <c r="B297" s="94"/>
      <c r="C297" s="94"/>
      <c r="D297" s="91"/>
      <c r="E297" s="91"/>
      <c r="F297" s="91"/>
      <c r="G297" s="91"/>
      <c r="H297" s="91"/>
      <c r="I297" s="91"/>
      <c r="J297" s="91"/>
      <c r="K297" s="91"/>
      <c r="L297" s="91"/>
      <c r="M297" s="91"/>
      <c r="N297" s="91"/>
      <c r="O297" s="91"/>
      <c r="P297" s="91"/>
      <c r="Q297" s="91"/>
      <c r="R297" s="91"/>
      <c r="S297" s="91"/>
      <c r="T297" s="91"/>
      <c r="U297" s="91"/>
      <c r="V297" s="91"/>
      <c r="W297" s="91"/>
      <c r="X297" s="91"/>
      <c r="Y297" s="91"/>
    </row>
    <row r="298" spans="1:25">
      <c r="A298" s="91"/>
      <c r="B298" s="94"/>
      <c r="C298" s="94"/>
      <c r="D298" s="91"/>
      <c r="E298" s="91"/>
      <c r="F298" s="91"/>
      <c r="G298" s="91"/>
      <c r="H298" s="91"/>
      <c r="I298" s="91"/>
      <c r="J298" s="91"/>
      <c r="K298" s="91"/>
      <c r="L298" s="91"/>
      <c r="M298" s="91"/>
      <c r="N298" s="91"/>
      <c r="O298" s="91"/>
      <c r="P298" s="91"/>
      <c r="Q298" s="91"/>
      <c r="R298" s="91"/>
      <c r="S298" s="91"/>
      <c r="T298" s="91"/>
      <c r="U298" s="91"/>
      <c r="V298" s="91"/>
      <c r="W298" s="91"/>
      <c r="X298" s="91"/>
      <c r="Y298" s="91"/>
    </row>
    <row r="299" spans="1:25">
      <c r="A299" s="91"/>
      <c r="B299" s="94"/>
      <c r="C299" s="94"/>
      <c r="D299" s="91"/>
      <c r="E299" s="91"/>
      <c r="F299" s="91"/>
      <c r="G299" s="91"/>
      <c r="H299" s="91"/>
      <c r="I299" s="91"/>
      <c r="J299" s="91"/>
      <c r="K299" s="91"/>
      <c r="L299" s="91"/>
      <c r="M299" s="91"/>
      <c r="N299" s="91"/>
      <c r="O299" s="91"/>
      <c r="P299" s="91"/>
      <c r="Q299" s="91"/>
      <c r="R299" s="91"/>
      <c r="S299" s="91"/>
      <c r="T299" s="91"/>
      <c r="U299" s="91"/>
      <c r="V299" s="91"/>
      <c r="W299" s="91"/>
      <c r="X299" s="91"/>
      <c r="Y299" s="91"/>
    </row>
    <row r="300" spans="1:25">
      <c r="A300" s="91"/>
      <c r="B300" s="94"/>
      <c r="C300" s="94"/>
      <c r="D300" s="91"/>
      <c r="E300" s="91"/>
      <c r="F300" s="91"/>
      <c r="G300" s="91"/>
      <c r="H300" s="91"/>
      <c r="I300" s="91"/>
      <c r="J300" s="91"/>
      <c r="K300" s="91"/>
      <c r="L300" s="91"/>
      <c r="M300" s="91"/>
      <c r="N300" s="91"/>
      <c r="O300" s="91"/>
      <c r="P300" s="91"/>
      <c r="Q300" s="91"/>
      <c r="R300" s="91"/>
      <c r="S300" s="91"/>
      <c r="T300" s="91"/>
      <c r="U300" s="91"/>
      <c r="V300" s="91"/>
      <c r="W300" s="91"/>
      <c r="X300" s="91"/>
      <c r="Y300" s="91"/>
    </row>
    <row r="301" spans="1:25">
      <c r="A301" s="91"/>
      <c r="B301" s="94"/>
      <c r="C301" s="94"/>
      <c r="D301" s="91"/>
      <c r="E301" s="91"/>
      <c r="F301" s="91"/>
      <c r="G301" s="91"/>
      <c r="H301" s="91"/>
      <c r="I301" s="91"/>
      <c r="J301" s="91"/>
      <c r="K301" s="91"/>
      <c r="L301" s="91"/>
      <c r="M301" s="91"/>
      <c r="N301" s="91"/>
      <c r="O301" s="91"/>
      <c r="P301" s="91"/>
      <c r="Q301" s="91"/>
      <c r="R301" s="91"/>
      <c r="S301" s="91"/>
      <c r="T301" s="91"/>
      <c r="U301" s="91"/>
      <c r="V301" s="91"/>
      <c r="W301" s="91"/>
      <c r="X301" s="91"/>
      <c r="Y301" s="91"/>
    </row>
    <row r="302" spans="1:25">
      <c r="A302" s="91"/>
      <c r="B302" s="94"/>
      <c r="C302" s="94"/>
      <c r="D302" s="91"/>
      <c r="E302" s="91"/>
      <c r="F302" s="91"/>
      <c r="G302" s="91"/>
      <c r="H302" s="91"/>
      <c r="I302" s="91"/>
      <c r="J302" s="91"/>
      <c r="K302" s="91"/>
      <c r="L302" s="91"/>
      <c r="M302" s="91"/>
      <c r="N302" s="91"/>
      <c r="O302" s="91"/>
      <c r="P302" s="91"/>
      <c r="Q302" s="91"/>
      <c r="R302" s="91"/>
      <c r="S302" s="91"/>
      <c r="T302" s="91"/>
      <c r="U302" s="91"/>
      <c r="V302" s="91"/>
      <c r="W302" s="91"/>
      <c r="X302" s="91"/>
      <c r="Y302" s="91"/>
    </row>
    <row r="303" spans="1:25">
      <c r="A303" s="91"/>
      <c r="B303" s="94"/>
      <c r="C303" s="94"/>
      <c r="D303" s="91"/>
      <c r="E303" s="91"/>
      <c r="F303" s="91"/>
      <c r="G303" s="91"/>
      <c r="H303" s="91"/>
      <c r="I303" s="91"/>
      <c r="J303" s="91"/>
      <c r="K303" s="91"/>
      <c r="L303" s="91"/>
      <c r="M303" s="91"/>
      <c r="N303" s="91"/>
      <c r="O303" s="91"/>
      <c r="P303" s="91"/>
      <c r="Q303" s="91"/>
      <c r="R303" s="91"/>
      <c r="S303" s="91"/>
      <c r="T303" s="91"/>
      <c r="U303" s="91"/>
      <c r="V303" s="91"/>
      <c r="W303" s="91"/>
      <c r="X303" s="91"/>
      <c r="Y303" s="91"/>
    </row>
    <row r="304" spans="1:25">
      <c r="A304" s="91"/>
      <c r="B304" s="94"/>
      <c r="C304" s="94"/>
      <c r="D304" s="91"/>
      <c r="E304" s="91"/>
      <c r="F304" s="91"/>
      <c r="G304" s="91"/>
      <c r="H304" s="91"/>
      <c r="I304" s="91"/>
      <c r="J304" s="91"/>
      <c r="K304" s="91"/>
      <c r="L304" s="91"/>
      <c r="M304" s="91"/>
      <c r="N304" s="91"/>
      <c r="O304" s="91"/>
      <c r="P304" s="91"/>
      <c r="Q304" s="91"/>
      <c r="R304" s="91"/>
      <c r="S304" s="91"/>
      <c r="T304" s="91"/>
      <c r="U304" s="91"/>
      <c r="V304" s="91"/>
      <c r="W304" s="91"/>
      <c r="X304" s="91"/>
      <c r="Y304" s="91"/>
    </row>
    <row r="305" spans="1:25">
      <c r="A305" s="91"/>
      <c r="B305" s="94"/>
      <c r="C305" s="94"/>
      <c r="D305" s="91"/>
      <c r="E305" s="91"/>
      <c r="F305" s="91"/>
      <c r="G305" s="91"/>
      <c r="H305" s="91"/>
      <c r="I305" s="91"/>
      <c r="J305" s="91"/>
      <c r="K305" s="91"/>
      <c r="L305" s="91"/>
      <c r="M305" s="91"/>
      <c r="N305" s="91"/>
      <c r="O305" s="91"/>
      <c r="P305" s="91"/>
      <c r="Q305" s="91"/>
      <c r="R305" s="91"/>
      <c r="S305" s="91"/>
      <c r="T305" s="91"/>
      <c r="U305" s="91"/>
      <c r="V305" s="91"/>
      <c r="W305" s="91"/>
      <c r="X305" s="91"/>
      <c r="Y305" s="91"/>
    </row>
    <row r="306" spans="1:25">
      <c r="A306" s="91"/>
      <c r="B306" s="94"/>
      <c r="C306" s="94"/>
      <c r="D306" s="91"/>
      <c r="E306" s="91"/>
      <c r="F306" s="91"/>
      <c r="G306" s="91"/>
      <c r="H306" s="91"/>
      <c r="I306" s="91"/>
      <c r="J306" s="91"/>
      <c r="K306" s="91"/>
      <c r="L306" s="91"/>
      <c r="M306" s="91"/>
      <c r="N306" s="91"/>
      <c r="O306" s="91"/>
      <c r="P306" s="91"/>
      <c r="Q306" s="91"/>
      <c r="R306" s="91"/>
      <c r="S306" s="91"/>
      <c r="T306" s="91"/>
      <c r="U306" s="91"/>
      <c r="V306" s="91"/>
      <c r="W306" s="91"/>
      <c r="X306" s="91"/>
      <c r="Y306" s="91"/>
    </row>
    <row r="307" spans="1:25">
      <c r="A307" s="91"/>
      <c r="B307" s="94"/>
      <c r="C307" s="94"/>
      <c r="D307" s="91"/>
      <c r="E307" s="91"/>
      <c r="F307" s="91"/>
      <c r="G307" s="91"/>
      <c r="H307" s="91"/>
      <c r="I307" s="91"/>
      <c r="J307" s="91"/>
      <c r="K307" s="91"/>
      <c r="L307" s="91"/>
      <c r="M307" s="91"/>
      <c r="N307" s="91"/>
      <c r="O307" s="91"/>
      <c r="P307" s="91"/>
      <c r="Q307" s="91"/>
      <c r="R307" s="91"/>
      <c r="S307" s="91"/>
      <c r="T307" s="91"/>
      <c r="U307" s="91"/>
      <c r="V307" s="91"/>
      <c r="W307" s="91"/>
      <c r="X307" s="91"/>
      <c r="Y307" s="91"/>
    </row>
    <row r="308" spans="1:25">
      <c r="A308" s="91"/>
      <c r="B308" s="94"/>
      <c r="C308" s="94"/>
      <c r="D308" s="91"/>
      <c r="E308" s="91"/>
      <c r="F308" s="91"/>
      <c r="G308" s="91"/>
      <c r="H308" s="91"/>
      <c r="I308" s="91"/>
      <c r="J308" s="91"/>
      <c r="K308" s="91"/>
      <c r="L308" s="91"/>
      <c r="M308" s="91"/>
      <c r="N308" s="91"/>
      <c r="O308" s="91"/>
      <c r="P308" s="91"/>
      <c r="Q308" s="91"/>
      <c r="R308" s="91"/>
      <c r="S308" s="91"/>
      <c r="T308" s="91"/>
      <c r="U308" s="91"/>
      <c r="V308" s="91"/>
      <c r="W308" s="91"/>
      <c r="X308" s="91"/>
      <c r="Y308" s="91"/>
    </row>
    <row r="309" spans="1:25">
      <c r="A309" s="91"/>
      <c r="B309" s="94"/>
      <c r="C309" s="94"/>
      <c r="D309" s="91"/>
      <c r="E309" s="91"/>
      <c r="F309" s="91"/>
      <c r="G309" s="91"/>
      <c r="H309" s="91"/>
      <c r="I309" s="91"/>
      <c r="J309" s="91"/>
      <c r="K309" s="91"/>
      <c r="L309" s="91"/>
      <c r="M309" s="91"/>
      <c r="N309" s="91"/>
      <c r="O309" s="91"/>
      <c r="P309" s="91"/>
      <c r="Q309" s="91"/>
      <c r="R309" s="91"/>
      <c r="S309" s="91"/>
      <c r="T309" s="91"/>
      <c r="U309" s="91"/>
      <c r="V309" s="91"/>
      <c r="W309" s="91"/>
      <c r="X309" s="91"/>
      <c r="Y309" s="91"/>
    </row>
    <row r="310" spans="1:25">
      <c r="A310" s="91"/>
      <c r="B310" s="94"/>
      <c r="C310" s="94"/>
      <c r="D310" s="91"/>
      <c r="E310" s="91"/>
      <c r="F310" s="91"/>
      <c r="G310" s="91"/>
      <c r="H310" s="91"/>
      <c r="I310" s="91"/>
      <c r="J310" s="91"/>
      <c r="K310" s="91"/>
      <c r="L310" s="91"/>
      <c r="M310" s="91"/>
      <c r="N310" s="91"/>
      <c r="O310" s="91"/>
      <c r="P310" s="91"/>
      <c r="Q310" s="91"/>
      <c r="R310" s="91"/>
      <c r="S310" s="91"/>
      <c r="T310" s="91"/>
      <c r="U310" s="91"/>
      <c r="V310" s="91"/>
      <c r="W310" s="91"/>
      <c r="X310" s="91"/>
      <c r="Y310" s="91"/>
    </row>
    <row r="311" spans="1:25">
      <c r="A311" s="91"/>
      <c r="B311" s="94"/>
      <c r="C311" s="94"/>
      <c r="D311" s="91"/>
      <c r="E311" s="91"/>
      <c r="F311" s="91"/>
      <c r="G311" s="91"/>
      <c r="H311" s="91"/>
      <c r="I311" s="91"/>
      <c r="J311" s="91"/>
      <c r="K311" s="91"/>
      <c r="L311" s="91"/>
      <c r="M311" s="91"/>
      <c r="N311" s="91"/>
      <c r="O311" s="91"/>
      <c r="P311" s="91"/>
      <c r="Q311" s="91"/>
      <c r="R311" s="91"/>
      <c r="S311" s="91"/>
      <c r="T311" s="91"/>
      <c r="U311" s="91"/>
      <c r="V311" s="91"/>
      <c r="W311" s="91"/>
      <c r="X311" s="91"/>
      <c r="Y311" s="91"/>
    </row>
    <row r="312" spans="1:25">
      <c r="A312" s="91"/>
      <c r="B312" s="94"/>
      <c r="C312" s="94"/>
      <c r="D312" s="91"/>
      <c r="E312" s="91"/>
      <c r="F312" s="91"/>
      <c r="G312" s="91"/>
      <c r="H312" s="91"/>
      <c r="I312" s="91"/>
      <c r="J312" s="91"/>
      <c r="K312" s="91"/>
      <c r="L312" s="91"/>
      <c r="M312" s="91"/>
      <c r="N312" s="91"/>
      <c r="O312" s="91"/>
      <c r="P312" s="91"/>
      <c r="Q312" s="91"/>
      <c r="R312" s="91"/>
      <c r="S312" s="91"/>
      <c r="T312" s="91"/>
      <c r="U312" s="91"/>
      <c r="V312" s="91"/>
      <c r="W312" s="91"/>
      <c r="X312" s="91"/>
      <c r="Y312" s="91"/>
    </row>
    <row r="313" spans="1:25">
      <c r="A313" s="91"/>
      <c r="B313" s="94"/>
      <c r="C313" s="94"/>
      <c r="D313" s="91"/>
      <c r="E313" s="91"/>
      <c r="F313" s="91"/>
      <c r="G313" s="91"/>
      <c r="H313" s="91"/>
      <c r="I313" s="91"/>
      <c r="J313" s="91"/>
      <c r="K313" s="91"/>
      <c r="L313" s="91"/>
      <c r="M313" s="91"/>
      <c r="N313" s="91"/>
      <c r="O313" s="91"/>
      <c r="P313" s="91"/>
      <c r="Q313" s="91"/>
      <c r="R313" s="91"/>
      <c r="S313" s="91"/>
      <c r="T313" s="91"/>
      <c r="U313" s="91"/>
      <c r="V313" s="91"/>
      <c r="W313" s="91"/>
      <c r="X313" s="91"/>
      <c r="Y313" s="91"/>
    </row>
    <row r="314" spans="1:25">
      <c r="A314" s="91"/>
      <c r="B314" s="94"/>
      <c r="C314" s="94"/>
      <c r="D314" s="91"/>
      <c r="E314" s="91"/>
      <c r="F314" s="91"/>
      <c r="G314" s="91"/>
      <c r="H314" s="91"/>
      <c r="I314" s="91"/>
      <c r="J314" s="91"/>
      <c r="K314" s="91"/>
      <c r="L314" s="91"/>
      <c r="M314" s="91"/>
      <c r="N314" s="91"/>
      <c r="O314" s="91"/>
      <c r="P314" s="91"/>
      <c r="Q314" s="91"/>
      <c r="R314" s="91"/>
      <c r="S314" s="91"/>
      <c r="T314" s="91"/>
      <c r="U314" s="91"/>
      <c r="V314" s="91"/>
      <c r="W314" s="91"/>
      <c r="X314" s="91"/>
      <c r="Y314" s="91"/>
    </row>
    <row r="315" spans="1:25">
      <c r="A315" s="91"/>
      <c r="B315" s="94"/>
      <c r="C315" s="94"/>
      <c r="D315" s="91"/>
      <c r="E315" s="91"/>
      <c r="F315" s="91"/>
      <c r="G315" s="91"/>
      <c r="H315" s="91"/>
      <c r="I315" s="91"/>
      <c r="J315" s="91"/>
      <c r="K315" s="91"/>
      <c r="L315" s="91"/>
      <c r="M315" s="91"/>
      <c r="N315" s="91"/>
      <c r="O315" s="91"/>
      <c r="P315" s="91"/>
      <c r="Q315" s="91"/>
      <c r="R315" s="91"/>
      <c r="S315" s="91"/>
      <c r="T315" s="91"/>
      <c r="U315" s="91"/>
      <c r="V315" s="91"/>
      <c r="W315" s="91"/>
      <c r="X315" s="91"/>
      <c r="Y315" s="91"/>
    </row>
    <row r="316" spans="1:25">
      <c r="A316" s="91"/>
      <c r="B316" s="94"/>
      <c r="C316" s="94"/>
      <c r="D316" s="91"/>
      <c r="E316" s="91"/>
      <c r="F316" s="91"/>
      <c r="G316" s="91"/>
      <c r="H316" s="91"/>
      <c r="I316" s="91"/>
      <c r="J316" s="91"/>
      <c r="K316" s="91"/>
      <c r="L316" s="91"/>
      <c r="M316" s="91"/>
      <c r="N316" s="91"/>
      <c r="O316" s="91"/>
      <c r="P316" s="91"/>
      <c r="Q316" s="91"/>
      <c r="R316" s="91"/>
      <c r="S316" s="91"/>
      <c r="T316" s="91"/>
      <c r="U316" s="91"/>
      <c r="V316" s="91"/>
      <c r="W316" s="91"/>
      <c r="X316" s="91"/>
      <c r="Y316" s="91"/>
    </row>
    <row r="317" spans="1:25">
      <c r="A317" s="91"/>
      <c r="B317" s="94"/>
      <c r="C317" s="94"/>
      <c r="D317" s="91"/>
      <c r="E317" s="91"/>
      <c r="F317" s="91"/>
      <c r="G317" s="91"/>
      <c r="H317" s="91"/>
      <c r="I317" s="91"/>
      <c r="J317" s="91"/>
      <c r="K317" s="91"/>
      <c r="L317" s="91"/>
      <c r="M317" s="91"/>
      <c r="N317" s="91"/>
      <c r="O317" s="91"/>
      <c r="P317" s="91"/>
      <c r="Q317" s="91"/>
      <c r="R317" s="91"/>
      <c r="S317" s="91"/>
      <c r="T317" s="91"/>
      <c r="U317" s="91"/>
      <c r="V317" s="91"/>
      <c r="W317" s="91"/>
      <c r="X317" s="91"/>
      <c r="Y317" s="91"/>
    </row>
    <row r="318" spans="1:25">
      <c r="A318" s="91"/>
      <c r="B318" s="94"/>
      <c r="C318" s="94"/>
      <c r="D318" s="91"/>
      <c r="E318" s="91"/>
      <c r="F318" s="91"/>
      <c r="G318" s="91"/>
      <c r="H318" s="91"/>
      <c r="I318" s="91"/>
      <c r="J318" s="91"/>
      <c r="K318" s="91"/>
      <c r="L318" s="91"/>
      <c r="M318" s="91"/>
      <c r="N318" s="91"/>
      <c r="O318" s="91"/>
      <c r="P318" s="91"/>
      <c r="Q318" s="91"/>
      <c r="R318" s="91"/>
      <c r="S318" s="91"/>
      <c r="T318" s="91"/>
      <c r="U318" s="91"/>
      <c r="V318" s="91"/>
      <c r="W318" s="91"/>
      <c r="X318" s="91"/>
      <c r="Y318" s="91"/>
    </row>
    <row r="319" spans="1:25">
      <c r="A319" s="91"/>
      <c r="B319" s="94"/>
      <c r="C319" s="94"/>
      <c r="D319" s="91"/>
      <c r="E319" s="91"/>
      <c r="F319" s="91"/>
      <c r="G319" s="91"/>
      <c r="H319" s="91"/>
      <c r="I319" s="91"/>
      <c r="J319" s="91"/>
      <c r="K319" s="91"/>
      <c r="L319" s="91"/>
      <c r="M319" s="91"/>
      <c r="N319" s="91"/>
      <c r="O319" s="91"/>
      <c r="P319" s="91"/>
      <c r="Q319" s="91"/>
      <c r="R319" s="91"/>
      <c r="S319" s="91"/>
      <c r="T319" s="91"/>
      <c r="U319" s="91"/>
      <c r="V319" s="91"/>
      <c r="W319" s="91"/>
      <c r="X319" s="91"/>
      <c r="Y319" s="91"/>
    </row>
    <row r="320" spans="1:25">
      <c r="A320" s="91"/>
      <c r="B320" s="94"/>
      <c r="C320" s="94"/>
      <c r="D320" s="91"/>
      <c r="E320" s="91"/>
      <c r="F320" s="91"/>
      <c r="G320" s="91"/>
      <c r="H320" s="91"/>
      <c r="I320" s="91"/>
      <c r="J320" s="91"/>
      <c r="K320" s="91"/>
      <c r="L320" s="91"/>
      <c r="M320" s="91"/>
      <c r="N320" s="91"/>
      <c r="O320" s="91"/>
      <c r="P320" s="91"/>
      <c r="Q320" s="91"/>
      <c r="R320" s="91"/>
      <c r="S320" s="91"/>
      <c r="T320" s="91"/>
      <c r="U320" s="91"/>
      <c r="V320" s="91"/>
      <c r="W320" s="91"/>
      <c r="X320" s="91"/>
      <c r="Y320" s="91"/>
    </row>
    <row r="321" spans="1:25">
      <c r="A321" s="91"/>
      <c r="B321" s="94"/>
      <c r="C321" s="94"/>
      <c r="D321" s="91"/>
      <c r="E321" s="91"/>
      <c r="F321" s="91"/>
      <c r="G321" s="91"/>
      <c r="H321" s="91"/>
      <c r="I321" s="91"/>
      <c r="J321" s="91"/>
      <c r="K321" s="91"/>
      <c r="L321" s="91"/>
      <c r="M321" s="91"/>
      <c r="N321" s="91"/>
      <c r="O321" s="91"/>
      <c r="P321" s="91"/>
      <c r="Q321" s="91"/>
      <c r="R321" s="91"/>
      <c r="S321" s="91"/>
      <c r="T321" s="91"/>
      <c r="U321" s="91"/>
      <c r="V321" s="91"/>
      <c r="W321" s="91"/>
      <c r="X321" s="91"/>
      <c r="Y321" s="91"/>
    </row>
    <row r="322" spans="1:25">
      <c r="A322" s="91"/>
      <c r="B322" s="94"/>
      <c r="C322" s="94"/>
      <c r="D322" s="91"/>
      <c r="E322" s="91"/>
      <c r="F322" s="91"/>
      <c r="G322" s="91"/>
      <c r="H322" s="91"/>
      <c r="I322" s="91"/>
      <c r="J322" s="91"/>
      <c r="K322" s="91"/>
      <c r="L322" s="91"/>
      <c r="M322" s="91"/>
      <c r="N322" s="91"/>
      <c r="O322" s="91"/>
      <c r="P322" s="91"/>
      <c r="Q322" s="91"/>
      <c r="R322" s="91"/>
      <c r="S322" s="91"/>
      <c r="T322" s="91"/>
      <c r="U322" s="91"/>
      <c r="V322" s="91"/>
      <c r="W322" s="91"/>
      <c r="X322" s="91"/>
      <c r="Y322" s="91"/>
    </row>
    <row r="323" spans="1:25">
      <c r="A323" s="91"/>
      <c r="B323" s="94"/>
      <c r="C323" s="94"/>
      <c r="D323" s="91"/>
      <c r="E323" s="91"/>
      <c r="F323" s="91"/>
      <c r="G323" s="91"/>
      <c r="H323" s="91"/>
      <c r="I323" s="91"/>
      <c r="J323" s="91"/>
      <c r="K323" s="91"/>
      <c r="L323" s="91"/>
      <c r="M323" s="91"/>
      <c r="N323" s="91"/>
      <c r="O323" s="91"/>
      <c r="P323" s="91"/>
      <c r="Q323" s="91"/>
      <c r="R323" s="91"/>
      <c r="S323" s="91"/>
      <c r="T323" s="91"/>
      <c r="U323" s="91"/>
      <c r="V323" s="91"/>
      <c r="W323" s="91"/>
      <c r="X323" s="91"/>
      <c r="Y323" s="91"/>
    </row>
    <row r="324" spans="1:25">
      <c r="A324" s="91"/>
      <c r="B324" s="94"/>
      <c r="C324" s="94"/>
      <c r="D324" s="91"/>
      <c r="E324" s="91"/>
      <c r="F324" s="91"/>
      <c r="G324" s="91"/>
      <c r="H324" s="91"/>
      <c r="I324" s="91"/>
      <c r="J324" s="91"/>
      <c r="K324" s="91"/>
      <c r="L324" s="91"/>
      <c r="M324" s="91"/>
      <c r="N324" s="91"/>
      <c r="O324" s="91"/>
      <c r="P324" s="91"/>
      <c r="Q324" s="91"/>
      <c r="R324" s="91"/>
      <c r="S324" s="91"/>
      <c r="T324" s="91"/>
      <c r="U324" s="91"/>
      <c r="V324" s="91"/>
      <c r="W324" s="91"/>
      <c r="X324" s="91"/>
      <c r="Y324" s="91"/>
    </row>
    <row r="325" spans="1:25">
      <c r="A325" s="91"/>
      <c r="B325" s="94"/>
      <c r="C325" s="94"/>
      <c r="D325" s="91"/>
      <c r="E325" s="91"/>
      <c r="F325" s="91"/>
      <c r="G325" s="91"/>
      <c r="H325" s="91"/>
      <c r="I325" s="91"/>
      <c r="J325" s="91"/>
      <c r="K325" s="91"/>
      <c r="L325" s="91"/>
      <c r="M325" s="91"/>
      <c r="N325" s="91"/>
      <c r="O325" s="91"/>
      <c r="P325" s="91"/>
      <c r="Q325" s="91"/>
      <c r="R325" s="91"/>
      <c r="S325" s="91"/>
      <c r="T325" s="91"/>
      <c r="U325" s="91"/>
      <c r="V325" s="91"/>
      <c r="W325" s="91"/>
      <c r="X325" s="91"/>
      <c r="Y325" s="91"/>
    </row>
    <row r="326" spans="1:25">
      <c r="A326" s="91"/>
      <c r="B326" s="94"/>
      <c r="C326" s="94"/>
      <c r="D326" s="91"/>
      <c r="E326" s="91"/>
      <c r="F326" s="91"/>
      <c r="G326" s="91"/>
      <c r="H326" s="91"/>
      <c r="I326" s="91"/>
      <c r="J326" s="91"/>
      <c r="K326" s="91"/>
      <c r="L326" s="91"/>
      <c r="M326" s="91"/>
      <c r="N326" s="91"/>
      <c r="O326" s="91"/>
      <c r="P326" s="91"/>
      <c r="Q326" s="91"/>
      <c r="R326" s="91"/>
      <c r="S326" s="91"/>
      <c r="T326" s="91"/>
      <c r="U326" s="91"/>
      <c r="V326" s="91"/>
      <c r="W326" s="91"/>
      <c r="X326" s="91"/>
      <c r="Y326" s="91"/>
    </row>
    <row r="327" spans="1:25">
      <c r="A327" s="91"/>
      <c r="B327" s="94"/>
      <c r="C327" s="94"/>
      <c r="D327" s="91"/>
      <c r="E327" s="91"/>
      <c r="F327" s="91"/>
      <c r="G327" s="91"/>
      <c r="H327" s="91"/>
      <c r="I327" s="91"/>
      <c r="J327" s="91"/>
      <c r="K327" s="91"/>
      <c r="L327" s="91"/>
      <c r="M327" s="91"/>
      <c r="N327" s="91"/>
      <c r="O327" s="91"/>
      <c r="P327" s="91"/>
      <c r="Q327" s="91"/>
      <c r="R327" s="91"/>
      <c r="S327" s="91"/>
      <c r="T327" s="91"/>
      <c r="U327" s="91"/>
      <c r="V327" s="91"/>
      <c r="W327" s="91"/>
      <c r="X327" s="91"/>
      <c r="Y327" s="91"/>
    </row>
    <row r="328" spans="1:25">
      <c r="A328" s="91"/>
      <c r="B328" s="94"/>
      <c r="C328" s="94"/>
      <c r="D328" s="91"/>
      <c r="E328" s="91"/>
      <c r="F328" s="91"/>
      <c r="G328" s="91"/>
      <c r="H328" s="91"/>
      <c r="I328" s="91"/>
      <c r="J328" s="91"/>
      <c r="K328" s="91"/>
      <c r="L328" s="91"/>
      <c r="M328" s="91"/>
      <c r="N328" s="91"/>
      <c r="O328" s="91"/>
      <c r="P328" s="91"/>
      <c r="Q328" s="91"/>
      <c r="R328" s="91"/>
      <c r="S328" s="91"/>
      <c r="T328" s="91"/>
      <c r="U328" s="91"/>
      <c r="V328" s="91"/>
      <c r="W328" s="91"/>
      <c r="X328" s="91"/>
      <c r="Y328" s="91"/>
    </row>
    <row r="329" spans="1:25">
      <c r="A329" s="91"/>
      <c r="B329" s="94"/>
      <c r="C329" s="94"/>
      <c r="D329" s="91"/>
      <c r="E329" s="91"/>
      <c r="F329" s="91"/>
      <c r="G329" s="91"/>
      <c r="H329" s="91"/>
      <c r="I329" s="91"/>
      <c r="J329" s="91"/>
      <c r="K329" s="91"/>
      <c r="L329" s="91"/>
      <c r="M329" s="91"/>
      <c r="N329" s="91"/>
      <c r="O329" s="91"/>
      <c r="P329" s="91"/>
      <c r="Q329" s="91"/>
      <c r="R329" s="91"/>
      <c r="S329" s="91"/>
      <c r="T329" s="91"/>
      <c r="U329" s="91"/>
      <c r="V329" s="91"/>
      <c r="W329" s="91"/>
      <c r="X329" s="91"/>
      <c r="Y329" s="91"/>
    </row>
    <row r="330" spans="1:25">
      <c r="A330" s="91"/>
      <c r="B330" s="94"/>
      <c r="C330" s="94"/>
      <c r="D330" s="91"/>
      <c r="E330" s="91"/>
      <c r="F330" s="91"/>
      <c r="G330" s="91"/>
      <c r="H330" s="91"/>
      <c r="I330" s="91"/>
      <c r="J330" s="91"/>
      <c r="K330" s="91"/>
      <c r="L330" s="91"/>
      <c r="M330" s="91"/>
      <c r="N330" s="91"/>
      <c r="O330" s="91"/>
      <c r="P330" s="91"/>
      <c r="Q330" s="91"/>
      <c r="R330" s="91"/>
      <c r="S330" s="91"/>
      <c r="T330" s="91"/>
      <c r="U330" s="91"/>
      <c r="V330" s="91"/>
      <c r="W330" s="91"/>
      <c r="X330" s="91"/>
      <c r="Y330" s="91"/>
    </row>
    <row r="331" spans="1:25">
      <c r="A331" s="91"/>
      <c r="B331" s="94"/>
      <c r="C331" s="94"/>
      <c r="D331" s="91"/>
      <c r="E331" s="91"/>
      <c r="F331" s="91"/>
      <c r="G331" s="91"/>
      <c r="H331" s="91"/>
      <c r="I331" s="91"/>
      <c r="J331" s="91"/>
      <c r="K331" s="91"/>
      <c r="L331" s="91"/>
      <c r="M331" s="91"/>
      <c r="N331" s="91"/>
      <c r="O331" s="91"/>
      <c r="P331" s="91"/>
      <c r="Q331" s="91"/>
      <c r="R331" s="91"/>
      <c r="S331" s="91"/>
      <c r="T331" s="91"/>
      <c r="U331" s="91"/>
      <c r="V331" s="91"/>
      <c r="W331" s="91"/>
      <c r="X331" s="91"/>
      <c r="Y331" s="91"/>
    </row>
    <row r="332" spans="1:25">
      <c r="A332" s="91"/>
      <c r="B332" s="94"/>
      <c r="C332" s="94"/>
      <c r="D332" s="91"/>
      <c r="E332" s="91"/>
      <c r="F332" s="91"/>
      <c r="G332" s="91"/>
      <c r="H332" s="91"/>
      <c r="I332" s="91"/>
      <c r="J332" s="91"/>
      <c r="K332" s="91"/>
      <c r="L332" s="91"/>
      <c r="M332" s="91"/>
      <c r="N332" s="91"/>
      <c r="O332" s="91"/>
      <c r="P332" s="91"/>
      <c r="Q332" s="91"/>
      <c r="R332" s="91"/>
      <c r="S332" s="91"/>
      <c r="T332" s="91"/>
      <c r="U332" s="91"/>
      <c r="V332" s="91"/>
      <c r="W332" s="91"/>
      <c r="X332" s="91"/>
      <c r="Y332" s="91"/>
    </row>
    <row r="333" spans="1:25">
      <c r="A333" s="91"/>
      <c r="B333" s="94"/>
      <c r="C333" s="94"/>
      <c r="D333" s="91"/>
      <c r="E333" s="91"/>
      <c r="F333" s="91"/>
      <c r="G333" s="91"/>
      <c r="H333" s="91"/>
      <c r="I333" s="91"/>
      <c r="J333" s="91"/>
      <c r="K333" s="91"/>
      <c r="L333" s="91"/>
      <c r="M333" s="91"/>
      <c r="N333" s="91"/>
      <c r="O333" s="91"/>
      <c r="P333" s="91"/>
      <c r="Q333" s="91"/>
      <c r="R333" s="91"/>
      <c r="S333" s="91"/>
      <c r="T333" s="91"/>
      <c r="U333" s="91"/>
      <c r="V333" s="91"/>
      <c r="W333" s="91"/>
      <c r="X333" s="91"/>
      <c r="Y333" s="91"/>
    </row>
    <row r="334" spans="1:25">
      <c r="A334" s="91"/>
      <c r="B334" s="94"/>
      <c r="C334" s="94"/>
      <c r="D334" s="91"/>
      <c r="E334" s="91"/>
      <c r="F334" s="91"/>
      <c r="G334" s="91"/>
      <c r="H334" s="91"/>
      <c r="I334" s="91"/>
      <c r="J334" s="91"/>
      <c r="K334" s="91"/>
      <c r="L334" s="91"/>
      <c r="M334" s="91"/>
      <c r="N334" s="91"/>
      <c r="O334" s="91"/>
      <c r="P334" s="91"/>
      <c r="Q334" s="91"/>
      <c r="R334" s="91"/>
      <c r="S334" s="91"/>
      <c r="T334" s="91"/>
      <c r="U334" s="91"/>
      <c r="V334" s="91"/>
      <c r="W334" s="91"/>
      <c r="X334" s="91"/>
      <c r="Y334" s="91"/>
    </row>
    <row r="335" spans="1:25">
      <c r="A335" s="91"/>
      <c r="B335" s="94"/>
      <c r="C335" s="94"/>
      <c r="D335" s="91"/>
      <c r="E335" s="91"/>
      <c r="F335" s="91"/>
      <c r="G335" s="91"/>
      <c r="H335" s="91"/>
      <c r="I335" s="91"/>
      <c r="J335" s="91"/>
      <c r="K335" s="91"/>
      <c r="L335" s="91"/>
      <c r="M335" s="91"/>
      <c r="N335" s="91"/>
      <c r="O335" s="91"/>
      <c r="P335" s="91"/>
      <c r="Q335" s="91"/>
      <c r="R335" s="91"/>
      <c r="S335" s="91"/>
      <c r="T335" s="91"/>
      <c r="U335" s="91"/>
      <c r="V335" s="91"/>
      <c r="W335" s="91"/>
      <c r="X335" s="91"/>
      <c r="Y335" s="91"/>
    </row>
    <row r="336" spans="1:25">
      <c r="A336" s="91"/>
      <c r="B336" s="94"/>
      <c r="C336" s="94"/>
      <c r="D336" s="91"/>
      <c r="E336" s="91"/>
      <c r="F336" s="91"/>
      <c r="G336" s="91"/>
      <c r="H336" s="91"/>
      <c r="I336" s="91"/>
      <c r="J336" s="91"/>
      <c r="K336" s="91"/>
      <c r="L336" s="91"/>
      <c r="M336" s="91"/>
      <c r="N336" s="91"/>
      <c r="O336" s="91"/>
      <c r="P336" s="91"/>
      <c r="Q336" s="91"/>
      <c r="R336" s="91"/>
      <c r="S336" s="91"/>
      <c r="T336" s="91"/>
      <c r="U336" s="91"/>
      <c r="V336" s="91"/>
      <c r="W336" s="91"/>
      <c r="X336" s="91"/>
      <c r="Y336" s="91"/>
    </row>
    <row r="337" spans="1:25">
      <c r="A337" s="91"/>
      <c r="B337" s="94"/>
      <c r="C337" s="94"/>
      <c r="D337" s="91"/>
      <c r="E337" s="91"/>
      <c r="F337" s="91"/>
      <c r="G337" s="91"/>
      <c r="H337" s="91"/>
      <c r="I337" s="91"/>
      <c r="J337" s="91"/>
      <c r="K337" s="91"/>
      <c r="L337" s="91"/>
      <c r="M337" s="91"/>
      <c r="N337" s="91"/>
      <c r="O337" s="91"/>
      <c r="P337" s="91"/>
      <c r="Q337" s="91"/>
      <c r="R337" s="91"/>
      <c r="S337" s="91"/>
      <c r="T337" s="91"/>
      <c r="U337" s="91"/>
      <c r="V337" s="91"/>
      <c r="W337" s="91"/>
      <c r="X337" s="91"/>
      <c r="Y337" s="91"/>
    </row>
    <row r="338" spans="1:25">
      <c r="A338" s="91"/>
      <c r="B338" s="94"/>
      <c r="C338" s="94"/>
      <c r="D338" s="91"/>
      <c r="E338" s="91"/>
      <c r="F338" s="91"/>
      <c r="G338" s="91"/>
      <c r="H338" s="91"/>
      <c r="I338" s="91"/>
      <c r="J338" s="91"/>
      <c r="K338" s="91"/>
      <c r="L338" s="91"/>
      <c r="M338" s="91"/>
      <c r="N338" s="91"/>
      <c r="O338" s="91"/>
      <c r="P338" s="91"/>
      <c r="Q338" s="91"/>
      <c r="R338" s="91"/>
      <c r="S338" s="91"/>
      <c r="T338" s="91"/>
      <c r="U338" s="91"/>
      <c r="V338" s="91"/>
      <c r="W338" s="91"/>
      <c r="X338" s="91"/>
      <c r="Y338" s="91"/>
    </row>
    <row r="339" spans="1:25">
      <c r="A339" s="91"/>
      <c r="B339" s="94"/>
      <c r="C339" s="94"/>
      <c r="D339" s="91"/>
      <c r="E339" s="91"/>
      <c r="F339" s="91"/>
      <c r="G339" s="91"/>
      <c r="H339" s="91"/>
      <c r="I339" s="91"/>
      <c r="J339" s="91"/>
      <c r="K339" s="91"/>
      <c r="L339" s="91"/>
      <c r="M339" s="91"/>
      <c r="N339" s="91"/>
      <c r="O339" s="91"/>
      <c r="P339" s="91"/>
      <c r="Q339" s="91"/>
      <c r="R339" s="91"/>
      <c r="S339" s="91"/>
      <c r="T339" s="91"/>
      <c r="U339" s="91"/>
      <c r="V339" s="91"/>
      <c r="W339" s="91"/>
      <c r="X339" s="91"/>
      <c r="Y339" s="91"/>
    </row>
    <row r="340" spans="1:25">
      <c r="A340" s="91"/>
      <c r="B340" s="94"/>
      <c r="C340" s="94"/>
      <c r="D340" s="91"/>
      <c r="E340" s="91"/>
      <c r="F340" s="91"/>
      <c r="G340" s="91"/>
      <c r="H340" s="91"/>
      <c r="I340" s="91"/>
      <c r="J340" s="91"/>
      <c r="K340" s="91"/>
      <c r="L340" s="91"/>
      <c r="M340" s="91"/>
      <c r="N340" s="91"/>
      <c r="O340" s="91"/>
      <c r="P340" s="91"/>
      <c r="Q340" s="91"/>
      <c r="R340" s="91"/>
      <c r="S340" s="91"/>
      <c r="T340" s="91"/>
      <c r="U340" s="91"/>
      <c r="V340" s="91"/>
      <c r="W340" s="91"/>
      <c r="X340" s="91"/>
      <c r="Y340" s="91"/>
    </row>
    <row r="341" spans="1:25">
      <c r="A341" s="91"/>
      <c r="B341" s="94"/>
      <c r="C341" s="94"/>
      <c r="D341" s="91"/>
      <c r="E341" s="91"/>
      <c r="F341" s="91"/>
      <c r="G341" s="91"/>
      <c r="H341" s="91"/>
      <c r="I341" s="91"/>
      <c r="J341" s="91"/>
      <c r="K341" s="91"/>
      <c r="L341" s="91"/>
      <c r="M341" s="91"/>
      <c r="N341" s="91"/>
      <c r="O341" s="91"/>
      <c r="P341" s="91"/>
      <c r="Q341" s="91"/>
      <c r="R341" s="91"/>
      <c r="S341" s="91"/>
      <c r="T341" s="91"/>
      <c r="U341" s="91"/>
      <c r="V341" s="91"/>
      <c r="W341" s="91"/>
      <c r="X341" s="91"/>
      <c r="Y341" s="91"/>
    </row>
    <row r="342" spans="1:25">
      <c r="A342" s="91"/>
      <c r="B342" s="94"/>
      <c r="C342" s="94"/>
      <c r="D342" s="91"/>
      <c r="E342" s="91"/>
      <c r="F342" s="91"/>
      <c r="G342" s="91"/>
      <c r="H342" s="91"/>
      <c r="I342" s="91"/>
      <c r="J342" s="91"/>
      <c r="K342" s="91"/>
      <c r="L342" s="91"/>
      <c r="M342" s="91"/>
      <c r="N342" s="91"/>
      <c r="O342" s="91"/>
      <c r="P342" s="91"/>
      <c r="Q342" s="91"/>
      <c r="R342" s="91"/>
      <c r="S342" s="91"/>
      <c r="T342" s="91"/>
      <c r="U342" s="91"/>
      <c r="V342" s="91"/>
      <c r="W342" s="91"/>
      <c r="X342" s="91"/>
      <c r="Y342" s="91"/>
    </row>
    <row r="343" spans="1:25">
      <c r="A343" s="91"/>
      <c r="B343" s="94"/>
      <c r="C343" s="94"/>
      <c r="D343" s="91"/>
      <c r="E343" s="91"/>
      <c r="F343" s="91"/>
      <c r="G343" s="91"/>
      <c r="H343" s="91"/>
      <c r="I343" s="91"/>
      <c r="J343" s="91"/>
      <c r="K343" s="91"/>
      <c r="L343" s="91"/>
      <c r="M343" s="91"/>
      <c r="N343" s="91"/>
      <c r="O343" s="91"/>
      <c r="P343" s="91"/>
      <c r="Q343" s="91"/>
      <c r="R343" s="91"/>
      <c r="S343" s="91"/>
      <c r="T343" s="91"/>
      <c r="U343" s="91"/>
      <c r="V343" s="91"/>
      <c r="W343" s="91"/>
      <c r="X343" s="91"/>
      <c r="Y343" s="91"/>
    </row>
    <row r="344" spans="1:25">
      <c r="A344" s="91"/>
      <c r="B344" s="94"/>
      <c r="C344" s="94"/>
      <c r="D344" s="91"/>
      <c r="E344" s="91"/>
      <c r="F344" s="91"/>
      <c r="G344" s="91"/>
      <c r="H344" s="91"/>
      <c r="I344" s="91"/>
      <c r="J344" s="91"/>
      <c r="K344" s="91"/>
      <c r="L344" s="91"/>
      <c r="M344" s="91"/>
      <c r="N344" s="91"/>
      <c r="O344" s="91"/>
      <c r="P344" s="91"/>
      <c r="Q344" s="91"/>
      <c r="R344" s="91"/>
      <c r="S344" s="91"/>
      <c r="T344" s="91"/>
      <c r="U344" s="91"/>
      <c r="V344" s="91"/>
      <c r="W344" s="91"/>
      <c r="X344" s="91"/>
      <c r="Y344" s="91"/>
    </row>
    <row r="345" spans="1:25">
      <c r="A345" s="91"/>
      <c r="B345" s="94"/>
      <c r="C345" s="94"/>
      <c r="D345" s="91"/>
      <c r="E345" s="91"/>
      <c r="F345" s="91"/>
      <c r="G345" s="91"/>
      <c r="H345" s="91"/>
      <c r="I345" s="91"/>
      <c r="J345" s="91"/>
      <c r="K345" s="91"/>
      <c r="L345" s="91"/>
      <c r="M345" s="91"/>
      <c r="N345" s="91"/>
      <c r="O345" s="91"/>
      <c r="P345" s="91"/>
      <c r="Q345" s="91"/>
      <c r="R345" s="91"/>
      <c r="S345" s="91"/>
      <c r="T345" s="91"/>
      <c r="U345" s="91"/>
      <c r="V345" s="91"/>
      <c r="W345" s="91"/>
      <c r="X345" s="91"/>
      <c r="Y345" s="91"/>
    </row>
    <row r="346" spans="1:25">
      <c r="A346" s="91"/>
      <c r="B346" s="94"/>
      <c r="C346" s="94"/>
      <c r="D346" s="91"/>
      <c r="E346" s="91"/>
      <c r="F346" s="91"/>
      <c r="G346" s="91"/>
      <c r="H346" s="91"/>
      <c r="I346" s="91"/>
      <c r="J346" s="91"/>
      <c r="K346" s="91"/>
      <c r="L346" s="91"/>
      <c r="M346" s="91"/>
      <c r="N346" s="91"/>
      <c r="O346" s="91"/>
      <c r="P346" s="91"/>
      <c r="Q346" s="91"/>
      <c r="R346" s="91"/>
      <c r="S346" s="91"/>
      <c r="T346" s="91"/>
      <c r="U346" s="91"/>
      <c r="V346" s="91"/>
      <c r="W346" s="91"/>
      <c r="X346" s="91"/>
      <c r="Y346" s="91"/>
    </row>
    <row r="347" spans="1:25">
      <c r="A347" s="91"/>
      <c r="B347" s="94"/>
      <c r="C347" s="94"/>
      <c r="D347" s="91"/>
      <c r="E347" s="91"/>
      <c r="F347" s="91"/>
      <c r="G347" s="91"/>
      <c r="H347" s="91"/>
      <c r="I347" s="91"/>
      <c r="J347" s="91"/>
      <c r="K347" s="91"/>
      <c r="L347" s="91"/>
      <c r="M347" s="91"/>
      <c r="N347" s="91"/>
      <c r="O347" s="91"/>
      <c r="P347" s="91"/>
      <c r="Q347" s="91"/>
      <c r="R347" s="91"/>
      <c r="S347" s="91"/>
      <c r="T347" s="91"/>
      <c r="U347" s="91"/>
      <c r="V347" s="91"/>
      <c r="W347" s="91"/>
      <c r="X347" s="91"/>
      <c r="Y347" s="91"/>
    </row>
    <row r="348" spans="1:25">
      <c r="A348" s="91"/>
      <c r="B348" s="94"/>
      <c r="C348" s="94"/>
      <c r="D348" s="91"/>
      <c r="E348" s="91"/>
      <c r="F348" s="91"/>
      <c r="G348" s="91"/>
      <c r="H348" s="91"/>
      <c r="I348" s="91"/>
      <c r="J348" s="91"/>
      <c r="K348" s="91"/>
      <c r="L348" s="91"/>
      <c r="M348" s="91"/>
      <c r="N348" s="91"/>
      <c r="O348" s="91"/>
      <c r="P348" s="91"/>
      <c r="Q348" s="91"/>
      <c r="R348" s="91"/>
      <c r="S348" s="91"/>
      <c r="T348" s="91"/>
      <c r="U348" s="91"/>
      <c r="V348" s="91"/>
      <c r="W348" s="91"/>
      <c r="X348" s="91"/>
      <c r="Y348" s="91"/>
    </row>
    <row r="349" spans="1:25">
      <c r="A349" s="91"/>
      <c r="B349" s="94"/>
      <c r="C349" s="94"/>
      <c r="D349" s="91"/>
      <c r="E349" s="91"/>
      <c r="F349" s="91"/>
      <c r="G349" s="91"/>
      <c r="H349" s="91"/>
      <c r="I349" s="91"/>
      <c r="J349" s="91"/>
      <c r="K349" s="91"/>
      <c r="L349" s="91"/>
      <c r="M349" s="91"/>
      <c r="N349" s="91"/>
      <c r="O349" s="91"/>
      <c r="P349" s="91"/>
      <c r="Q349" s="91"/>
      <c r="R349" s="91"/>
      <c r="S349" s="91"/>
      <c r="T349" s="91"/>
      <c r="U349" s="91"/>
      <c r="V349" s="91"/>
      <c r="W349" s="91"/>
      <c r="X349" s="91"/>
      <c r="Y349" s="91"/>
    </row>
    <row r="350" spans="1:25">
      <c r="A350" s="91"/>
      <c r="B350" s="94"/>
      <c r="C350" s="94"/>
      <c r="D350" s="91"/>
      <c r="E350" s="91"/>
      <c r="F350" s="91"/>
      <c r="G350" s="91"/>
      <c r="H350" s="91"/>
      <c r="I350" s="91"/>
      <c r="J350" s="91"/>
      <c r="K350" s="91"/>
      <c r="L350" s="91"/>
      <c r="M350" s="91"/>
      <c r="N350" s="91"/>
      <c r="O350" s="91"/>
      <c r="P350" s="91"/>
      <c r="Q350" s="91"/>
      <c r="R350" s="91"/>
      <c r="S350" s="91"/>
      <c r="T350" s="91"/>
      <c r="U350" s="91"/>
      <c r="V350" s="91"/>
      <c r="W350" s="91"/>
      <c r="X350" s="91"/>
      <c r="Y350" s="91"/>
    </row>
    <row r="351" spans="1:25">
      <c r="A351" s="91"/>
      <c r="B351" s="94"/>
      <c r="C351" s="94"/>
      <c r="D351" s="91"/>
      <c r="E351" s="91"/>
      <c r="F351" s="91"/>
      <c r="G351" s="91"/>
      <c r="H351" s="91"/>
      <c r="I351" s="91"/>
      <c r="J351" s="91"/>
      <c r="K351" s="91"/>
      <c r="L351" s="91"/>
      <c r="M351" s="91"/>
      <c r="N351" s="91"/>
      <c r="O351" s="91"/>
      <c r="P351" s="91"/>
      <c r="Q351" s="91"/>
      <c r="R351" s="91"/>
      <c r="S351" s="91"/>
      <c r="T351" s="91"/>
      <c r="U351" s="91"/>
      <c r="V351" s="91"/>
      <c r="W351" s="91"/>
      <c r="X351" s="91"/>
      <c r="Y351" s="91"/>
    </row>
    <row r="352" spans="1:25">
      <c r="A352" s="91"/>
      <c r="B352" s="94"/>
      <c r="C352" s="94"/>
      <c r="D352" s="91"/>
      <c r="E352" s="91"/>
      <c r="F352" s="91"/>
      <c r="G352" s="91"/>
      <c r="H352" s="91"/>
      <c r="I352" s="91"/>
      <c r="J352" s="91"/>
      <c r="K352" s="91"/>
      <c r="L352" s="91"/>
      <c r="M352" s="91"/>
      <c r="N352" s="91"/>
      <c r="O352" s="91"/>
      <c r="P352" s="91"/>
      <c r="Q352" s="91"/>
      <c r="R352" s="91"/>
      <c r="S352" s="91"/>
      <c r="T352" s="91"/>
      <c r="U352" s="91"/>
      <c r="V352" s="91"/>
      <c r="W352" s="91"/>
      <c r="X352" s="91"/>
      <c r="Y352" s="91"/>
    </row>
    <row r="353" spans="1:25">
      <c r="A353" s="91"/>
      <c r="B353" s="94"/>
      <c r="C353" s="94"/>
      <c r="D353" s="91"/>
      <c r="E353" s="91"/>
      <c r="F353" s="91"/>
      <c r="G353" s="91"/>
      <c r="H353" s="91"/>
      <c r="I353" s="91"/>
      <c r="J353" s="91"/>
      <c r="K353" s="91"/>
      <c r="L353" s="91"/>
      <c r="M353" s="91"/>
      <c r="N353" s="91"/>
      <c r="O353" s="91"/>
      <c r="P353" s="91"/>
      <c r="Q353" s="91"/>
      <c r="R353" s="91"/>
      <c r="S353" s="91"/>
      <c r="T353" s="91"/>
      <c r="U353" s="91"/>
      <c r="V353" s="91"/>
      <c r="W353" s="91"/>
      <c r="X353" s="91"/>
      <c r="Y353" s="91"/>
    </row>
    <row r="354" spans="1:25">
      <c r="A354" s="91"/>
      <c r="B354" s="94"/>
      <c r="C354" s="94"/>
      <c r="D354" s="91"/>
      <c r="E354" s="91"/>
      <c r="F354" s="91"/>
      <c r="G354" s="91"/>
      <c r="H354" s="91"/>
      <c r="I354" s="91"/>
      <c r="J354" s="91"/>
      <c r="K354" s="91"/>
      <c r="L354" s="91"/>
      <c r="M354" s="91"/>
      <c r="N354" s="91"/>
      <c r="O354" s="91"/>
      <c r="P354" s="91"/>
      <c r="Q354" s="91"/>
      <c r="R354" s="91"/>
      <c r="S354" s="91"/>
      <c r="T354" s="91"/>
      <c r="U354" s="91"/>
      <c r="V354" s="91"/>
      <c r="W354" s="91"/>
      <c r="X354" s="91"/>
      <c r="Y354" s="91"/>
    </row>
    <row r="355" spans="1:25">
      <c r="A355" s="91"/>
      <c r="B355" s="94"/>
      <c r="C355" s="94"/>
      <c r="D355" s="91"/>
      <c r="E355" s="91"/>
      <c r="F355" s="91"/>
      <c r="G355" s="91"/>
      <c r="H355" s="91"/>
      <c r="I355" s="91"/>
      <c r="J355" s="91"/>
      <c r="K355" s="91"/>
      <c r="L355" s="91"/>
      <c r="M355" s="91"/>
      <c r="N355" s="91"/>
      <c r="O355" s="91"/>
      <c r="P355" s="91"/>
      <c r="Q355" s="91"/>
      <c r="R355" s="91"/>
      <c r="S355" s="91"/>
      <c r="T355" s="91"/>
      <c r="U355" s="91"/>
      <c r="V355" s="91"/>
      <c r="W355" s="91"/>
      <c r="X355" s="91"/>
      <c r="Y355" s="91"/>
    </row>
    <row r="356" spans="1:25">
      <c r="A356" s="91"/>
      <c r="B356" s="94"/>
      <c r="C356" s="94"/>
      <c r="D356" s="91"/>
      <c r="E356" s="91"/>
      <c r="F356" s="91"/>
      <c r="G356" s="91"/>
      <c r="H356" s="91"/>
      <c r="I356" s="91"/>
      <c r="J356" s="91"/>
      <c r="K356" s="91"/>
      <c r="L356" s="91"/>
      <c r="M356" s="91"/>
      <c r="N356" s="91"/>
      <c r="O356" s="91"/>
      <c r="P356" s="91"/>
      <c r="Q356" s="91"/>
      <c r="R356" s="91"/>
      <c r="S356" s="91"/>
      <c r="T356" s="91"/>
      <c r="U356" s="91"/>
      <c r="V356" s="91"/>
      <c r="W356" s="91"/>
      <c r="X356" s="91"/>
      <c r="Y356" s="91"/>
    </row>
    <row r="357" spans="1:25">
      <c r="A357" s="91"/>
      <c r="B357" s="94"/>
      <c r="C357" s="94"/>
      <c r="D357" s="91"/>
      <c r="E357" s="91"/>
      <c r="F357" s="91"/>
      <c r="G357" s="91"/>
      <c r="H357" s="91"/>
      <c r="I357" s="91"/>
      <c r="J357" s="91"/>
      <c r="K357" s="91"/>
      <c r="L357" s="91"/>
      <c r="M357" s="91"/>
      <c r="N357" s="91"/>
      <c r="O357" s="91"/>
      <c r="P357" s="91"/>
      <c r="Q357" s="91"/>
      <c r="R357" s="91"/>
      <c r="S357" s="91"/>
      <c r="T357" s="91"/>
      <c r="U357" s="91"/>
      <c r="V357" s="91"/>
      <c r="W357" s="91"/>
      <c r="X357" s="91"/>
      <c r="Y357" s="91"/>
    </row>
    <row r="358" spans="1:25">
      <c r="A358" s="91"/>
      <c r="B358" s="94"/>
      <c r="C358" s="94"/>
      <c r="D358" s="91"/>
      <c r="E358" s="91"/>
      <c r="F358" s="91"/>
      <c r="G358" s="91"/>
      <c r="H358" s="91"/>
      <c r="I358" s="91"/>
      <c r="J358" s="91"/>
      <c r="K358" s="91"/>
      <c r="L358" s="91"/>
      <c r="M358" s="91"/>
      <c r="N358" s="91"/>
      <c r="O358" s="91"/>
      <c r="P358" s="91"/>
      <c r="Q358" s="91"/>
      <c r="R358" s="91"/>
      <c r="S358" s="91"/>
      <c r="T358" s="91"/>
      <c r="U358" s="91"/>
      <c r="V358" s="91"/>
      <c r="W358" s="91"/>
      <c r="X358" s="91"/>
      <c r="Y358" s="91"/>
    </row>
    <row r="359" spans="1:25">
      <c r="A359" s="91"/>
      <c r="B359" s="94"/>
      <c r="C359" s="94"/>
      <c r="D359" s="91"/>
      <c r="E359" s="91"/>
      <c r="F359" s="91"/>
      <c r="G359" s="91"/>
      <c r="H359" s="91"/>
      <c r="I359" s="91"/>
      <c r="J359" s="91"/>
      <c r="K359" s="91"/>
      <c r="L359" s="91"/>
      <c r="M359" s="91"/>
      <c r="N359" s="91"/>
      <c r="O359" s="91"/>
      <c r="P359" s="91"/>
      <c r="Q359" s="91"/>
      <c r="R359" s="91"/>
      <c r="S359" s="91"/>
      <c r="T359" s="91"/>
      <c r="U359" s="91"/>
      <c r="V359" s="91"/>
      <c r="W359" s="91"/>
      <c r="X359" s="91"/>
      <c r="Y359" s="91"/>
    </row>
    <row r="360" spans="1:25">
      <c r="A360" s="91"/>
      <c r="B360" s="94"/>
      <c r="C360" s="94"/>
      <c r="D360" s="91"/>
      <c r="E360" s="91"/>
      <c r="F360" s="91"/>
      <c r="G360" s="91"/>
      <c r="H360" s="91"/>
      <c r="I360" s="91"/>
      <c r="J360" s="91"/>
      <c r="K360" s="91"/>
      <c r="L360" s="91"/>
      <c r="M360" s="91"/>
      <c r="N360" s="91"/>
      <c r="O360" s="91"/>
      <c r="P360" s="91"/>
      <c r="Q360" s="91"/>
      <c r="R360" s="91"/>
      <c r="S360" s="91"/>
      <c r="T360" s="91"/>
      <c r="U360" s="91"/>
      <c r="V360" s="91"/>
      <c r="W360" s="91"/>
      <c r="X360" s="91"/>
      <c r="Y360" s="91"/>
    </row>
    <row r="361" spans="1:25">
      <c r="A361" s="91"/>
      <c r="B361" s="94"/>
      <c r="C361" s="94"/>
      <c r="D361" s="91"/>
      <c r="E361" s="91"/>
      <c r="F361" s="91"/>
      <c r="G361" s="91"/>
      <c r="H361" s="91"/>
      <c r="I361" s="91"/>
      <c r="J361" s="91"/>
      <c r="K361" s="91"/>
      <c r="L361" s="91"/>
      <c r="M361" s="91"/>
      <c r="N361" s="91"/>
      <c r="O361" s="91"/>
      <c r="P361" s="91"/>
      <c r="Q361" s="91"/>
      <c r="R361" s="91"/>
      <c r="S361" s="91"/>
      <c r="T361" s="91"/>
      <c r="U361" s="91"/>
      <c r="V361" s="91"/>
      <c r="W361" s="91"/>
      <c r="X361" s="91"/>
      <c r="Y361" s="91"/>
    </row>
    <row r="362" spans="1:25">
      <c r="A362" s="91"/>
      <c r="B362" s="94"/>
      <c r="C362" s="94"/>
      <c r="D362" s="91"/>
      <c r="E362" s="91"/>
      <c r="F362" s="91"/>
      <c r="G362" s="91"/>
      <c r="H362" s="91"/>
      <c r="I362" s="91"/>
      <c r="J362" s="91"/>
      <c r="K362" s="91"/>
      <c r="L362" s="91"/>
      <c r="M362" s="91"/>
      <c r="N362" s="91"/>
      <c r="O362" s="91"/>
      <c r="P362" s="91"/>
      <c r="Q362" s="91"/>
      <c r="R362" s="91"/>
      <c r="S362" s="91"/>
      <c r="T362" s="91"/>
      <c r="U362" s="91"/>
      <c r="V362" s="91"/>
      <c r="W362" s="91"/>
      <c r="X362" s="91"/>
      <c r="Y362" s="91"/>
    </row>
    <row r="363" spans="1:25">
      <c r="A363" s="91"/>
      <c r="B363" s="94"/>
      <c r="C363" s="94"/>
      <c r="D363" s="91"/>
      <c r="E363" s="91"/>
      <c r="F363" s="91"/>
      <c r="G363" s="91"/>
      <c r="H363" s="91"/>
      <c r="I363" s="91"/>
      <c r="J363" s="91"/>
      <c r="K363" s="91"/>
      <c r="L363" s="91"/>
      <c r="M363" s="91"/>
      <c r="N363" s="91"/>
      <c r="O363" s="91"/>
      <c r="P363" s="91"/>
      <c r="Q363" s="91"/>
      <c r="R363" s="91"/>
      <c r="S363" s="91"/>
      <c r="T363" s="91"/>
      <c r="U363" s="91"/>
      <c r="V363" s="91"/>
      <c r="W363" s="91"/>
      <c r="X363" s="91"/>
      <c r="Y363" s="91"/>
    </row>
    <row r="364" spans="1:25">
      <c r="A364" s="91"/>
      <c r="B364" s="94"/>
      <c r="C364" s="94"/>
      <c r="D364" s="91"/>
      <c r="E364" s="91"/>
      <c r="F364" s="91"/>
      <c r="G364" s="91"/>
      <c r="H364" s="91"/>
      <c r="I364" s="91"/>
      <c r="J364" s="91"/>
      <c r="K364" s="91"/>
      <c r="L364" s="91"/>
      <c r="M364" s="91"/>
      <c r="N364" s="91"/>
      <c r="O364" s="91"/>
      <c r="P364" s="91"/>
      <c r="Q364" s="91"/>
      <c r="R364" s="91"/>
      <c r="S364" s="91"/>
      <c r="T364" s="91"/>
      <c r="U364" s="91"/>
      <c r="V364" s="91"/>
      <c r="W364" s="91"/>
      <c r="X364" s="91"/>
      <c r="Y364" s="91"/>
    </row>
    <row r="365" spans="1:25">
      <c r="A365" s="91"/>
      <c r="B365" s="94"/>
      <c r="C365" s="94"/>
      <c r="D365" s="91"/>
      <c r="E365" s="91"/>
      <c r="F365" s="91"/>
      <c r="G365" s="91"/>
      <c r="H365" s="91"/>
      <c r="I365" s="91"/>
      <c r="J365" s="91"/>
      <c r="K365" s="91"/>
      <c r="L365" s="91"/>
      <c r="M365" s="91"/>
      <c r="N365" s="91"/>
      <c r="O365" s="91"/>
      <c r="P365" s="91"/>
      <c r="Q365" s="91"/>
      <c r="R365" s="91"/>
      <c r="S365" s="91"/>
      <c r="T365" s="91"/>
      <c r="U365" s="91"/>
      <c r="V365" s="91"/>
      <c r="W365" s="91"/>
      <c r="X365" s="91"/>
      <c r="Y365" s="91"/>
    </row>
    <row r="366" spans="1:25">
      <c r="A366" s="91"/>
      <c r="B366" s="94"/>
      <c r="C366" s="94"/>
      <c r="D366" s="91"/>
      <c r="E366" s="91"/>
      <c r="F366" s="91"/>
      <c r="G366" s="91"/>
      <c r="H366" s="91"/>
      <c r="I366" s="91"/>
      <c r="J366" s="91"/>
      <c r="K366" s="91"/>
      <c r="L366" s="91"/>
      <c r="M366" s="91"/>
      <c r="N366" s="91"/>
      <c r="O366" s="91"/>
      <c r="P366" s="91"/>
      <c r="Q366" s="91"/>
      <c r="R366" s="91"/>
      <c r="S366" s="91"/>
      <c r="T366" s="91"/>
      <c r="U366" s="91"/>
      <c r="V366" s="91"/>
      <c r="W366" s="91"/>
      <c r="X366" s="91"/>
      <c r="Y366" s="91"/>
    </row>
    <row r="367" spans="1:25">
      <c r="A367" s="91"/>
      <c r="B367" s="94"/>
      <c r="C367" s="94"/>
      <c r="D367" s="91"/>
      <c r="E367" s="91"/>
      <c r="F367" s="91"/>
      <c r="G367" s="91"/>
      <c r="H367" s="91"/>
      <c r="I367" s="91"/>
      <c r="J367" s="91"/>
      <c r="K367" s="91"/>
      <c r="L367" s="91"/>
      <c r="M367" s="91"/>
      <c r="N367" s="91"/>
      <c r="O367" s="91"/>
      <c r="P367" s="91"/>
      <c r="Q367" s="91"/>
      <c r="R367" s="91"/>
      <c r="S367" s="91"/>
      <c r="T367" s="91"/>
      <c r="U367" s="91"/>
      <c r="V367" s="91"/>
      <c r="W367" s="91"/>
      <c r="X367" s="91"/>
      <c r="Y367" s="91"/>
    </row>
    <row r="368" spans="1:25">
      <c r="A368" s="91"/>
      <c r="B368" s="94"/>
      <c r="C368" s="94"/>
      <c r="D368" s="91"/>
      <c r="E368" s="91"/>
      <c r="F368" s="91"/>
      <c r="G368" s="91"/>
      <c r="H368" s="91"/>
      <c r="I368" s="91"/>
      <c r="J368" s="91"/>
      <c r="K368" s="91"/>
      <c r="L368" s="91"/>
      <c r="M368" s="91"/>
      <c r="N368" s="91"/>
      <c r="O368" s="91"/>
      <c r="P368" s="91"/>
      <c r="Q368" s="91"/>
      <c r="R368" s="91"/>
      <c r="S368" s="91"/>
      <c r="T368" s="91"/>
      <c r="U368" s="91"/>
      <c r="V368" s="91"/>
      <c r="W368" s="91"/>
      <c r="X368" s="91"/>
      <c r="Y368" s="91"/>
    </row>
    <row r="369" spans="1:25">
      <c r="A369" s="91"/>
      <c r="B369" s="94"/>
      <c r="C369" s="94"/>
      <c r="D369" s="91"/>
      <c r="E369" s="91"/>
      <c r="F369" s="91"/>
      <c r="G369" s="91"/>
      <c r="H369" s="91"/>
      <c r="I369" s="91"/>
      <c r="J369" s="91"/>
      <c r="K369" s="91"/>
      <c r="L369" s="91"/>
      <c r="M369" s="91"/>
      <c r="N369" s="91"/>
      <c r="O369" s="91"/>
      <c r="P369" s="91"/>
      <c r="Q369" s="91"/>
      <c r="R369" s="91"/>
      <c r="S369" s="91"/>
      <c r="T369" s="91"/>
      <c r="U369" s="91"/>
      <c r="V369" s="91"/>
      <c r="W369" s="91"/>
      <c r="X369" s="91"/>
      <c r="Y369" s="91"/>
    </row>
    <row r="370" spans="1:25">
      <c r="A370" s="91"/>
      <c r="B370" s="94"/>
      <c r="C370" s="94"/>
      <c r="D370" s="91"/>
      <c r="E370" s="91"/>
      <c r="F370" s="91"/>
      <c r="G370" s="91"/>
      <c r="H370" s="91"/>
      <c r="I370" s="91"/>
      <c r="J370" s="91"/>
      <c r="K370" s="91"/>
      <c r="L370" s="91"/>
      <c r="M370" s="91"/>
      <c r="N370" s="91"/>
      <c r="O370" s="91"/>
      <c r="P370" s="91"/>
      <c r="Q370" s="91"/>
      <c r="R370" s="91"/>
      <c r="S370" s="91"/>
      <c r="T370" s="91"/>
      <c r="U370" s="91"/>
      <c r="V370" s="91"/>
      <c r="W370" s="91"/>
      <c r="X370" s="91"/>
      <c r="Y370" s="91"/>
    </row>
    <row r="371" spans="1:25">
      <c r="A371" s="91"/>
      <c r="B371" s="94"/>
      <c r="C371" s="94"/>
      <c r="D371" s="91"/>
      <c r="E371" s="91"/>
      <c r="F371" s="91"/>
      <c r="G371" s="91"/>
      <c r="H371" s="91"/>
      <c r="I371" s="91"/>
      <c r="J371" s="91"/>
      <c r="K371" s="91"/>
      <c r="L371" s="91"/>
      <c r="M371" s="91"/>
      <c r="N371" s="91"/>
      <c r="O371" s="91"/>
      <c r="P371" s="91"/>
      <c r="Q371" s="91"/>
      <c r="R371" s="91"/>
      <c r="S371" s="91"/>
      <c r="T371" s="91"/>
      <c r="U371" s="91"/>
      <c r="V371" s="91"/>
      <c r="W371" s="91"/>
      <c r="X371" s="91"/>
      <c r="Y371" s="91"/>
    </row>
    <row r="372" spans="1:25">
      <c r="A372" s="91"/>
      <c r="B372" s="94"/>
      <c r="C372" s="94"/>
      <c r="D372" s="91"/>
      <c r="E372" s="91"/>
      <c r="F372" s="91"/>
      <c r="G372" s="91"/>
      <c r="H372" s="91"/>
      <c r="I372" s="91"/>
      <c r="J372" s="91"/>
      <c r="K372" s="91"/>
      <c r="L372" s="91"/>
      <c r="M372" s="91"/>
      <c r="N372" s="91"/>
      <c r="O372" s="91"/>
      <c r="P372" s="91"/>
      <c r="Q372" s="91"/>
      <c r="R372" s="91"/>
      <c r="S372" s="91"/>
      <c r="T372" s="91"/>
      <c r="U372" s="91"/>
      <c r="V372" s="91"/>
      <c r="W372" s="91"/>
      <c r="X372" s="91"/>
      <c r="Y372" s="91"/>
    </row>
    <row r="373" spans="1:25">
      <c r="A373" s="91"/>
      <c r="B373" s="94"/>
      <c r="C373" s="94"/>
      <c r="D373" s="91"/>
      <c r="E373" s="91"/>
      <c r="F373" s="91"/>
      <c r="G373" s="91"/>
      <c r="H373" s="91"/>
      <c r="I373" s="91"/>
      <c r="J373" s="91"/>
      <c r="K373" s="91"/>
      <c r="L373" s="91"/>
      <c r="M373" s="91"/>
      <c r="N373" s="91"/>
      <c r="O373" s="91"/>
      <c r="P373" s="91"/>
      <c r="Q373" s="91"/>
      <c r="R373" s="91"/>
      <c r="S373" s="91"/>
      <c r="T373" s="91"/>
      <c r="U373" s="91"/>
      <c r="V373" s="91"/>
      <c r="W373" s="91"/>
      <c r="X373" s="91"/>
      <c r="Y373" s="91"/>
    </row>
    <row r="374" spans="1:25">
      <c r="A374" s="91"/>
      <c r="B374" s="94"/>
      <c r="C374" s="94"/>
      <c r="D374" s="91"/>
      <c r="E374" s="91"/>
      <c r="F374" s="91"/>
      <c r="G374" s="91"/>
      <c r="H374" s="91"/>
      <c r="I374" s="91"/>
      <c r="J374" s="91"/>
      <c r="K374" s="91"/>
      <c r="L374" s="91"/>
      <c r="M374" s="91"/>
      <c r="N374" s="91"/>
      <c r="O374" s="91"/>
      <c r="P374" s="91"/>
      <c r="Q374" s="91"/>
      <c r="R374" s="91"/>
      <c r="S374" s="91"/>
      <c r="T374" s="91"/>
      <c r="U374" s="91"/>
      <c r="V374" s="91"/>
      <c r="W374" s="91"/>
      <c r="X374" s="91"/>
      <c r="Y374" s="91"/>
    </row>
    <row r="375" spans="1:25">
      <c r="A375" s="91"/>
      <c r="B375" s="94"/>
      <c r="C375" s="94"/>
      <c r="D375" s="91"/>
      <c r="E375" s="91"/>
      <c r="F375" s="91"/>
      <c r="G375" s="91"/>
      <c r="H375" s="91"/>
      <c r="I375" s="91"/>
      <c r="J375" s="91"/>
      <c r="K375" s="91"/>
      <c r="L375" s="91"/>
      <c r="M375" s="91"/>
      <c r="N375" s="91"/>
      <c r="O375" s="91"/>
      <c r="P375" s="91"/>
      <c r="Q375" s="91"/>
      <c r="R375" s="91"/>
      <c r="S375" s="91"/>
      <c r="T375" s="91"/>
      <c r="U375" s="91"/>
      <c r="V375" s="91"/>
      <c r="W375" s="91"/>
      <c r="X375" s="91"/>
      <c r="Y375" s="91"/>
    </row>
    <row r="376" spans="1:25">
      <c r="A376" s="91"/>
      <c r="B376" s="94"/>
      <c r="C376" s="94"/>
      <c r="D376" s="91"/>
      <c r="E376" s="91"/>
      <c r="F376" s="91"/>
      <c r="G376" s="91"/>
      <c r="H376" s="91"/>
      <c r="I376" s="91"/>
      <c r="J376" s="91"/>
      <c r="K376" s="91"/>
      <c r="L376" s="91"/>
      <c r="M376" s="91"/>
      <c r="N376" s="91"/>
      <c r="O376" s="91"/>
      <c r="P376" s="91"/>
      <c r="Q376" s="91"/>
      <c r="R376" s="91"/>
      <c r="S376" s="91"/>
      <c r="T376" s="91"/>
      <c r="U376" s="91"/>
      <c r="V376" s="91"/>
      <c r="W376" s="91"/>
      <c r="X376" s="91"/>
      <c r="Y376" s="91"/>
    </row>
    <row r="377" spans="1:25">
      <c r="A377" s="91"/>
      <c r="B377" s="94"/>
      <c r="C377" s="94"/>
      <c r="D377" s="91"/>
      <c r="E377" s="91"/>
      <c r="F377" s="91"/>
      <c r="G377" s="91"/>
      <c r="H377" s="91"/>
      <c r="I377" s="91"/>
      <c r="J377" s="91"/>
      <c r="K377" s="91"/>
      <c r="L377" s="91"/>
      <c r="M377" s="91"/>
      <c r="N377" s="91"/>
      <c r="O377" s="91"/>
      <c r="P377" s="91"/>
      <c r="Q377" s="91"/>
      <c r="R377" s="91"/>
      <c r="S377" s="91"/>
      <c r="T377" s="91"/>
      <c r="U377" s="91"/>
      <c r="V377" s="91"/>
      <c r="W377" s="91"/>
      <c r="X377" s="91"/>
      <c r="Y377" s="91"/>
    </row>
    <row r="378" spans="1:25">
      <c r="A378" s="91"/>
      <c r="B378" s="94"/>
      <c r="C378" s="94"/>
      <c r="D378" s="91"/>
      <c r="E378" s="91"/>
      <c r="F378" s="91"/>
      <c r="G378" s="91"/>
      <c r="H378" s="91"/>
      <c r="I378" s="91"/>
      <c r="J378" s="91"/>
      <c r="K378" s="91"/>
      <c r="L378" s="91"/>
      <c r="M378" s="91"/>
      <c r="N378" s="91"/>
      <c r="O378" s="91"/>
      <c r="P378" s="91"/>
      <c r="Q378" s="91"/>
      <c r="R378" s="91"/>
      <c r="S378" s="91"/>
      <c r="T378" s="91"/>
      <c r="U378" s="91"/>
      <c r="V378" s="91"/>
      <c r="W378" s="91"/>
      <c r="X378" s="91"/>
      <c r="Y378" s="91"/>
    </row>
    <row r="379" spans="1:25">
      <c r="A379" s="91"/>
      <c r="B379" s="94"/>
      <c r="C379" s="94"/>
      <c r="D379" s="91"/>
      <c r="E379" s="91"/>
      <c r="F379" s="91"/>
      <c r="G379" s="91"/>
      <c r="H379" s="91"/>
      <c r="I379" s="91"/>
      <c r="J379" s="91"/>
      <c r="K379" s="91"/>
      <c r="L379" s="91"/>
      <c r="M379" s="91"/>
      <c r="N379" s="91"/>
      <c r="O379" s="91"/>
      <c r="P379" s="91"/>
      <c r="Q379" s="91"/>
      <c r="R379" s="91"/>
      <c r="S379" s="91"/>
      <c r="T379" s="91"/>
      <c r="U379" s="91"/>
      <c r="V379" s="91"/>
      <c r="W379" s="91"/>
      <c r="X379" s="91"/>
      <c r="Y379" s="91"/>
    </row>
    <row r="380" spans="1:25">
      <c r="A380" s="91"/>
      <c r="B380" s="94"/>
      <c r="C380" s="94"/>
      <c r="D380" s="91"/>
      <c r="E380" s="91"/>
      <c r="F380" s="91"/>
      <c r="G380" s="91"/>
      <c r="H380" s="91"/>
      <c r="I380" s="91"/>
      <c r="J380" s="91"/>
      <c r="K380" s="91"/>
      <c r="L380" s="91"/>
      <c r="M380" s="91"/>
      <c r="N380" s="91"/>
      <c r="O380" s="91"/>
      <c r="P380" s="91"/>
      <c r="Q380" s="91"/>
      <c r="R380" s="91"/>
      <c r="S380" s="91"/>
      <c r="T380" s="91"/>
      <c r="U380" s="91"/>
      <c r="V380" s="91"/>
      <c r="W380" s="91"/>
      <c r="X380" s="91"/>
      <c r="Y380" s="91"/>
    </row>
    <row r="381" spans="1:25">
      <c r="A381" s="91"/>
      <c r="B381" s="94"/>
      <c r="C381" s="94"/>
      <c r="D381" s="91"/>
      <c r="E381" s="91"/>
      <c r="F381" s="91"/>
      <c r="G381" s="91"/>
      <c r="H381" s="91"/>
      <c r="I381" s="91"/>
      <c r="J381" s="91"/>
      <c r="K381" s="91"/>
      <c r="L381" s="91"/>
      <c r="M381" s="91"/>
      <c r="N381" s="91"/>
      <c r="O381" s="91"/>
      <c r="P381" s="91"/>
      <c r="Q381" s="91"/>
      <c r="R381" s="91"/>
      <c r="S381" s="91"/>
      <c r="T381" s="91"/>
      <c r="U381" s="91"/>
      <c r="V381" s="91"/>
      <c r="W381" s="91"/>
      <c r="X381" s="91"/>
      <c r="Y381" s="91"/>
    </row>
    <row r="382" spans="1:25">
      <c r="A382" s="91"/>
      <c r="B382" s="94"/>
      <c r="C382" s="94"/>
      <c r="D382" s="91"/>
      <c r="E382" s="91"/>
      <c r="F382" s="91"/>
      <c r="G382" s="91"/>
      <c r="H382" s="91"/>
      <c r="I382" s="91"/>
      <c r="J382" s="91"/>
      <c r="K382" s="91"/>
      <c r="L382" s="91"/>
      <c r="M382" s="91"/>
      <c r="N382" s="91"/>
      <c r="O382" s="91"/>
      <c r="P382" s="91"/>
      <c r="Q382" s="91"/>
      <c r="R382" s="91"/>
      <c r="S382" s="91"/>
      <c r="T382" s="91"/>
      <c r="U382" s="91"/>
      <c r="V382" s="91"/>
      <c r="W382" s="91"/>
      <c r="X382" s="91"/>
      <c r="Y382" s="91"/>
    </row>
    <row r="383" spans="1:25">
      <c r="A383" s="91"/>
      <c r="B383" s="94"/>
      <c r="C383" s="94"/>
      <c r="D383" s="91"/>
      <c r="E383" s="91"/>
      <c r="F383" s="91"/>
      <c r="G383" s="91"/>
      <c r="H383" s="91"/>
      <c r="I383" s="91"/>
      <c r="J383" s="91"/>
      <c r="K383" s="91"/>
      <c r="L383" s="91"/>
      <c r="M383" s="91"/>
      <c r="N383" s="91"/>
      <c r="O383" s="91"/>
      <c r="P383" s="91"/>
      <c r="Q383" s="91"/>
      <c r="R383" s="91"/>
      <c r="S383" s="91"/>
      <c r="T383" s="91"/>
      <c r="U383" s="91"/>
      <c r="V383" s="91"/>
      <c r="W383" s="91"/>
      <c r="X383" s="91"/>
      <c r="Y383" s="91"/>
    </row>
    <row r="384" spans="1:25">
      <c r="A384" s="91"/>
      <c r="B384" s="94"/>
      <c r="C384" s="94"/>
      <c r="D384" s="91"/>
      <c r="E384" s="91"/>
      <c r="F384" s="91"/>
      <c r="G384" s="91"/>
      <c r="H384" s="91"/>
      <c r="I384" s="91"/>
      <c r="J384" s="91"/>
      <c r="K384" s="91"/>
      <c r="L384" s="91"/>
      <c r="M384" s="91"/>
      <c r="N384" s="91"/>
      <c r="O384" s="91"/>
      <c r="P384" s="91"/>
      <c r="Q384" s="91"/>
      <c r="R384" s="91"/>
      <c r="S384" s="91"/>
      <c r="T384" s="91"/>
      <c r="U384" s="91"/>
      <c r="V384" s="91"/>
      <c r="W384" s="91"/>
      <c r="X384" s="91"/>
      <c r="Y384" s="91"/>
    </row>
    <row r="385" spans="1:25">
      <c r="A385" s="91"/>
      <c r="B385" s="94"/>
      <c r="C385" s="94"/>
      <c r="D385" s="91"/>
      <c r="E385" s="91"/>
      <c r="F385" s="91"/>
      <c r="G385" s="91"/>
      <c r="H385" s="91"/>
      <c r="I385" s="91"/>
      <c r="J385" s="91"/>
      <c r="K385" s="91"/>
      <c r="L385" s="91"/>
      <c r="M385" s="91"/>
      <c r="N385" s="91"/>
      <c r="O385" s="91"/>
      <c r="P385" s="91"/>
      <c r="Q385" s="91"/>
      <c r="R385" s="91"/>
      <c r="S385" s="91"/>
      <c r="T385" s="91"/>
      <c r="U385" s="91"/>
      <c r="V385" s="91"/>
      <c r="W385" s="91"/>
      <c r="X385" s="91"/>
      <c r="Y385" s="91"/>
    </row>
    <row r="386" spans="1:25">
      <c r="A386" s="91"/>
      <c r="B386" s="94"/>
      <c r="C386" s="94"/>
      <c r="D386" s="91"/>
      <c r="E386" s="91"/>
      <c r="F386" s="91"/>
      <c r="G386" s="91"/>
      <c r="H386" s="91"/>
      <c r="I386" s="91"/>
      <c r="J386" s="91"/>
      <c r="K386" s="91"/>
      <c r="L386" s="91"/>
      <c r="M386" s="91"/>
      <c r="N386" s="91"/>
      <c r="O386" s="91"/>
      <c r="P386" s="91"/>
      <c r="Q386" s="91"/>
      <c r="R386" s="91"/>
      <c r="S386" s="91"/>
      <c r="T386" s="91"/>
      <c r="U386" s="91"/>
      <c r="V386" s="91"/>
      <c r="W386" s="91"/>
      <c r="X386" s="91"/>
      <c r="Y386" s="91"/>
    </row>
    <row r="387" spans="1:25">
      <c r="A387" s="91"/>
      <c r="B387" s="94"/>
      <c r="C387" s="94"/>
      <c r="D387" s="91"/>
      <c r="E387" s="91"/>
      <c r="F387" s="91"/>
      <c r="G387" s="91"/>
      <c r="H387" s="91"/>
      <c r="I387" s="91"/>
      <c r="J387" s="91"/>
      <c r="K387" s="91"/>
      <c r="L387" s="91"/>
      <c r="M387" s="91"/>
      <c r="N387" s="91"/>
      <c r="O387" s="91"/>
      <c r="P387" s="91"/>
      <c r="Q387" s="91"/>
      <c r="R387" s="91"/>
      <c r="S387" s="91"/>
      <c r="T387" s="91"/>
      <c r="U387" s="91"/>
      <c r="V387" s="91"/>
      <c r="W387" s="91"/>
      <c r="X387" s="91"/>
      <c r="Y387" s="91"/>
    </row>
    <row r="388" spans="1:25">
      <c r="A388" s="91"/>
      <c r="B388" s="94"/>
      <c r="C388" s="94"/>
      <c r="D388" s="91"/>
      <c r="E388" s="91"/>
      <c r="F388" s="91"/>
      <c r="G388" s="91"/>
      <c r="H388" s="91"/>
      <c r="I388" s="91"/>
      <c r="J388" s="91"/>
      <c r="K388" s="91"/>
      <c r="L388" s="91"/>
      <c r="M388" s="91"/>
      <c r="N388" s="91"/>
      <c r="O388" s="91"/>
      <c r="P388" s="91"/>
      <c r="Q388" s="91"/>
      <c r="R388" s="91"/>
      <c r="S388" s="91"/>
      <c r="T388" s="91"/>
      <c r="U388" s="91"/>
      <c r="V388" s="91"/>
      <c r="W388" s="91"/>
      <c r="X388" s="91"/>
      <c r="Y388" s="91"/>
    </row>
    <row r="389" spans="1:25">
      <c r="A389" s="91"/>
      <c r="B389" s="94"/>
      <c r="C389" s="94"/>
      <c r="D389" s="91"/>
      <c r="E389" s="91"/>
      <c r="F389" s="91"/>
      <c r="G389" s="91"/>
      <c r="H389" s="91"/>
      <c r="I389" s="91"/>
      <c r="J389" s="91"/>
      <c r="K389" s="91"/>
      <c r="L389" s="91"/>
      <c r="M389" s="91"/>
      <c r="N389" s="91"/>
      <c r="O389" s="91"/>
      <c r="P389" s="91"/>
      <c r="Q389" s="91"/>
      <c r="R389" s="91"/>
      <c r="S389" s="91"/>
      <c r="T389" s="91"/>
      <c r="U389" s="91"/>
      <c r="V389" s="91"/>
      <c r="W389" s="91"/>
      <c r="X389" s="91"/>
      <c r="Y389" s="91"/>
    </row>
    <row r="390" spans="1:25">
      <c r="A390" s="91"/>
      <c r="B390" s="94"/>
      <c r="C390" s="94"/>
      <c r="D390" s="91"/>
      <c r="E390" s="91"/>
      <c r="F390" s="91"/>
      <c r="G390" s="91"/>
      <c r="H390" s="91"/>
      <c r="I390" s="91"/>
      <c r="J390" s="91"/>
      <c r="K390" s="91"/>
      <c r="L390" s="91"/>
      <c r="M390" s="91"/>
      <c r="N390" s="91"/>
      <c r="O390" s="91"/>
      <c r="P390" s="91"/>
      <c r="Q390" s="91"/>
      <c r="R390" s="91"/>
      <c r="S390" s="91"/>
      <c r="T390" s="91"/>
      <c r="U390" s="91"/>
      <c r="V390" s="91"/>
      <c r="W390" s="91"/>
      <c r="X390" s="91"/>
      <c r="Y390" s="91"/>
    </row>
    <row r="391" spans="1:25">
      <c r="A391" s="91"/>
      <c r="B391" s="94"/>
      <c r="C391" s="94"/>
      <c r="D391" s="91"/>
      <c r="E391" s="91"/>
      <c r="F391" s="91"/>
      <c r="G391" s="91"/>
      <c r="H391" s="91"/>
      <c r="I391" s="91"/>
      <c r="J391" s="91"/>
      <c r="K391" s="91"/>
      <c r="L391" s="91"/>
      <c r="M391" s="91"/>
      <c r="N391" s="91"/>
      <c r="O391" s="91"/>
      <c r="P391" s="91"/>
      <c r="Q391" s="91"/>
      <c r="R391" s="91"/>
      <c r="S391" s="91"/>
      <c r="T391" s="91"/>
      <c r="U391" s="91"/>
      <c r="V391" s="91"/>
      <c r="W391" s="91"/>
      <c r="X391" s="91"/>
      <c r="Y391" s="91"/>
    </row>
    <row r="392" spans="1:25">
      <c r="A392" s="91"/>
      <c r="B392" s="94"/>
      <c r="C392" s="94"/>
      <c r="D392" s="91"/>
      <c r="E392" s="91"/>
      <c r="F392" s="91"/>
      <c r="G392" s="91"/>
      <c r="H392" s="91"/>
      <c r="I392" s="91"/>
      <c r="J392" s="91"/>
      <c r="K392" s="91"/>
      <c r="L392" s="91"/>
      <c r="M392" s="91"/>
      <c r="N392" s="91"/>
      <c r="O392" s="91"/>
      <c r="P392" s="91"/>
      <c r="Q392" s="91"/>
      <c r="R392" s="91"/>
      <c r="S392" s="91"/>
      <c r="T392" s="91"/>
      <c r="U392" s="91"/>
      <c r="V392" s="91"/>
      <c r="W392" s="91"/>
      <c r="X392" s="91"/>
      <c r="Y392" s="91"/>
    </row>
    <row r="393" spans="1:25">
      <c r="A393" s="91"/>
      <c r="B393" s="94"/>
      <c r="C393" s="94"/>
      <c r="D393" s="91"/>
      <c r="E393" s="91"/>
      <c r="F393" s="91"/>
      <c r="G393" s="91"/>
      <c r="H393" s="91"/>
      <c r="I393" s="91"/>
      <c r="J393" s="91"/>
      <c r="K393" s="91"/>
      <c r="L393" s="91"/>
      <c r="M393" s="91"/>
      <c r="N393" s="91"/>
      <c r="O393" s="91"/>
      <c r="P393" s="91"/>
      <c r="Q393" s="91"/>
      <c r="R393" s="91"/>
      <c r="S393" s="91"/>
      <c r="T393" s="91"/>
      <c r="U393" s="91"/>
      <c r="V393" s="91"/>
      <c r="W393" s="91"/>
      <c r="X393" s="91"/>
      <c r="Y393" s="91"/>
    </row>
    <row r="394" spans="1:25">
      <c r="A394" s="91"/>
      <c r="B394" s="94"/>
      <c r="C394" s="94"/>
      <c r="D394" s="91"/>
      <c r="E394" s="91"/>
      <c r="F394" s="91"/>
      <c r="G394" s="91"/>
      <c r="H394" s="91"/>
      <c r="I394" s="91"/>
      <c r="J394" s="91"/>
      <c r="K394" s="91"/>
      <c r="L394" s="91"/>
      <c r="M394" s="91"/>
      <c r="N394" s="91"/>
      <c r="O394" s="91"/>
      <c r="P394" s="91"/>
      <c r="Q394" s="91"/>
      <c r="R394" s="91"/>
      <c r="S394" s="91"/>
      <c r="T394" s="91"/>
      <c r="U394" s="91"/>
      <c r="V394" s="91"/>
      <c r="W394" s="91"/>
      <c r="X394" s="91"/>
      <c r="Y394" s="91"/>
    </row>
    <row r="395" spans="1:25">
      <c r="A395" s="91"/>
      <c r="B395" s="94"/>
      <c r="C395" s="94"/>
      <c r="D395" s="91"/>
      <c r="E395" s="91"/>
      <c r="F395" s="91"/>
      <c r="G395" s="91"/>
      <c r="H395" s="91"/>
      <c r="I395" s="91"/>
      <c r="J395" s="91"/>
      <c r="K395" s="91"/>
      <c r="L395" s="91"/>
      <c r="M395" s="91"/>
      <c r="N395" s="91"/>
      <c r="O395" s="91"/>
      <c r="P395" s="91"/>
      <c r="Q395" s="91"/>
      <c r="R395" s="91"/>
      <c r="S395" s="91"/>
      <c r="T395" s="91"/>
      <c r="U395" s="91"/>
      <c r="V395" s="91"/>
      <c r="W395" s="91"/>
      <c r="X395" s="91"/>
      <c r="Y395" s="91"/>
    </row>
    <row r="396" spans="1:25">
      <c r="A396" s="91"/>
      <c r="B396" s="94"/>
      <c r="C396" s="94"/>
      <c r="D396" s="91"/>
      <c r="E396" s="91"/>
      <c r="F396" s="91"/>
      <c r="G396" s="91"/>
      <c r="H396" s="91"/>
      <c r="I396" s="91"/>
      <c r="J396" s="91"/>
      <c r="K396" s="91"/>
      <c r="L396" s="91"/>
      <c r="M396" s="91"/>
      <c r="N396" s="91"/>
      <c r="O396" s="91"/>
      <c r="P396" s="91"/>
      <c r="Q396" s="91"/>
      <c r="R396" s="91"/>
      <c r="S396" s="91"/>
      <c r="T396" s="91"/>
      <c r="U396" s="91"/>
      <c r="V396" s="91"/>
      <c r="W396" s="91"/>
      <c r="X396" s="91"/>
      <c r="Y396" s="91"/>
    </row>
    <row r="397" spans="1:25">
      <c r="A397" s="91"/>
      <c r="B397" s="94"/>
      <c r="C397" s="94"/>
      <c r="D397" s="91"/>
      <c r="E397" s="91"/>
      <c r="F397" s="91"/>
      <c r="G397" s="91"/>
      <c r="H397" s="91"/>
      <c r="I397" s="91"/>
      <c r="J397" s="91"/>
      <c r="K397" s="91"/>
      <c r="L397" s="91"/>
      <c r="M397" s="91"/>
      <c r="N397" s="91"/>
      <c r="O397" s="91"/>
      <c r="P397" s="91"/>
      <c r="Q397" s="91"/>
      <c r="R397" s="91"/>
      <c r="S397" s="91"/>
      <c r="T397" s="91"/>
      <c r="U397" s="91"/>
      <c r="V397" s="91"/>
      <c r="W397" s="91"/>
      <c r="X397" s="91"/>
      <c r="Y397" s="91"/>
    </row>
    <row r="398" spans="1:25">
      <c r="A398" s="91"/>
      <c r="B398" s="94"/>
      <c r="C398" s="94"/>
      <c r="D398" s="91"/>
      <c r="E398" s="91"/>
      <c r="F398" s="91"/>
      <c r="G398" s="91"/>
      <c r="H398" s="91"/>
      <c r="I398" s="91"/>
      <c r="J398" s="91"/>
      <c r="K398" s="91"/>
      <c r="L398" s="91"/>
      <c r="M398" s="91"/>
      <c r="N398" s="91"/>
      <c r="O398" s="91"/>
      <c r="P398" s="91"/>
      <c r="Q398" s="91"/>
      <c r="R398" s="91"/>
      <c r="S398" s="91"/>
      <c r="T398" s="91"/>
      <c r="U398" s="91"/>
      <c r="V398" s="91"/>
      <c r="W398" s="91"/>
      <c r="X398" s="91"/>
      <c r="Y398" s="91"/>
    </row>
    <row r="399" spans="1:25">
      <c r="A399" s="91"/>
      <c r="B399" s="94"/>
      <c r="C399" s="94"/>
      <c r="D399" s="91"/>
      <c r="E399" s="91"/>
      <c r="F399" s="91"/>
      <c r="G399" s="91"/>
      <c r="H399" s="91"/>
      <c r="I399" s="91"/>
      <c r="J399" s="91"/>
      <c r="K399" s="91"/>
      <c r="L399" s="91"/>
      <c r="M399" s="91"/>
      <c r="N399" s="91"/>
      <c r="O399" s="91"/>
      <c r="P399" s="91"/>
      <c r="Q399" s="91"/>
      <c r="R399" s="91"/>
      <c r="S399" s="91"/>
      <c r="T399" s="91"/>
      <c r="U399" s="91"/>
      <c r="V399" s="91"/>
      <c r="W399" s="91"/>
      <c r="X399" s="91"/>
      <c r="Y399" s="91"/>
    </row>
    <row r="400" spans="1:25">
      <c r="A400" s="91"/>
      <c r="B400" s="94"/>
      <c r="C400" s="94"/>
      <c r="D400" s="91"/>
      <c r="E400" s="91"/>
      <c r="F400" s="91"/>
      <c r="G400" s="91"/>
      <c r="H400" s="91"/>
      <c r="I400" s="91"/>
      <c r="J400" s="91"/>
      <c r="K400" s="91"/>
      <c r="L400" s="91"/>
      <c r="M400" s="91"/>
      <c r="N400" s="91"/>
      <c r="O400" s="91"/>
      <c r="P400" s="91"/>
      <c r="Q400" s="91"/>
      <c r="R400" s="91"/>
      <c r="S400" s="91"/>
      <c r="T400" s="91"/>
      <c r="U400" s="91"/>
      <c r="V400" s="91"/>
      <c r="W400" s="91"/>
      <c r="X400" s="91"/>
      <c r="Y400" s="91"/>
    </row>
    <row r="401" spans="1:25">
      <c r="A401" s="91"/>
      <c r="B401" s="94"/>
      <c r="C401" s="94"/>
      <c r="D401" s="91"/>
      <c r="E401" s="91"/>
      <c r="F401" s="91"/>
      <c r="G401" s="91"/>
      <c r="H401" s="91"/>
      <c r="I401" s="91"/>
      <c r="J401" s="91"/>
      <c r="K401" s="91"/>
      <c r="L401" s="91"/>
      <c r="M401" s="91"/>
      <c r="N401" s="91"/>
      <c r="O401" s="91"/>
      <c r="P401" s="91"/>
      <c r="Q401" s="91"/>
      <c r="R401" s="91"/>
      <c r="S401" s="91"/>
      <c r="T401" s="91"/>
      <c r="U401" s="91"/>
      <c r="V401" s="91"/>
      <c r="W401" s="91"/>
      <c r="X401" s="91"/>
      <c r="Y401" s="91"/>
    </row>
    <row r="402" spans="1:25">
      <c r="A402" s="91"/>
      <c r="B402" s="94"/>
      <c r="C402" s="94"/>
      <c r="D402" s="91"/>
      <c r="E402" s="91"/>
      <c r="F402" s="91"/>
      <c r="G402" s="91"/>
      <c r="H402" s="91"/>
      <c r="I402" s="91"/>
      <c r="J402" s="91"/>
      <c r="K402" s="91"/>
      <c r="L402" s="91"/>
      <c r="M402" s="91"/>
      <c r="N402" s="91"/>
      <c r="O402" s="91"/>
      <c r="P402" s="91"/>
      <c r="Q402" s="91"/>
      <c r="R402" s="91"/>
      <c r="S402" s="91"/>
      <c r="T402" s="91"/>
      <c r="U402" s="91"/>
      <c r="V402" s="91"/>
      <c r="W402" s="91"/>
      <c r="X402" s="91"/>
      <c r="Y402" s="91"/>
    </row>
    <row r="403" spans="1:25">
      <c r="A403" s="91"/>
      <c r="B403" s="94"/>
      <c r="C403" s="94"/>
      <c r="D403" s="91"/>
      <c r="E403" s="91"/>
      <c r="F403" s="91"/>
      <c r="G403" s="91"/>
      <c r="H403" s="91"/>
      <c r="I403" s="91"/>
      <c r="J403" s="91"/>
      <c r="K403" s="91"/>
      <c r="L403" s="91"/>
      <c r="M403" s="91"/>
      <c r="N403" s="91"/>
      <c r="O403" s="91"/>
      <c r="P403" s="91"/>
      <c r="Q403" s="91"/>
      <c r="R403" s="91"/>
      <c r="S403" s="91"/>
      <c r="T403" s="91"/>
      <c r="U403" s="91"/>
      <c r="V403" s="91"/>
      <c r="W403" s="91"/>
      <c r="X403" s="91"/>
      <c r="Y403" s="91"/>
    </row>
    <row r="404" spans="1:25">
      <c r="A404" s="91"/>
      <c r="B404" s="94"/>
      <c r="C404" s="94"/>
      <c r="D404" s="91"/>
      <c r="E404" s="91"/>
      <c r="F404" s="91"/>
      <c r="G404" s="91"/>
      <c r="H404" s="91"/>
      <c r="I404" s="91"/>
      <c r="J404" s="91"/>
      <c r="K404" s="91"/>
      <c r="L404" s="91"/>
      <c r="M404" s="91"/>
      <c r="N404" s="91"/>
      <c r="O404" s="91"/>
      <c r="P404" s="91"/>
      <c r="Q404" s="91"/>
      <c r="R404" s="91"/>
      <c r="S404" s="91"/>
      <c r="T404" s="91"/>
      <c r="U404" s="91"/>
      <c r="V404" s="91"/>
      <c r="W404" s="91"/>
      <c r="X404" s="91"/>
      <c r="Y404" s="91"/>
    </row>
    <row r="405" spans="1:25">
      <c r="A405" s="91"/>
      <c r="B405" s="94"/>
      <c r="C405" s="94"/>
      <c r="D405" s="91"/>
      <c r="E405" s="91"/>
      <c r="F405" s="91"/>
      <c r="G405" s="91"/>
      <c r="H405" s="91"/>
      <c r="I405" s="91"/>
      <c r="J405" s="91"/>
      <c r="K405" s="91"/>
      <c r="L405" s="91"/>
      <c r="M405" s="91"/>
      <c r="N405" s="91"/>
      <c r="O405" s="91"/>
      <c r="P405" s="91"/>
      <c r="Q405" s="91"/>
      <c r="R405" s="91"/>
      <c r="S405" s="91"/>
      <c r="T405" s="91"/>
      <c r="U405" s="91"/>
      <c r="V405" s="91"/>
      <c r="W405" s="91"/>
      <c r="X405" s="91"/>
      <c r="Y405" s="91"/>
    </row>
    <row r="406" spans="1:25">
      <c r="A406" s="91"/>
      <c r="B406" s="94"/>
      <c r="C406" s="94"/>
      <c r="D406" s="91"/>
      <c r="E406" s="91"/>
      <c r="F406" s="91"/>
      <c r="G406" s="91"/>
      <c r="H406" s="91"/>
      <c r="I406" s="91"/>
      <c r="J406" s="91"/>
      <c r="K406" s="91"/>
      <c r="L406" s="91"/>
      <c r="M406" s="91"/>
      <c r="N406" s="91"/>
      <c r="O406" s="91"/>
      <c r="P406" s="91"/>
      <c r="Q406" s="91"/>
      <c r="R406" s="91"/>
      <c r="S406" s="91"/>
      <c r="T406" s="91"/>
      <c r="U406" s="91"/>
      <c r="V406" s="91"/>
      <c r="W406" s="91"/>
      <c r="X406" s="91"/>
      <c r="Y406" s="91"/>
    </row>
    <row r="407" spans="1:25">
      <c r="A407" s="91"/>
      <c r="B407" s="94"/>
      <c r="C407" s="94"/>
      <c r="D407" s="91"/>
      <c r="E407" s="91"/>
      <c r="F407" s="91"/>
      <c r="G407" s="91"/>
      <c r="H407" s="91"/>
      <c r="I407" s="91"/>
      <c r="J407" s="91"/>
      <c r="K407" s="91"/>
      <c r="L407" s="91"/>
      <c r="M407" s="91"/>
      <c r="N407" s="91"/>
      <c r="O407" s="91"/>
      <c r="P407" s="91"/>
      <c r="Q407" s="91"/>
      <c r="R407" s="91"/>
      <c r="S407" s="91"/>
      <c r="T407" s="91"/>
      <c r="U407" s="91"/>
      <c r="V407" s="91"/>
      <c r="W407" s="91"/>
      <c r="X407" s="91"/>
      <c r="Y407" s="91"/>
    </row>
    <row r="408" spans="1:25">
      <c r="A408" s="91"/>
      <c r="B408" s="94"/>
      <c r="C408" s="94"/>
      <c r="D408" s="91"/>
      <c r="E408" s="91"/>
      <c r="F408" s="91"/>
      <c r="G408" s="91"/>
      <c r="H408" s="91"/>
      <c r="I408" s="91"/>
      <c r="J408" s="91"/>
      <c r="K408" s="91"/>
      <c r="L408" s="91"/>
      <c r="M408" s="91"/>
      <c r="N408" s="91"/>
      <c r="O408" s="91"/>
      <c r="P408" s="91"/>
      <c r="Q408" s="91"/>
      <c r="R408" s="91"/>
      <c r="S408" s="91"/>
      <c r="T408" s="91"/>
      <c r="U408" s="91"/>
      <c r="V408" s="91"/>
      <c r="W408" s="91"/>
      <c r="X408" s="91"/>
      <c r="Y408" s="91"/>
    </row>
    <row r="409" spans="1:25">
      <c r="A409" s="91"/>
      <c r="B409" s="94"/>
      <c r="C409" s="94"/>
      <c r="D409" s="91"/>
      <c r="E409" s="91"/>
      <c r="F409" s="91"/>
      <c r="G409" s="91"/>
      <c r="H409" s="91"/>
      <c r="I409" s="91"/>
      <c r="J409" s="91"/>
      <c r="K409" s="91"/>
      <c r="L409" s="91"/>
      <c r="M409" s="91"/>
      <c r="N409" s="91"/>
      <c r="O409" s="91"/>
      <c r="P409" s="91"/>
      <c r="Q409" s="91"/>
      <c r="R409" s="91"/>
      <c r="S409" s="91"/>
      <c r="T409" s="91"/>
      <c r="U409" s="91"/>
      <c r="V409" s="91"/>
      <c r="W409" s="91"/>
      <c r="X409" s="91"/>
      <c r="Y409" s="91"/>
    </row>
    <row r="410" spans="1:25">
      <c r="A410" s="91"/>
      <c r="B410" s="94"/>
      <c r="C410" s="94"/>
      <c r="D410" s="91"/>
      <c r="E410" s="91"/>
      <c r="F410" s="91"/>
      <c r="G410" s="91"/>
      <c r="H410" s="91"/>
      <c r="I410" s="91"/>
      <c r="J410" s="91"/>
      <c r="K410" s="91"/>
      <c r="L410" s="91"/>
      <c r="M410" s="91"/>
      <c r="N410" s="91"/>
      <c r="O410" s="91"/>
      <c r="P410" s="91"/>
      <c r="Q410" s="91"/>
      <c r="R410" s="91"/>
      <c r="S410" s="91"/>
      <c r="T410" s="91"/>
      <c r="U410" s="91"/>
      <c r="V410" s="91"/>
      <c r="W410" s="91"/>
      <c r="X410" s="91"/>
      <c r="Y410" s="91"/>
    </row>
    <row r="411" spans="1:25">
      <c r="A411" s="91"/>
      <c r="B411" s="94"/>
      <c r="C411" s="94"/>
      <c r="D411" s="91"/>
      <c r="E411" s="91"/>
      <c r="F411" s="91"/>
      <c r="G411" s="91"/>
      <c r="H411" s="91"/>
      <c r="I411" s="91"/>
      <c r="J411" s="91"/>
      <c r="K411" s="91"/>
      <c r="L411" s="91"/>
      <c r="M411" s="91"/>
      <c r="N411" s="91"/>
      <c r="O411" s="91"/>
      <c r="P411" s="91"/>
      <c r="Q411" s="91"/>
      <c r="R411" s="91"/>
      <c r="S411" s="91"/>
      <c r="T411" s="91"/>
      <c r="U411" s="91"/>
      <c r="V411" s="91"/>
      <c r="W411" s="91"/>
      <c r="X411" s="91"/>
      <c r="Y411" s="91"/>
    </row>
    <row r="412" spans="1:25">
      <c r="A412" s="91"/>
      <c r="B412" s="94"/>
      <c r="C412" s="94"/>
      <c r="D412" s="91"/>
      <c r="E412" s="91"/>
      <c r="F412" s="91"/>
      <c r="G412" s="91"/>
      <c r="H412" s="91"/>
      <c r="I412" s="91"/>
      <c r="J412" s="91"/>
      <c r="K412" s="91"/>
      <c r="L412" s="91"/>
      <c r="M412" s="91"/>
      <c r="N412" s="91"/>
      <c r="O412" s="91"/>
      <c r="P412" s="91"/>
      <c r="Q412" s="91"/>
      <c r="R412" s="91"/>
      <c r="S412" s="91"/>
      <c r="T412" s="91"/>
      <c r="U412" s="91"/>
      <c r="V412" s="91"/>
      <c r="W412" s="91"/>
      <c r="X412" s="91"/>
      <c r="Y412" s="91"/>
    </row>
    <row r="413" spans="1:25">
      <c r="A413" s="91"/>
      <c r="B413" s="94"/>
      <c r="C413" s="94"/>
      <c r="D413" s="91"/>
      <c r="E413" s="91"/>
      <c r="F413" s="91"/>
      <c r="G413" s="91"/>
      <c r="H413" s="91"/>
      <c r="I413" s="91"/>
      <c r="J413" s="91"/>
      <c r="K413" s="91"/>
      <c r="L413" s="91"/>
      <c r="M413" s="91"/>
      <c r="N413" s="91"/>
      <c r="O413" s="91"/>
      <c r="P413" s="91"/>
      <c r="Q413" s="91"/>
      <c r="R413" s="91"/>
      <c r="S413" s="91"/>
      <c r="T413" s="91"/>
      <c r="U413" s="91"/>
      <c r="V413" s="91"/>
      <c r="W413" s="91"/>
      <c r="X413" s="91"/>
      <c r="Y413" s="91"/>
    </row>
    <row r="414" spans="1:25">
      <c r="A414" s="91"/>
      <c r="B414" s="94"/>
      <c r="C414" s="94"/>
      <c r="D414" s="91"/>
      <c r="E414" s="91"/>
      <c r="F414" s="91"/>
      <c r="G414" s="91"/>
      <c r="H414" s="91"/>
      <c r="I414" s="91"/>
      <c r="J414" s="91"/>
      <c r="K414" s="91"/>
      <c r="L414" s="91"/>
      <c r="M414" s="91"/>
      <c r="N414" s="91"/>
      <c r="O414" s="91"/>
      <c r="P414" s="91"/>
      <c r="Q414" s="91"/>
      <c r="R414" s="91"/>
      <c r="S414" s="91"/>
      <c r="T414" s="91"/>
      <c r="U414" s="91"/>
      <c r="V414" s="91"/>
      <c r="W414" s="91"/>
      <c r="X414" s="91"/>
      <c r="Y414" s="91"/>
    </row>
    <row r="415" spans="1:25">
      <c r="A415" s="91"/>
      <c r="B415" s="94"/>
      <c r="C415" s="94"/>
      <c r="D415" s="91"/>
      <c r="E415" s="91"/>
      <c r="F415" s="91"/>
      <c r="G415" s="91"/>
      <c r="H415" s="91"/>
      <c r="I415" s="91"/>
      <c r="J415" s="91"/>
      <c r="K415" s="91"/>
      <c r="L415" s="91"/>
      <c r="M415" s="91"/>
      <c r="N415" s="91"/>
      <c r="O415" s="91"/>
      <c r="P415" s="91"/>
      <c r="Q415" s="91"/>
      <c r="R415" s="91"/>
      <c r="S415" s="91"/>
      <c r="T415" s="91"/>
      <c r="U415" s="91"/>
      <c r="V415" s="91"/>
      <c r="W415" s="91"/>
      <c r="X415" s="91"/>
      <c r="Y415" s="91"/>
    </row>
    <row r="416" spans="1:25">
      <c r="A416" s="91"/>
      <c r="B416" s="94"/>
      <c r="C416" s="94"/>
      <c r="D416" s="91"/>
      <c r="E416" s="91"/>
      <c r="F416" s="91"/>
      <c r="G416" s="91"/>
      <c r="H416" s="91"/>
      <c r="I416" s="91"/>
      <c r="J416" s="91"/>
      <c r="K416" s="91"/>
      <c r="L416" s="91"/>
      <c r="M416" s="91"/>
      <c r="N416" s="91"/>
      <c r="O416" s="91"/>
      <c r="P416" s="91"/>
      <c r="Q416" s="91"/>
      <c r="R416" s="91"/>
      <c r="S416" s="91"/>
      <c r="T416" s="91"/>
      <c r="U416" s="91"/>
      <c r="V416" s="91"/>
      <c r="W416" s="91"/>
      <c r="X416" s="91"/>
      <c r="Y416" s="91"/>
    </row>
    <row r="417" spans="1:25">
      <c r="A417" s="91"/>
      <c r="B417" s="94"/>
      <c r="C417" s="94"/>
      <c r="D417" s="91"/>
      <c r="E417" s="91"/>
      <c r="F417" s="91"/>
      <c r="G417" s="91"/>
      <c r="H417" s="91"/>
      <c r="I417" s="91"/>
      <c r="J417" s="91"/>
      <c r="K417" s="91"/>
      <c r="L417" s="91"/>
      <c r="M417" s="91"/>
      <c r="N417" s="91"/>
      <c r="O417" s="91"/>
      <c r="P417" s="91"/>
      <c r="Q417" s="91"/>
      <c r="R417" s="91"/>
      <c r="S417" s="91"/>
      <c r="T417" s="91"/>
      <c r="U417" s="91"/>
      <c r="V417" s="91"/>
      <c r="W417" s="91"/>
      <c r="X417" s="91"/>
      <c r="Y417" s="91"/>
    </row>
    <row r="418" spans="1:25">
      <c r="A418" s="91"/>
      <c r="B418" s="94"/>
      <c r="C418" s="94"/>
      <c r="D418" s="91"/>
      <c r="E418" s="91"/>
      <c r="F418" s="91"/>
      <c r="G418" s="91"/>
      <c r="H418" s="91"/>
      <c r="I418" s="91"/>
      <c r="J418" s="91"/>
      <c r="K418" s="91"/>
      <c r="L418" s="91"/>
      <c r="M418" s="91"/>
      <c r="N418" s="91"/>
      <c r="O418" s="91"/>
      <c r="P418" s="91"/>
      <c r="Q418" s="91"/>
      <c r="R418" s="91"/>
      <c r="S418" s="91"/>
      <c r="T418" s="91"/>
      <c r="U418" s="91"/>
      <c r="V418" s="91"/>
      <c r="W418" s="91"/>
      <c r="X418" s="91"/>
      <c r="Y418" s="91"/>
    </row>
    <row r="419" spans="1:25">
      <c r="A419" s="91"/>
      <c r="B419" s="94"/>
      <c r="C419" s="94"/>
      <c r="D419" s="91"/>
      <c r="E419" s="91"/>
      <c r="F419" s="91"/>
      <c r="G419" s="91"/>
      <c r="H419" s="91"/>
      <c r="I419" s="91"/>
      <c r="J419" s="91"/>
      <c r="K419" s="91"/>
      <c r="L419" s="91"/>
      <c r="M419" s="91"/>
      <c r="N419" s="91"/>
      <c r="O419" s="91"/>
      <c r="P419" s="91"/>
      <c r="Q419" s="91"/>
      <c r="R419" s="91"/>
      <c r="S419" s="91"/>
      <c r="T419" s="91"/>
      <c r="U419" s="91"/>
      <c r="V419" s="91"/>
      <c r="W419" s="91"/>
      <c r="X419" s="91"/>
      <c r="Y419" s="91"/>
    </row>
    <row r="420" spans="1:25">
      <c r="A420" s="91"/>
      <c r="B420" s="94"/>
      <c r="C420" s="94"/>
      <c r="D420" s="91"/>
      <c r="E420" s="91"/>
      <c r="F420" s="91"/>
      <c r="G420" s="91"/>
      <c r="H420" s="91"/>
      <c r="I420" s="91"/>
      <c r="J420" s="91"/>
      <c r="K420" s="91"/>
      <c r="L420" s="91"/>
      <c r="M420" s="91"/>
      <c r="N420" s="91"/>
      <c r="O420" s="91"/>
      <c r="P420" s="91"/>
      <c r="Q420" s="91"/>
      <c r="R420" s="91"/>
      <c r="S420" s="91"/>
      <c r="T420" s="91"/>
      <c r="U420" s="91"/>
      <c r="V420" s="91"/>
      <c r="W420" s="91"/>
      <c r="X420" s="91"/>
      <c r="Y420" s="91"/>
    </row>
    <row r="421" spans="1:25">
      <c r="A421" s="91"/>
      <c r="B421" s="94"/>
      <c r="C421" s="94"/>
      <c r="D421" s="91"/>
      <c r="E421" s="91"/>
      <c r="F421" s="91"/>
      <c r="G421" s="91"/>
      <c r="H421" s="91"/>
      <c r="I421" s="91"/>
      <c r="J421" s="91"/>
      <c r="K421" s="91"/>
      <c r="L421" s="91"/>
      <c r="M421" s="91"/>
      <c r="N421" s="91"/>
      <c r="O421" s="91"/>
      <c r="P421" s="91"/>
      <c r="Q421" s="91"/>
      <c r="R421" s="91"/>
      <c r="S421" s="91"/>
      <c r="T421" s="91"/>
      <c r="U421" s="91"/>
      <c r="V421" s="91"/>
      <c r="W421" s="91"/>
      <c r="X421" s="91"/>
      <c r="Y421" s="91"/>
    </row>
    <row r="422" spans="1:25">
      <c r="A422" s="91"/>
      <c r="B422" s="94"/>
      <c r="C422" s="94"/>
      <c r="D422" s="91"/>
      <c r="E422" s="91"/>
      <c r="F422" s="91"/>
      <c r="G422" s="91"/>
      <c r="H422" s="91"/>
      <c r="I422" s="91"/>
      <c r="J422" s="91"/>
      <c r="K422" s="91"/>
      <c r="L422" s="91"/>
      <c r="M422" s="91"/>
      <c r="N422" s="91"/>
      <c r="O422" s="91"/>
      <c r="P422" s="91"/>
      <c r="Q422" s="91"/>
      <c r="R422" s="91"/>
      <c r="S422" s="91"/>
      <c r="T422" s="91"/>
      <c r="U422" s="91"/>
      <c r="V422" s="91"/>
      <c r="W422" s="91"/>
      <c r="X422" s="91"/>
      <c r="Y422" s="91"/>
    </row>
    <row r="423" spans="1:25">
      <c r="A423" s="91"/>
      <c r="B423" s="94"/>
      <c r="C423" s="94"/>
      <c r="D423" s="91"/>
      <c r="E423" s="91"/>
      <c r="F423" s="91"/>
      <c r="G423" s="91"/>
      <c r="H423" s="91"/>
      <c r="I423" s="91"/>
      <c r="J423" s="91"/>
      <c r="K423" s="91"/>
      <c r="L423" s="91"/>
      <c r="M423" s="91"/>
      <c r="N423" s="91"/>
      <c r="O423" s="91"/>
      <c r="P423" s="91"/>
      <c r="Q423" s="91"/>
      <c r="R423" s="91"/>
      <c r="S423" s="91"/>
      <c r="T423" s="91"/>
      <c r="U423" s="91"/>
      <c r="V423" s="91"/>
      <c r="W423" s="91"/>
      <c r="X423" s="91"/>
      <c r="Y423" s="91"/>
    </row>
    <row r="424" spans="1:25">
      <c r="A424" s="91"/>
      <c r="B424" s="94"/>
      <c r="C424" s="94"/>
      <c r="D424" s="91"/>
      <c r="E424" s="91"/>
      <c r="F424" s="91"/>
      <c r="G424" s="91"/>
      <c r="H424" s="91"/>
      <c r="I424" s="91"/>
      <c r="J424" s="91"/>
      <c r="K424" s="91"/>
      <c r="L424" s="91"/>
      <c r="M424" s="91"/>
      <c r="N424" s="91"/>
      <c r="O424" s="91"/>
      <c r="P424" s="91"/>
      <c r="Q424" s="91"/>
      <c r="R424" s="91"/>
      <c r="S424" s="91"/>
      <c r="T424" s="91"/>
      <c r="U424" s="91"/>
      <c r="V424" s="91"/>
      <c r="W424" s="91"/>
      <c r="X424" s="91"/>
      <c r="Y424" s="91"/>
    </row>
    <row r="425" spans="1:25">
      <c r="A425" s="91"/>
      <c r="B425" s="94"/>
      <c r="C425" s="94"/>
      <c r="D425" s="91"/>
      <c r="E425" s="91"/>
      <c r="F425" s="91"/>
      <c r="G425" s="91"/>
      <c r="H425" s="91"/>
      <c r="I425" s="91"/>
      <c r="J425" s="91"/>
      <c r="K425" s="91"/>
      <c r="L425" s="91"/>
      <c r="M425" s="91"/>
      <c r="N425" s="91"/>
      <c r="O425" s="91"/>
      <c r="P425" s="91"/>
      <c r="Q425" s="91"/>
      <c r="R425" s="91"/>
      <c r="S425" s="91"/>
      <c r="T425" s="91"/>
      <c r="U425" s="91"/>
      <c r="V425" s="91"/>
      <c r="W425" s="91"/>
      <c r="X425" s="91"/>
      <c r="Y425" s="91"/>
    </row>
    <row r="426" spans="1:25">
      <c r="A426" s="91"/>
      <c r="B426" s="94"/>
      <c r="C426" s="94"/>
      <c r="D426" s="91"/>
      <c r="E426" s="91"/>
      <c r="F426" s="91"/>
      <c r="G426" s="91"/>
      <c r="H426" s="91"/>
      <c r="I426" s="91"/>
      <c r="J426" s="91"/>
      <c r="K426" s="91"/>
      <c r="L426" s="91"/>
      <c r="M426" s="91"/>
      <c r="N426" s="91"/>
      <c r="O426" s="91"/>
      <c r="P426" s="91"/>
      <c r="Q426" s="91"/>
      <c r="R426" s="91"/>
      <c r="S426" s="91"/>
      <c r="T426" s="91"/>
      <c r="U426" s="91"/>
      <c r="V426" s="91"/>
      <c r="W426" s="91"/>
      <c r="X426" s="91"/>
      <c r="Y426" s="91"/>
    </row>
    <row r="427" spans="1:25">
      <c r="A427" s="91"/>
      <c r="B427" s="94"/>
      <c r="C427" s="94"/>
      <c r="D427" s="91"/>
      <c r="E427" s="91"/>
      <c r="F427" s="91"/>
      <c r="G427" s="91"/>
      <c r="H427" s="91"/>
      <c r="I427" s="91"/>
      <c r="J427" s="91"/>
      <c r="K427" s="91"/>
      <c r="L427" s="91"/>
      <c r="M427" s="91"/>
      <c r="N427" s="91"/>
      <c r="O427" s="91"/>
      <c r="P427" s="91"/>
      <c r="Q427" s="91"/>
      <c r="R427" s="91"/>
      <c r="S427" s="91"/>
      <c r="T427" s="91"/>
      <c r="U427" s="91"/>
      <c r="V427" s="91"/>
      <c r="W427" s="91"/>
      <c r="X427" s="91"/>
      <c r="Y427" s="91"/>
    </row>
    <row r="428" spans="1:25">
      <c r="A428" s="91"/>
      <c r="B428" s="94"/>
      <c r="C428" s="94"/>
      <c r="D428" s="91"/>
      <c r="E428" s="91"/>
      <c r="F428" s="91"/>
      <c r="G428" s="91"/>
      <c r="H428" s="91"/>
      <c r="I428" s="91"/>
      <c r="J428" s="91"/>
      <c r="K428" s="91"/>
      <c r="L428" s="91"/>
      <c r="M428" s="91"/>
      <c r="N428" s="91"/>
      <c r="O428" s="91"/>
      <c r="P428" s="91"/>
      <c r="Q428" s="91"/>
      <c r="R428" s="91"/>
      <c r="S428" s="91"/>
      <c r="T428" s="91"/>
      <c r="U428" s="91"/>
      <c r="V428" s="91"/>
      <c r="W428" s="91"/>
      <c r="X428" s="91"/>
      <c r="Y428" s="91"/>
    </row>
    <row r="429" spans="1:25">
      <c r="A429" s="91"/>
      <c r="B429" s="94"/>
      <c r="C429" s="94"/>
      <c r="D429" s="91"/>
      <c r="E429" s="91"/>
      <c r="F429" s="91"/>
      <c r="G429" s="91"/>
      <c r="H429" s="91"/>
      <c r="I429" s="91"/>
      <c r="J429" s="91"/>
      <c r="K429" s="91"/>
      <c r="L429" s="91"/>
      <c r="M429" s="91"/>
      <c r="N429" s="91"/>
      <c r="O429" s="91"/>
      <c r="P429" s="91"/>
      <c r="Q429" s="91"/>
      <c r="R429" s="91"/>
      <c r="S429" s="91"/>
      <c r="T429" s="91"/>
      <c r="U429" s="91"/>
      <c r="V429" s="91"/>
      <c r="W429" s="91"/>
      <c r="X429" s="91"/>
      <c r="Y429" s="91"/>
    </row>
    <row r="430" spans="1:25">
      <c r="A430" s="91"/>
      <c r="B430" s="94"/>
      <c r="C430" s="94"/>
      <c r="D430" s="91"/>
      <c r="E430" s="91"/>
      <c r="F430" s="91"/>
      <c r="G430" s="91"/>
      <c r="H430" s="91"/>
      <c r="I430" s="91"/>
      <c r="J430" s="91"/>
      <c r="K430" s="91"/>
      <c r="L430" s="91"/>
      <c r="M430" s="91"/>
      <c r="N430" s="91"/>
      <c r="O430" s="91"/>
      <c r="P430" s="91"/>
      <c r="Q430" s="91"/>
      <c r="R430" s="91"/>
      <c r="S430" s="91"/>
      <c r="T430" s="91"/>
      <c r="U430" s="91"/>
      <c r="V430" s="91"/>
      <c r="W430" s="91"/>
      <c r="X430" s="91"/>
      <c r="Y430" s="91"/>
    </row>
    <row r="431" spans="1:25">
      <c r="A431" s="91"/>
      <c r="B431" s="94"/>
      <c r="C431" s="94"/>
      <c r="D431" s="91"/>
      <c r="E431" s="91"/>
      <c r="F431" s="91"/>
      <c r="G431" s="91"/>
      <c r="H431" s="91"/>
      <c r="I431" s="91"/>
      <c r="J431" s="91"/>
      <c r="K431" s="91"/>
      <c r="L431" s="91"/>
      <c r="M431" s="91"/>
      <c r="N431" s="91"/>
      <c r="O431" s="91"/>
      <c r="P431" s="91"/>
      <c r="Q431" s="91"/>
      <c r="R431" s="91"/>
      <c r="S431" s="91"/>
      <c r="T431" s="91"/>
      <c r="U431" s="91"/>
      <c r="V431" s="91"/>
      <c r="W431" s="91"/>
      <c r="X431" s="91"/>
      <c r="Y431" s="91"/>
    </row>
    <row r="432" spans="1:25">
      <c r="A432" s="91"/>
      <c r="B432" s="94"/>
      <c r="C432" s="94"/>
      <c r="D432" s="91"/>
      <c r="E432" s="91"/>
      <c r="F432" s="91"/>
      <c r="G432" s="91"/>
      <c r="H432" s="91"/>
      <c r="I432" s="91"/>
      <c r="J432" s="91"/>
      <c r="K432" s="91"/>
      <c r="L432" s="91"/>
      <c r="M432" s="91"/>
      <c r="N432" s="91"/>
      <c r="O432" s="91"/>
      <c r="P432" s="91"/>
      <c r="Q432" s="91"/>
      <c r="R432" s="91"/>
      <c r="S432" s="91"/>
      <c r="T432" s="91"/>
      <c r="U432" s="91"/>
      <c r="V432" s="91"/>
      <c r="W432" s="91"/>
      <c r="X432" s="91"/>
      <c r="Y432" s="91"/>
    </row>
    <row r="433" spans="1:25">
      <c r="A433" s="91"/>
      <c r="B433" s="94"/>
      <c r="C433" s="94"/>
      <c r="D433" s="91"/>
      <c r="E433" s="91"/>
      <c r="F433" s="91"/>
      <c r="G433" s="91"/>
      <c r="H433" s="91"/>
      <c r="I433" s="91"/>
      <c r="J433" s="91"/>
      <c r="K433" s="91"/>
      <c r="L433" s="91"/>
      <c r="M433" s="91"/>
      <c r="N433" s="91"/>
      <c r="O433" s="91"/>
      <c r="P433" s="91"/>
      <c r="Q433" s="91"/>
      <c r="R433" s="91"/>
      <c r="S433" s="91"/>
      <c r="T433" s="91"/>
      <c r="U433" s="91"/>
      <c r="V433" s="91"/>
      <c r="W433" s="91"/>
      <c r="X433" s="91"/>
      <c r="Y433" s="91"/>
    </row>
    <row r="434" spans="1:25">
      <c r="A434" s="91"/>
      <c r="B434" s="94"/>
      <c r="C434" s="94"/>
      <c r="D434" s="91"/>
      <c r="E434" s="91"/>
      <c r="F434" s="91"/>
      <c r="G434" s="91"/>
      <c r="H434" s="91"/>
      <c r="I434" s="91"/>
      <c r="J434" s="91"/>
      <c r="K434" s="91"/>
      <c r="L434" s="91"/>
      <c r="M434" s="91"/>
      <c r="N434" s="91"/>
      <c r="O434" s="91"/>
      <c r="P434" s="91"/>
      <c r="Q434" s="91"/>
      <c r="R434" s="91"/>
      <c r="S434" s="91"/>
      <c r="T434" s="91"/>
      <c r="U434" s="91"/>
      <c r="V434" s="91"/>
      <c r="W434" s="91"/>
      <c r="X434" s="91"/>
      <c r="Y434" s="91"/>
    </row>
    <row r="435" spans="1:25">
      <c r="A435" s="91"/>
      <c r="B435" s="94"/>
      <c r="C435" s="94"/>
      <c r="D435" s="91"/>
      <c r="E435" s="91"/>
      <c r="F435" s="91"/>
      <c r="G435" s="91"/>
      <c r="H435" s="91"/>
      <c r="I435" s="91"/>
      <c r="J435" s="91"/>
      <c r="K435" s="91"/>
      <c r="L435" s="91"/>
      <c r="M435" s="91"/>
      <c r="N435" s="91"/>
      <c r="O435" s="91"/>
      <c r="P435" s="91"/>
      <c r="Q435" s="91"/>
      <c r="R435" s="91"/>
      <c r="S435" s="91"/>
      <c r="T435" s="91"/>
      <c r="U435" s="91"/>
      <c r="V435" s="91"/>
      <c r="W435" s="91"/>
      <c r="X435" s="91"/>
      <c r="Y435" s="91"/>
    </row>
    <row r="436" spans="1:25">
      <c r="A436" s="91"/>
      <c r="B436" s="94"/>
      <c r="C436" s="94"/>
      <c r="D436" s="91"/>
      <c r="E436" s="91"/>
      <c r="F436" s="91"/>
      <c r="G436" s="91"/>
      <c r="H436" s="91"/>
      <c r="I436" s="91"/>
      <c r="J436" s="91"/>
      <c r="K436" s="91"/>
      <c r="L436" s="91"/>
      <c r="M436" s="91"/>
      <c r="N436" s="91"/>
      <c r="O436" s="91"/>
      <c r="P436" s="91"/>
      <c r="Q436" s="91"/>
      <c r="R436" s="91"/>
      <c r="S436" s="91"/>
      <c r="T436" s="91"/>
      <c r="U436" s="91"/>
      <c r="V436" s="91"/>
      <c r="W436" s="91"/>
      <c r="X436" s="91"/>
      <c r="Y436" s="91"/>
    </row>
    <row r="437" spans="1:25">
      <c r="A437" s="91"/>
      <c r="B437" s="94"/>
      <c r="C437" s="94"/>
      <c r="D437" s="91"/>
      <c r="E437" s="91"/>
      <c r="F437" s="91"/>
      <c r="G437" s="91"/>
      <c r="H437" s="91"/>
      <c r="I437" s="91"/>
      <c r="J437" s="91"/>
      <c r="K437" s="91"/>
      <c r="L437" s="91"/>
      <c r="M437" s="91"/>
      <c r="N437" s="91"/>
      <c r="O437" s="91"/>
      <c r="P437" s="91"/>
      <c r="Q437" s="91"/>
      <c r="R437" s="91"/>
      <c r="S437" s="91"/>
      <c r="T437" s="91"/>
      <c r="U437" s="91"/>
      <c r="V437" s="91"/>
      <c r="W437" s="91"/>
      <c r="X437" s="91"/>
      <c r="Y437" s="91"/>
    </row>
    <row r="438" spans="1:25">
      <c r="A438" s="91"/>
      <c r="B438" s="94"/>
      <c r="C438" s="94"/>
      <c r="D438" s="91"/>
      <c r="E438" s="91"/>
      <c r="F438" s="91"/>
      <c r="G438" s="91"/>
      <c r="H438" s="91"/>
      <c r="I438" s="91"/>
      <c r="J438" s="91"/>
      <c r="K438" s="91"/>
      <c r="L438" s="91"/>
      <c r="M438" s="91"/>
      <c r="N438" s="91"/>
      <c r="O438" s="91"/>
      <c r="P438" s="91"/>
      <c r="Q438" s="91"/>
      <c r="R438" s="91"/>
      <c r="S438" s="91"/>
      <c r="T438" s="91"/>
      <c r="U438" s="91"/>
      <c r="V438" s="91"/>
      <c r="W438" s="91"/>
      <c r="X438" s="91"/>
      <c r="Y438" s="91"/>
    </row>
    <row r="439" spans="1:25">
      <c r="A439" s="91"/>
      <c r="B439" s="94"/>
      <c r="C439" s="94"/>
      <c r="D439" s="91"/>
      <c r="E439" s="91"/>
      <c r="F439" s="91"/>
      <c r="G439" s="91"/>
      <c r="H439" s="91"/>
      <c r="I439" s="91"/>
      <c r="J439" s="91"/>
      <c r="K439" s="91"/>
      <c r="L439" s="91"/>
      <c r="M439" s="91"/>
      <c r="N439" s="91"/>
      <c r="O439" s="91"/>
      <c r="P439" s="91"/>
      <c r="Q439" s="91"/>
      <c r="R439" s="91"/>
      <c r="S439" s="91"/>
      <c r="T439" s="91"/>
      <c r="U439" s="91"/>
      <c r="V439" s="91"/>
      <c r="W439" s="91"/>
      <c r="X439" s="91"/>
      <c r="Y439" s="91"/>
    </row>
    <row r="440" spans="1:25">
      <c r="A440" s="91"/>
      <c r="B440" s="94"/>
      <c r="C440" s="94"/>
      <c r="D440" s="91"/>
      <c r="E440" s="91"/>
      <c r="F440" s="91"/>
      <c r="G440" s="91"/>
      <c r="H440" s="91"/>
      <c r="I440" s="91"/>
      <c r="J440" s="91"/>
      <c r="K440" s="91"/>
      <c r="L440" s="91"/>
      <c r="M440" s="91"/>
      <c r="N440" s="91"/>
      <c r="O440" s="91"/>
      <c r="P440" s="91"/>
      <c r="Q440" s="91"/>
      <c r="R440" s="91"/>
      <c r="S440" s="91"/>
      <c r="T440" s="91"/>
      <c r="U440" s="91"/>
      <c r="V440" s="91"/>
      <c r="W440" s="91"/>
      <c r="X440" s="91"/>
      <c r="Y440" s="91"/>
    </row>
    <row r="441" spans="1:25">
      <c r="A441" s="91"/>
      <c r="B441" s="94"/>
      <c r="C441" s="94"/>
      <c r="D441" s="91"/>
      <c r="E441" s="91"/>
      <c r="F441" s="91"/>
      <c r="G441" s="91"/>
      <c r="H441" s="91"/>
      <c r="I441" s="91"/>
      <c r="J441" s="91"/>
      <c r="K441" s="91"/>
      <c r="L441" s="91"/>
      <c r="M441" s="91"/>
      <c r="N441" s="91"/>
      <c r="O441" s="91"/>
      <c r="P441" s="91"/>
      <c r="Q441" s="91"/>
      <c r="R441" s="91"/>
      <c r="S441" s="91"/>
      <c r="T441" s="91"/>
      <c r="U441" s="91"/>
      <c r="V441" s="91"/>
      <c r="W441" s="91"/>
      <c r="X441" s="91"/>
      <c r="Y441" s="91"/>
    </row>
    <row r="442" spans="1:25">
      <c r="A442" s="91"/>
      <c r="B442" s="94"/>
      <c r="C442" s="94"/>
      <c r="D442" s="91"/>
      <c r="E442" s="91"/>
      <c r="F442" s="91"/>
      <c r="G442" s="91"/>
      <c r="H442" s="91"/>
      <c r="I442" s="91"/>
      <c r="J442" s="91"/>
      <c r="K442" s="91"/>
      <c r="L442" s="91"/>
      <c r="M442" s="91"/>
      <c r="N442" s="91"/>
      <c r="O442" s="91"/>
      <c r="P442" s="91"/>
      <c r="Q442" s="91"/>
      <c r="R442" s="91"/>
      <c r="S442" s="91"/>
      <c r="T442" s="91"/>
      <c r="U442" s="91"/>
      <c r="V442" s="91"/>
      <c r="W442" s="91"/>
      <c r="X442" s="91"/>
      <c r="Y442" s="91"/>
    </row>
    <row r="443" spans="1:25">
      <c r="A443" s="91"/>
      <c r="B443" s="94"/>
      <c r="C443" s="94"/>
      <c r="D443" s="91"/>
      <c r="E443" s="91"/>
      <c r="F443" s="91"/>
      <c r="G443" s="91"/>
      <c r="H443" s="91"/>
      <c r="I443" s="91"/>
      <c r="J443" s="91"/>
      <c r="K443" s="91"/>
      <c r="L443" s="91"/>
      <c r="M443" s="91"/>
      <c r="N443" s="91"/>
      <c r="O443" s="91"/>
      <c r="P443" s="91"/>
      <c r="Q443" s="91"/>
      <c r="R443" s="91"/>
      <c r="S443" s="91"/>
      <c r="T443" s="91"/>
      <c r="U443" s="91"/>
      <c r="V443" s="91"/>
      <c r="W443" s="91"/>
      <c r="X443" s="91"/>
      <c r="Y443" s="91"/>
    </row>
    <row r="444" spans="1:25">
      <c r="A444" s="91"/>
      <c r="B444" s="94"/>
      <c r="C444" s="94"/>
      <c r="D444" s="91"/>
      <c r="E444" s="91"/>
      <c r="F444" s="91"/>
      <c r="G444" s="91"/>
      <c r="H444" s="91"/>
      <c r="I444" s="91"/>
      <c r="J444" s="91"/>
      <c r="K444" s="91"/>
      <c r="L444" s="91"/>
      <c r="M444" s="91"/>
      <c r="N444" s="91"/>
      <c r="O444" s="91"/>
      <c r="P444" s="91"/>
      <c r="Q444" s="91"/>
      <c r="R444" s="91"/>
      <c r="S444" s="91"/>
      <c r="T444" s="91"/>
      <c r="U444" s="91"/>
      <c r="V444" s="91"/>
      <c r="W444" s="91"/>
      <c r="X444" s="91"/>
      <c r="Y444" s="91"/>
    </row>
    <row r="445" spans="1:25">
      <c r="A445" s="91"/>
      <c r="B445" s="94"/>
      <c r="C445" s="94"/>
      <c r="D445" s="91"/>
      <c r="E445" s="91"/>
      <c r="F445" s="91"/>
      <c r="G445" s="91"/>
      <c r="H445" s="91"/>
      <c r="I445" s="91"/>
      <c r="J445" s="91"/>
      <c r="K445" s="91"/>
      <c r="L445" s="91"/>
      <c r="M445" s="91"/>
      <c r="N445" s="91"/>
      <c r="O445" s="91"/>
      <c r="P445" s="91"/>
      <c r="Q445" s="91"/>
      <c r="R445" s="91"/>
      <c r="S445" s="91"/>
      <c r="T445" s="91"/>
      <c r="U445" s="91"/>
      <c r="V445" s="91"/>
      <c r="W445" s="91"/>
      <c r="X445" s="91"/>
      <c r="Y445" s="91"/>
    </row>
    <row r="446" spans="1:25">
      <c r="A446" s="91"/>
      <c r="B446" s="94"/>
      <c r="C446" s="94"/>
      <c r="D446" s="91"/>
      <c r="E446" s="91"/>
      <c r="F446" s="91"/>
      <c r="G446" s="91"/>
      <c r="H446" s="91"/>
      <c r="I446" s="91"/>
      <c r="J446" s="91"/>
      <c r="K446" s="91"/>
      <c r="L446" s="91"/>
      <c r="M446" s="91"/>
      <c r="N446" s="91"/>
      <c r="O446" s="91"/>
      <c r="P446" s="91"/>
      <c r="Q446" s="91"/>
      <c r="R446" s="91"/>
      <c r="S446" s="91"/>
      <c r="T446" s="91"/>
      <c r="U446" s="91"/>
      <c r="V446" s="91"/>
      <c r="W446" s="91"/>
      <c r="X446" s="91"/>
      <c r="Y446" s="91"/>
    </row>
    <row r="447" spans="1:25">
      <c r="A447" s="91"/>
      <c r="B447" s="94"/>
      <c r="C447" s="94"/>
      <c r="D447" s="91"/>
      <c r="E447" s="91"/>
      <c r="F447" s="91"/>
      <c r="G447" s="91"/>
      <c r="H447" s="91"/>
      <c r="I447" s="91"/>
      <c r="J447" s="91"/>
      <c r="K447" s="91"/>
      <c r="L447" s="91"/>
      <c r="M447" s="91"/>
      <c r="N447" s="91"/>
      <c r="O447" s="91"/>
      <c r="P447" s="91"/>
      <c r="Q447" s="91"/>
      <c r="R447" s="91"/>
      <c r="S447" s="91"/>
      <c r="T447" s="91"/>
      <c r="U447" s="91"/>
      <c r="V447" s="91"/>
      <c r="W447" s="91"/>
      <c r="X447" s="91"/>
      <c r="Y447" s="91"/>
    </row>
    <row r="448" spans="1:25">
      <c r="A448" s="91"/>
      <c r="B448" s="94"/>
      <c r="C448" s="94"/>
      <c r="D448" s="91"/>
      <c r="E448" s="91"/>
      <c r="F448" s="91"/>
      <c r="G448" s="91"/>
      <c r="H448" s="91"/>
      <c r="I448" s="91"/>
      <c r="J448" s="91"/>
      <c r="K448" s="91"/>
      <c r="L448" s="91"/>
      <c r="M448" s="91"/>
      <c r="N448" s="91"/>
      <c r="O448" s="91"/>
      <c r="P448" s="91"/>
      <c r="Q448" s="91"/>
      <c r="R448" s="91"/>
      <c r="S448" s="91"/>
      <c r="T448" s="91"/>
      <c r="U448" s="91"/>
      <c r="V448" s="91"/>
      <c r="W448" s="91"/>
      <c r="X448" s="91"/>
      <c r="Y448" s="91"/>
    </row>
    <row r="449" spans="1:25">
      <c r="A449" s="91"/>
      <c r="B449" s="94"/>
      <c r="C449" s="94"/>
      <c r="D449" s="91"/>
      <c r="E449" s="91"/>
      <c r="F449" s="91"/>
      <c r="G449" s="91"/>
      <c r="H449" s="91"/>
      <c r="I449" s="91"/>
      <c r="J449" s="91"/>
      <c r="K449" s="91"/>
      <c r="L449" s="91"/>
      <c r="M449" s="91"/>
      <c r="N449" s="91"/>
      <c r="O449" s="91"/>
      <c r="P449" s="91"/>
      <c r="Q449" s="91"/>
      <c r="R449" s="91"/>
      <c r="S449" s="91"/>
      <c r="T449" s="91"/>
      <c r="U449" s="91"/>
      <c r="V449" s="91"/>
      <c r="W449" s="91"/>
      <c r="X449" s="91"/>
      <c r="Y449" s="91"/>
    </row>
    <row r="450" spans="1:25">
      <c r="A450" s="91"/>
      <c r="B450" s="94"/>
      <c r="C450" s="94"/>
      <c r="D450" s="91"/>
      <c r="E450" s="91"/>
      <c r="F450" s="91"/>
      <c r="G450" s="91"/>
      <c r="H450" s="91"/>
      <c r="I450" s="91"/>
      <c r="J450" s="91"/>
      <c r="K450" s="91"/>
      <c r="L450" s="91"/>
      <c r="M450" s="91"/>
      <c r="N450" s="91"/>
      <c r="O450" s="91"/>
      <c r="P450" s="91"/>
      <c r="Q450" s="91"/>
      <c r="R450" s="91"/>
      <c r="S450" s="91"/>
      <c r="T450" s="91"/>
      <c r="U450" s="91"/>
      <c r="V450" s="91"/>
      <c r="W450" s="91"/>
      <c r="X450" s="91"/>
      <c r="Y450" s="91"/>
    </row>
    <row r="451" spans="1:25">
      <c r="A451" s="91"/>
      <c r="B451" s="94"/>
      <c r="C451" s="94"/>
      <c r="D451" s="91"/>
      <c r="E451" s="91"/>
      <c r="F451" s="91"/>
      <c r="G451" s="91"/>
      <c r="H451" s="91"/>
      <c r="I451" s="91"/>
      <c r="J451" s="91"/>
      <c r="K451" s="91"/>
      <c r="L451" s="91"/>
      <c r="M451" s="91"/>
      <c r="N451" s="91"/>
      <c r="O451" s="91"/>
      <c r="P451" s="91"/>
      <c r="Q451" s="91"/>
      <c r="R451" s="91"/>
      <c r="S451" s="91"/>
      <c r="T451" s="91"/>
      <c r="U451" s="91"/>
      <c r="V451" s="91"/>
      <c r="W451" s="91"/>
      <c r="X451" s="91"/>
      <c r="Y451" s="91"/>
    </row>
    <row r="452" spans="1:25">
      <c r="A452" s="91"/>
      <c r="B452" s="94"/>
      <c r="C452" s="94"/>
      <c r="D452" s="91"/>
      <c r="E452" s="91"/>
      <c r="F452" s="91"/>
      <c r="G452" s="91"/>
      <c r="H452" s="91"/>
      <c r="I452" s="91"/>
      <c r="J452" s="91"/>
      <c r="K452" s="91"/>
      <c r="L452" s="91"/>
      <c r="M452" s="91"/>
      <c r="N452" s="91"/>
      <c r="O452" s="91"/>
      <c r="P452" s="91"/>
      <c r="Q452" s="91"/>
      <c r="R452" s="91"/>
      <c r="S452" s="91"/>
      <c r="T452" s="91"/>
      <c r="U452" s="91"/>
      <c r="V452" s="91"/>
      <c r="W452" s="91"/>
      <c r="X452" s="91"/>
      <c r="Y452" s="91"/>
    </row>
    <row r="453" spans="1:25">
      <c r="A453" s="91"/>
      <c r="B453" s="94"/>
      <c r="C453" s="94"/>
      <c r="D453" s="91"/>
      <c r="E453" s="91"/>
      <c r="F453" s="91"/>
      <c r="G453" s="91"/>
      <c r="H453" s="91"/>
      <c r="I453" s="91"/>
      <c r="J453" s="91"/>
      <c r="K453" s="91"/>
      <c r="L453" s="91"/>
      <c r="M453" s="91"/>
      <c r="N453" s="91"/>
      <c r="O453" s="91"/>
      <c r="P453" s="91"/>
      <c r="Q453" s="91"/>
      <c r="R453" s="91"/>
      <c r="S453" s="91"/>
      <c r="T453" s="91"/>
      <c r="U453" s="91"/>
      <c r="V453" s="91"/>
      <c r="W453" s="91"/>
      <c r="X453" s="91"/>
      <c r="Y453" s="91"/>
    </row>
    <row r="454" spans="1:25">
      <c r="A454" s="91"/>
      <c r="B454" s="94"/>
      <c r="C454" s="94"/>
      <c r="D454" s="91"/>
      <c r="E454" s="91"/>
      <c r="F454" s="91"/>
      <c r="G454" s="91"/>
      <c r="H454" s="91"/>
      <c r="I454" s="91"/>
      <c r="J454" s="91"/>
      <c r="K454" s="91"/>
      <c r="L454" s="91"/>
      <c r="M454" s="91"/>
      <c r="N454" s="91"/>
      <c r="O454" s="91"/>
      <c r="P454" s="91"/>
      <c r="Q454" s="91"/>
      <c r="R454" s="91"/>
      <c r="S454" s="91"/>
      <c r="T454" s="91"/>
      <c r="U454" s="91"/>
      <c r="V454" s="91"/>
      <c r="W454" s="91"/>
      <c r="X454" s="91"/>
      <c r="Y454" s="91"/>
    </row>
    <row r="455" spans="1:25">
      <c r="A455" s="91"/>
      <c r="B455" s="94"/>
      <c r="C455" s="94"/>
      <c r="D455" s="91"/>
      <c r="E455" s="91"/>
      <c r="F455" s="91"/>
      <c r="G455" s="91"/>
      <c r="H455" s="91"/>
      <c r="I455" s="91"/>
      <c r="J455" s="91"/>
      <c r="K455" s="91"/>
      <c r="L455" s="91"/>
      <c r="M455" s="91"/>
      <c r="N455" s="91"/>
      <c r="O455" s="91"/>
      <c r="P455" s="91"/>
      <c r="Q455" s="91"/>
      <c r="R455" s="91"/>
      <c r="S455" s="91"/>
      <c r="T455" s="91"/>
      <c r="U455" s="91"/>
      <c r="V455" s="91"/>
      <c r="W455" s="91"/>
      <c r="X455" s="91"/>
      <c r="Y455" s="91"/>
    </row>
    <row r="456" spans="1:25">
      <c r="A456" s="91"/>
      <c r="B456" s="94"/>
      <c r="C456" s="94"/>
      <c r="D456" s="91"/>
      <c r="E456" s="91"/>
      <c r="F456" s="91"/>
      <c r="G456" s="91"/>
      <c r="H456" s="91"/>
      <c r="I456" s="91"/>
      <c r="J456" s="91"/>
      <c r="K456" s="91"/>
      <c r="L456" s="91"/>
      <c r="M456" s="91"/>
      <c r="N456" s="91"/>
      <c r="O456" s="91"/>
      <c r="P456" s="91"/>
      <c r="Q456" s="91"/>
      <c r="R456" s="91"/>
      <c r="S456" s="91"/>
      <c r="T456" s="91"/>
      <c r="U456" s="91"/>
      <c r="V456" s="91"/>
      <c r="W456" s="91"/>
      <c r="X456" s="91"/>
      <c r="Y456" s="91"/>
    </row>
    <row r="457" spans="1:25">
      <c r="A457" s="91"/>
      <c r="B457" s="94"/>
      <c r="C457" s="94"/>
      <c r="D457" s="91"/>
      <c r="E457" s="91"/>
      <c r="F457" s="91"/>
      <c r="G457" s="91"/>
      <c r="H457" s="91"/>
      <c r="I457" s="91"/>
      <c r="J457" s="91"/>
      <c r="K457" s="91"/>
      <c r="L457" s="91"/>
      <c r="M457" s="91"/>
      <c r="N457" s="91"/>
      <c r="O457" s="91"/>
      <c r="P457" s="91"/>
      <c r="Q457" s="91"/>
      <c r="R457" s="91"/>
      <c r="S457" s="91"/>
      <c r="T457" s="91"/>
      <c r="U457" s="91"/>
      <c r="V457" s="91"/>
      <c r="W457" s="91"/>
      <c r="X457" s="91"/>
      <c r="Y457" s="91"/>
    </row>
    <row r="458" spans="1:25">
      <c r="A458" s="91"/>
      <c r="B458" s="94"/>
      <c r="C458" s="94"/>
      <c r="D458" s="91"/>
      <c r="E458" s="91"/>
      <c r="F458" s="91"/>
      <c r="G458" s="91"/>
      <c r="H458" s="91"/>
      <c r="I458" s="91"/>
      <c r="J458" s="91"/>
      <c r="K458" s="91"/>
      <c r="L458" s="91"/>
      <c r="M458" s="91"/>
      <c r="N458" s="91"/>
      <c r="O458" s="91"/>
      <c r="P458" s="91"/>
      <c r="Q458" s="91"/>
      <c r="R458" s="91"/>
      <c r="S458" s="91"/>
      <c r="T458" s="91"/>
      <c r="U458" s="91"/>
      <c r="V458" s="91"/>
      <c r="W458" s="91"/>
      <c r="X458" s="91"/>
      <c r="Y458" s="91"/>
    </row>
    <row r="459" spans="1:25">
      <c r="A459" s="91"/>
      <c r="B459" s="94"/>
      <c r="C459" s="94"/>
      <c r="D459" s="91"/>
      <c r="E459" s="91"/>
      <c r="F459" s="91"/>
      <c r="G459" s="91"/>
      <c r="H459" s="91"/>
      <c r="I459" s="91"/>
      <c r="J459" s="91"/>
      <c r="K459" s="91"/>
      <c r="L459" s="91"/>
      <c r="M459" s="91"/>
      <c r="N459" s="91"/>
      <c r="O459" s="91"/>
      <c r="P459" s="91"/>
      <c r="Q459" s="91"/>
      <c r="R459" s="91"/>
      <c r="S459" s="91"/>
      <c r="T459" s="91"/>
      <c r="U459" s="91"/>
      <c r="V459" s="91"/>
      <c r="W459" s="91"/>
      <c r="X459" s="91"/>
      <c r="Y459" s="91"/>
    </row>
    <row r="460" spans="1:25">
      <c r="A460" s="91"/>
      <c r="B460" s="94"/>
      <c r="C460" s="94"/>
      <c r="D460" s="91"/>
      <c r="E460" s="91"/>
      <c r="F460" s="91"/>
      <c r="G460" s="91"/>
      <c r="H460" s="91"/>
      <c r="I460" s="91"/>
      <c r="J460" s="91"/>
      <c r="K460" s="91"/>
      <c r="L460" s="91"/>
      <c r="M460" s="91"/>
      <c r="N460" s="91"/>
      <c r="O460" s="91"/>
      <c r="P460" s="91"/>
      <c r="Q460" s="91"/>
      <c r="R460" s="91"/>
      <c r="S460" s="91"/>
      <c r="T460" s="91"/>
      <c r="U460" s="91"/>
      <c r="V460" s="91"/>
      <c r="W460" s="91"/>
      <c r="X460" s="91"/>
      <c r="Y460" s="91"/>
    </row>
    <row r="461" spans="1:25">
      <c r="A461" s="91"/>
      <c r="B461" s="94"/>
      <c r="C461" s="94"/>
      <c r="D461" s="91"/>
      <c r="E461" s="91"/>
      <c r="F461" s="91"/>
      <c r="G461" s="91"/>
      <c r="H461" s="91"/>
      <c r="I461" s="91"/>
      <c r="J461" s="91"/>
      <c r="K461" s="91"/>
      <c r="L461" s="91"/>
      <c r="M461" s="91"/>
      <c r="N461" s="91"/>
      <c r="O461" s="91"/>
      <c r="P461" s="91"/>
      <c r="Q461" s="91"/>
      <c r="R461" s="91"/>
      <c r="S461" s="91"/>
      <c r="T461" s="91"/>
      <c r="U461" s="91"/>
      <c r="V461" s="91"/>
      <c r="W461" s="91"/>
      <c r="X461" s="91"/>
      <c r="Y461" s="91"/>
    </row>
    <row r="462" spans="1:25">
      <c r="A462" s="91"/>
      <c r="B462" s="94"/>
      <c r="C462" s="94"/>
      <c r="D462" s="91"/>
      <c r="E462" s="91"/>
      <c r="F462" s="91"/>
      <c r="G462" s="91"/>
      <c r="H462" s="91"/>
      <c r="I462" s="91"/>
      <c r="J462" s="91"/>
      <c r="K462" s="91"/>
      <c r="L462" s="91"/>
      <c r="M462" s="91"/>
      <c r="N462" s="91"/>
      <c r="O462" s="91"/>
      <c r="P462" s="91"/>
      <c r="Q462" s="91"/>
      <c r="R462" s="91"/>
      <c r="S462" s="91"/>
      <c r="T462" s="91"/>
      <c r="U462" s="91"/>
      <c r="V462" s="91"/>
      <c r="W462" s="91"/>
      <c r="X462" s="91"/>
      <c r="Y462" s="91"/>
    </row>
    <row r="463" spans="1:25">
      <c r="A463" s="91"/>
      <c r="B463" s="94"/>
      <c r="C463" s="94"/>
      <c r="D463" s="91"/>
      <c r="E463" s="91"/>
      <c r="F463" s="91"/>
      <c r="G463" s="91"/>
      <c r="H463" s="91"/>
      <c r="I463" s="91"/>
      <c r="J463" s="91"/>
      <c r="K463" s="91"/>
      <c r="L463" s="91"/>
      <c r="M463" s="91"/>
      <c r="N463" s="91"/>
      <c r="O463" s="91"/>
      <c r="P463" s="91"/>
      <c r="Q463" s="91"/>
      <c r="R463" s="91"/>
      <c r="S463" s="91"/>
      <c r="T463" s="91"/>
      <c r="U463" s="91"/>
      <c r="V463" s="91"/>
      <c r="W463" s="91"/>
      <c r="X463" s="91"/>
      <c r="Y463" s="91"/>
    </row>
    <row r="464" spans="1:25">
      <c r="A464" s="91"/>
      <c r="B464" s="94"/>
      <c r="C464" s="94"/>
      <c r="D464" s="91"/>
      <c r="E464" s="91"/>
      <c r="F464" s="91"/>
      <c r="G464" s="91"/>
      <c r="H464" s="91"/>
      <c r="I464" s="91"/>
      <c r="J464" s="91"/>
      <c r="K464" s="91"/>
      <c r="L464" s="91"/>
      <c r="M464" s="91"/>
      <c r="N464" s="91"/>
      <c r="O464" s="91"/>
      <c r="P464" s="91"/>
      <c r="Q464" s="91"/>
      <c r="R464" s="91"/>
      <c r="S464" s="91"/>
      <c r="T464" s="91"/>
      <c r="U464" s="91"/>
      <c r="V464" s="91"/>
      <c r="W464" s="91"/>
      <c r="X464" s="91"/>
      <c r="Y464" s="91"/>
    </row>
    <row r="465" spans="1:25">
      <c r="A465" s="91"/>
      <c r="B465" s="94"/>
      <c r="C465" s="94"/>
      <c r="D465" s="91"/>
      <c r="E465" s="91"/>
      <c r="F465" s="91"/>
      <c r="G465" s="91"/>
      <c r="H465" s="91"/>
      <c r="I465" s="91"/>
      <c r="J465" s="91"/>
      <c r="K465" s="91"/>
      <c r="L465" s="91"/>
      <c r="M465" s="91"/>
      <c r="N465" s="91"/>
      <c r="O465" s="91"/>
      <c r="P465" s="91"/>
      <c r="Q465" s="91"/>
      <c r="R465" s="91"/>
      <c r="S465" s="91"/>
      <c r="T465" s="91"/>
      <c r="U465" s="91"/>
      <c r="V465" s="91"/>
      <c r="W465" s="91"/>
      <c r="X465" s="91"/>
      <c r="Y465" s="91"/>
    </row>
    <row r="466" spans="1:25">
      <c r="A466" s="91"/>
      <c r="B466" s="94"/>
      <c r="C466" s="94"/>
      <c r="D466" s="91"/>
      <c r="E466" s="91"/>
      <c r="F466" s="91"/>
      <c r="G466" s="91"/>
      <c r="H466" s="91"/>
      <c r="I466" s="91"/>
      <c r="J466" s="91"/>
      <c r="K466" s="91"/>
      <c r="L466" s="91"/>
      <c r="M466" s="91"/>
      <c r="N466" s="91"/>
      <c r="O466" s="91"/>
      <c r="P466" s="91"/>
      <c r="Q466" s="91"/>
      <c r="R466" s="91"/>
      <c r="S466" s="91"/>
      <c r="T466" s="91"/>
      <c r="U466" s="91"/>
      <c r="V466" s="91"/>
      <c r="W466" s="91"/>
      <c r="X466" s="91"/>
      <c r="Y466" s="91"/>
    </row>
    <row r="467" spans="1:25">
      <c r="A467" s="91"/>
      <c r="B467" s="94"/>
      <c r="C467" s="94"/>
      <c r="D467" s="91"/>
      <c r="E467" s="91"/>
      <c r="F467" s="91"/>
      <c r="G467" s="91"/>
      <c r="H467" s="91"/>
      <c r="I467" s="91"/>
      <c r="J467" s="91"/>
      <c r="K467" s="91"/>
      <c r="L467" s="91"/>
      <c r="M467" s="91"/>
      <c r="N467" s="91"/>
      <c r="O467" s="91"/>
      <c r="P467" s="91"/>
      <c r="Q467" s="91"/>
      <c r="R467" s="91"/>
      <c r="S467" s="91"/>
      <c r="T467" s="91"/>
      <c r="U467" s="91"/>
      <c r="V467" s="91"/>
      <c r="W467" s="91"/>
      <c r="X467" s="91"/>
      <c r="Y467" s="91"/>
    </row>
    <row r="468" spans="1:25">
      <c r="A468" s="91"/>
      <c r="B468" s="94"/>
      <c r="C468" s="94"/>
      <c r="D468" s="91"/>
      <c r="E468" s="91"/>
      <c r="F468" s="91"/>
      <c r="G468" s="91"/>
      <c r="H468" s="91"/>
      <c r="I468" s="91"/>
      <c r="J468" s="91"/>
      <c r="K468" s="91"/>
      <c r="L468" s="91"/>
      <c r="M468" s="91"/>
      <c r="N468" s="91"/>
      <c r="O468" s="91"/>
      <c r="P468" s="91"/>
      <c r="Q468" s="91"/>
      <c r="R468" s="91"/>
      <c r="S468" s="91"/>
      <c r="T468" s="91"/>
      <c r="U468" s="91"/>
      <c r="V468" s="91"/>
      <c r="W468" s="91"/>
      <c r="X468" s="91"/>
      <c r="Y468" s="91"/>
    </row>
    <row r="469" spans="1:25">
      <c r="A469" s="91"/>
      <c r="B469" s="94"/>
      <c r="C469" s="94"/>
      <c r="D469" s="91"/>
      <c r="E469" s="91"/>
      <c r="F469" s="91"/>
      <c r="G469" s="91"/>
      <c r="H469" s="91"/>
      <c r="I469" s="91"/>
      <c r="J469" s="91"/>
      <c r="K469" s="91"/>
      <c r="L469" s="91"/>
      <c r="M469" s="91"/>
      <c r="N469" s="91"/>
      <c r="O469" s="91"/>
      <c r="P469" s="91"/>
      <c r="Q469" s="91"/>
      <c r="R469" s="91"/>
      <c r="S469" s="91"/>
      <c r="T469" s="91"/>
      <c r="U469" s="91"/>
      <c r="V469" s="91"/>
      <c r="W469" s="91"/>
      <c r="X469" s="91"/>
      <c r="Y469" s="91"/>
    </row>
    <row r="470" spans="1:25">
      <c r="A470" s="91"/>
      <c r="B470" s="94"/>
      <c r="C470" s="94"/>
      <c r="D470" s="91"/>
      <c r="E470" s="91"/>
      <c r="F470" s="91"/>
      <c r="G470" s="91"/>
      <c r="H470" s="91"/>
      <c r="I470" s="91"/>
      <c r="J470" s="91"/>
      <c r="K470" s="91"/>
      <c r="L470" s="91"/>
      <c r="M470" s="91"/>
      <c r="N470" s="91"/>
      <c r="O470" s="91"/>
      <c r="P470" s="91"/>
      <c r="Q470" s="91"/>
      <c r="R470" s="91"/>
      <c r="S470" s="91"/>
      <c r="T470" s="91"/>
      <c r="U470" s="91"/>
      <c r="V470" s="91"/>
      <c r="W470" s="91"/>
      <c r="X470" s="91"/>
      <c r="Y470" s="91"/>
    </row>
    <row r="471" spans="1:25">
      <c r="A471" s="91"/>
      <c r="B471" s="94"/>
      <c r="C471" s="94"/>
      <c r="D471" s="91"/>
      <c r="E471" s="91"/>
      <c r="F471" s="91"/>
      <c r="G471" s="91"/>
      <c r="H471" s="91"/>
      <c r="I471" s="91"/>
      <c r="J471" s="91"/>
      <c r="K471" s="91"/>
      <c r="L471" s="91"/>
      <c r="M471" s="91"/>
      <c r="N471" s="91"/>
      <c r="O471" s="91"/>
      <c r="P471" s="91"/>
      <c r="Q471" s="91"/>
      <c r="R471" s="91"/>
      <c r="S471" s="91"/>
      <c r="T471" s="91"/>
      <c r="U471" s="91"/>
      <c r="V471" s="91"/>
      <c r="W471" s="91"/>
      <c r="X471" s="91"/>
      <c r="Y471" s="91"/>
    </row>
    <row r="472" spans="1:25">
      <c r="A472" s="91"/>
      <c r="B472" s="94"/>
      <c r="C472" s="94"/>
      <c r="D472" s="91"/>
      <c r="E472" s="91"/>
      <c r="F472" s="91"/>
      <c r="G472" s="91"/>
      <c r="H472" s="91"/>
      <c r="I472" s="91"/>
      <c r="J472" s="91"/>
      <c r="K472" s="91"/>
      <c r="L472" s="91"/>
      <c r="M472" s="91"/>
      <c r="N472" s="91"/>
      <c r="O472" s="91"/>
      <c r="P472" s="91"/>
      <c r="Q472" s="91"/>
      <c r="R472" s="91"/>
      <c r="S472" s="91"/>
      <c r="T472" s="91"/>
      <c r="U472" s="91"/>
      <c r="V472" s="91"/>
      <c r="W472" s="91"/>
      <c r="X472" s="91"/>
      <c r="Y472" s="91"/>
    </row>
    <row r="473" spans="1:25">
      <c r="A473" s="91"/>
      <c r="B473" s="94"/>
      <c r="C473" s="94"/>
      <c r="D473" s="91"/>
      <c r="E473" s="91"/>
      <c r="F473" s="91"/>
      <c r="G473" s="91"/>
      <c r="H473" s="91"/>
      <c r="I473" s="91"/>
      <c r="J473" s="91"/>
      <c r="K473" s="91"/>
      <c r="L473" s="91"/>
      <c r="M473" s="91"/>
      <c r="N473" s="91"/>
      <c r="O473" s="91"/>
      <c r="P473" s="91"/>
      <c r="Q473" s="91"/>
      <c r="R473" s="91"/>
      <c r="S473" s="91"/>
      <c r="T473" s="91"/>
      <c r="U473" s="91"/>
      <c r="V473" s="91"/>
      <c r="W473" s="91"/>
      <c r="X473" s="91"/>
      <c r="Y473" s="91"/>
    </row>
    <row r="474" spans="1:25">
      <c r="A474" s="91"/>
      <c r="B474" s="94"/>
      <c r="C474" s="94"/>
      <c r="D474" s="91"/>
      <c r="E474" s="91"/>
      <c r="F474" s="91"/>
      <c r="G474" s="91"/>
      <c r="H474" s="91"/>
      <c r="I474" s="91"/>
      <c r="J474" s="91"/>
      <c r="K474" s="91"/>
      <c r="L474" s="91"/>
      <c r="M474" s="91"/>
      <c r="N474" s="91"/>
      <c r="O474" s="91"/>
      <c r="P474" s="91"/>
      <c r="Q474" s="91"/>
      <c r="R474" s="91"/>
      <c r="S474" s="91"/>
      <c r="T474" s="91"/>
      <c r="U474" s="91"/>
      <c r="V474" s="91"/>
      <c r="W474" s="91"/>
      <c r="X474" s="91"/>
      <c r="Y474" s="91"/>
    </row>
    <row r="475" spans="1:25">
      <c r="A475" s="91"/>
      <c r="B475" s="94"/>
      <c r="C475" s="94"/>
      <c r="D475" s="91"/>
      <c r="E475" s="91"/>
      <c r="F475" s="91"/>
      <c r="G475" s="91"/>
      <c r="H475" s="91"/>
      <c r="I475" s="91"/>
      <c r="J475" s="91"/>
      <c r="K475" s="91"/>
      <c r="L475" s="91"/>
      <c r="M475" s="91"/>
      <c r="N475" s="91"/>
      <c r="O475" s="91"/>
      <c r="P475" s="91"/>
      <c r="Q475" s="91"/>
      <c r="R475" s="91"/>
      <c r="S475" s="91"/>
      <c r="T475" s="91"/>
      <c r="U475" s="91"/>
      <c r="V475" s="91"/>
      <c r="W475" s="91"/>
      <c r="X475" s="91"/>
      <c r="Y475" s="91"/>
    </row>
    <row r="476" spans="1:25">
      <c r="A476" s="91"/>
      <c r="B476" s="94"/>
      <c r="C476" s="94"/>
      <c r="D476" s="91"/>
      <c r="E476" s="91"/>
      <c r="F476" s="91"/>
      <c r="G476" s="91"/>
      <c r="H476" s="91"/>
      <c r="I476" s="91"/>
      <c r="J476" s="91"/>
      <c r="K476" s="91"/>
      <c r="L476" s="91"/>
      <c r="M476" s="91"/>
      <c r="N476" s="91"/>
      <c r="O476" s="91"/>
      <c r="P476" s="91"/>
      <c r="Q476" s="91"/>
      <c r="R476" s="91"/>
      <c r="S476" s="91"/>
      <c r="T476" s="91"/>
      <c r="U476" s="91"/>
      <c r="V476" s="91"/>
      <c r="W476" s="91"/>
      <c r="X476" s="91"/>
      <c r="Y476" s="91"/>
    </row>
    <row r="477" spans="1:25">
      <c r="A477" s="91"/>
      <c r="B477" s="94"/>
      <c r="C477" s="94"/>
      <c r="D477" s="91"/>
      <c r="E477" s="91"/>
      <c r="F477" s="91"/>
      <c r="G477" s="91"/>
      <c r="H477" s="91"/>
      <c r="I477" s="91"/>
      <c r="J477" s="91"/>
      <c r="K477" s="91"/>
      <c r="L477" s="91"/>
      <c r="M477" s="91"/>
      <c r="N477" s="91"/>
      <c r="O477" s="91"/>
      <c r="P477" s="91"/>
      <c r="Q477" s="91"/>
      <c r="R477" s="91"/>
      <c r="S477" s="91"/>
      <c r="T477" s="91"/>
      <c r="U477" s="91"/>
      <c r="V477" s="91"/>
      <c r="W477" s="91"/>
      <c r="X477" s="91"/>
      <c r="Y477" s="91"/>
    </row>
    <row r="478" spans="1:25">
      <c r="A478" s="91"/>
      <c r="B478" s="94"/>
      <c r="C478" s="94"/>
      <c r="D478" s="91"/>
      <c r="E478" s="91"/>
      <c r="F478" s="91"/>
      <c r="G478" s="91"/>
      <c r="H478" s="91"/>
      <c r="I478" s="91"/>
      <c r="J478" s="91"/>
      <c r="K478" s="91"/>
      <c r="L478" s="91"/>
      <c r="M478" s="91"/>
      <c r="N478" s="91"/>
      <c r="O478" s="91"/>
      <c r="P478" s="91"/>
      <c r="Q478" s="91"/>
      <c r="R478" s="91"/>
      <c r="S478" s="91"/>
      <c r="T478" s="91"/>
      <c r="U478" s="91"/>
      <c r="V478" s="91"/>
      <c r="W478" s="91"/>
      <c r="X478" s="91"/>
      <c r="Y478" s="91"/>
    </row>
    <row r="479" spans="1:25">
      <c r="A479" s="91"/>
      <c r="B479" s="94"/>
      <c r="C479" s="94"/>
      <c r="D479" s="91"/>
      <c r="E479" s="91"/>
      <c r="F479" s="91"/>
      <c r="G479" s="91"/>
      <c r="H479" s="91"/>
      <c r="I479" s="91"/>
      <c r="J479" s="91"/>
      <c r="K479" s="91"/>
      <c r="L479" s="91"/>
      <c r="M479" s="91"/>
      <c r="N479" s="91"/>
      <c r="O479" s="91"/>
      <c r="P479" s="91"/>
      <c r="Q479" s="91"/>
      <c r="R479" s="91"/>
      <c r="S479" s="91"/>
      <c r="T479" s="91"/>
      <c r="U479" s="91"/>
      <c r="V479" s="91"/>
      <c r="W479" s="91"/>
      <c r="X479" s="91"/>
      <c r="Y479" s="91"/>
    </row>
    <row r="480" spans="1:25">
      <c r="A480" s="91"/>
      <c r="B480" s="94"/>
      <c r="C480" s="94"/>
      <c r="D480" s="91"/>
      <c r="E480" s="91"/>
      <c r="F480" s="91"/>
      <c r="G480" s="91"/>
      <c r="H480" s="91"/>
      <c r="I480" s="91"/>
      <c r="J480" s="91"/>
      <c r="K480" s="91"/>
      <c r="L480" s="91"/>
      <c r="M480" s="91"/>
      <c r="N480" s="91"/>
      <c r="O480" s="91"/>
      <c r="P480" s="91"/>
      <c r="Q480" s="91"/>
      <c r="R480" s="91"/>
      <c r="S480" s="91"/>
      <c r="T480" s="91"/>
      <c r="U480" s="91"/>
      <c r="V480" s="91"/>
      <c r="W480" s="91"/>
      <c r="X480" s="91"/>
      <c r="Y480" s="91"/>
    </row>
    <row r="481" spans="1:25">
      <c r="A481" s="91"/>
      <c r="B481" s="94"/>
      <c r="C481" s="94"/>
      <c r="D481" s="91"/>
      <c r="E481" s="91"/>
      <c r="F481" s="91"/>
      <c r="G481" s="91"/>
      <c r="H481" s="91"/>
      <c r="I481" s="91"/>
      <c r="J481" s="91"/>
      <c r="K481" s="91"/>
      <c r="L481" s="91"/>
      <c r="M481" s="91"/>
      <c r="N481" s="91"/>
      <c r="O481" s="91"/>
      <c r="P481" s="91"/>
      <c r="Q481" s="91"/>
      <c r="R481" s="91"/>
      <c r="S481" s="91"/>
      <c r="T481" s="91"/>
      <c r="U481" s="91"/>
      <c r="V481" s="91"/>
      <c r="W481" s="91"/>
      <c r="X481" s="91"/>
      <c r="Y481" s="91"/>
    </row>
    <row r="482" spans="1:25">
      <c r="A482" s="91"/>
      <c r="B482" s="94"/>
      <c r="C482" s="94"/>
      <c r="D482" s="91"/>
      <c r="E482" s="91"/>
      <c r="F482" s="91"/>
      <c r="G482" s="91"/>
      <c r="H482" s="91"/>
      <c r="I482" s="91"/>
      <c r="J482" s="91"/>
      <c r="K482" s="91"/>
      <c r="L482" s="91"/>
      <c r="M482" s="91"/>
      <c r="N482" s="91"/>
      <c r="O482" s="91"/>
      <c r="P482" s="91"/>
      <c r="Q482" s="91"/>
      <c r="R482" s="91"/>
      <c r="S482" s="91"/>
      <c r="T482" s="91"/>
      <c r="U482" s="91"/>
      <c r="V482" s="91"/>
      <c r="W482" s="91"/>
      <c r="X482" s="91"/>
      <c r="Y482" s="91"/>
    </row>
    <row r="483" spans="1:25">
      <c r="A483" s="91"/>
      <c r="B483" s="94"/>
      <c r="C483" s="94"/>
      <c r="D483" s="91"/>
      <c r="E483" s="91"/>
      <c r="F483" s="91"/>
      <c r="G483" s="91"/>
      <c r="H483" s="91"/>
      <c r="I483" s="91"/>
      <c r="J483" s="91"/>
      <c r="K483" s="91"/>
      <c r="L483" s="91"/>
      <c r="M483" s="91"/>
      <c r="N483" s="91"/>
      <c r="O483" s="91"/>
      <c r="P483" s="91"/>
      <c r="Q483" s="91"/>
      <c r="R483" s="91"/>
      <c r="S483" s="91"/>
      <c r="T483" s="91"/>
      <c r="U483" s="91"/>
      <c r="V483" s="91"/>
      <c r="W483" s="91"/>
      <c r="X483" s="91"/>
      <c r="Y483" s="91"/>
    </row>
    <row r="484" spans="1:25">
      <c r="A484" s="91"/>
      <c r="B484" s="94"/>
      <c r="C484" s="94"/>
      <c r="D484" s="91"/>
      <c r="E484" s="91"/>
      <c r="F484" s="91"/>
      <c r="G484" s="91"/>
      <c r="H484" s="91"/>
      <c r="I484" s="91"/>
      <c r="J484" s="91"/>
      <c r="K484" s="91"/>
      <c r="L484" s="91"/>
      <c r="M484" s="91"/>
      <c r="N484" s="91"/>
      <c r="O484" s="91"/>
      <c r="P484" s="91"/>
      <c r="Q484" s="91"/>
      <c r="R484" s="91"/>
      <c r="S484" s="91"/>
      <c r="T484" s="91"/>
      <c r="U484" s="91"/>
      <c r="V484" s="91"/>
      <c r="W484" s="91"/>
      <c r="X484" s="91"/>
      <c r="Y484" s="91"/>
    </row>
    <row r="485" spans="1:25">
      <c r="A485" s="91"/>
      <c r="B485" s="94"/>
      <c r="C485" s="94"/>
      <c r="D485" s="91"/>
      <c r="E485" s="91"/>
      <c r="F485" s="91"/>
      <c r="G485" s="91"/>
      <c r="H485" s="91"/>
      <c r="I485" s="91"/>
      <c r="J485" s="91"/>
      <c r="K485" s="91"/>
      <c r="L485" s="91"/>
      <c r="M485" s="91"/>
      <c r="N485" s="91"/>
      <c r="O485" s="91"/>
      <c r="P485" s="91"/>
      <c r="Q485" s="91"/>
      <c r="R485" s="91"/>
      <c r="S485" s="91"/>
      <c r="T485" s="91"/>
      <c r="U485" s="91"/>
      <c r="V485" s="91"/>
      <c r="W485" s="91"/>
      <c r="X485" s="91"/>
      <c r="Y485" s="91"/>
    </row>
    <row r="486" spans="1:25">
      <c r="A486" s="91"/>
      <c r="B486" s="94"/>
      <c r="C486" s="94"/>
      <c r="D486" s="91"/>
      <c r="E486" s="91"/>
      <c r="F486" s="91"/>
      <c r="G486" s="91"/>
      <c r="H486" s="91"/>
      <c r="I486" s="91"/>
      <c r="J486" s="91"/>
      <c r="K486" s="91"/>
      <c r="L486" s="91"/>
      <c r="M486" s="91"/>
      <c r="N486" s="91"/>
      <c r="O486" s="91"/>
      <c r="P486" s="91"/>
      <c r="Q486" s="91"/>
      <c r="R486" s="91"/>
      <c r="S486" s="91"/>
      <c r="T486" s="91"/>
      <c r="U486" s="91"/>
      <c r="V486" s="91"/>
      <c r="W486" s="91"/>
      <c r="X486" s="91"/>
      <c r="Y486" s="91"/>
    </row>
    <row r="487" spans="1:25">
      <c r="A487" s="91"/>
      <c r="B487" s="94"/>
      <c r="C487" s="94"/>
      <c r="D487" s="91"/>
      <c r="E487" s="91"/>
      <c r="F487" s="91"/>
      <c r="G487" s="91"/>
      <c r="H487" s="91"/>
      <c r="I487" s="91"/>
      <c r="J487" s="91"/>
      <c r="K487" s="91"/>
      <c r="L487" s="91"/>
      <c r="M487" s="91"/>
      <c r="N487" s="91"/>
      <c r="O487" s="91"/>
      <c r="P487" s="91"/>
      <c r="Q487" s="91"/>
      <c r="R487" s="91"/>
      <c r="S487" s="91"/>
      <c r="T487" s="91"/>
      <c r="U487" s="91"/>
      <c r="V487" s="91"/>
      <c r="W487" s="91"/>
      <c r="X487" s="91"/>
      <c r="Y487" s="91"/>
    </row>
    <row r="488" spans="1:25">
      <c r="A488" s="91"/>
      <c r="B488" s="94"/>
      <c r="C488" s="94"/>
      <c r="D488" s="91"/>
      <c r="E488" s="91"/>
      <c r="F488" s="91"/>
      <c r="G488" s="91"/>
      <c r="H488" s="91"/>
      <c r="I488" s="91"/>
      <c r="J488" s="91"/>
      <c r="K488" s="91"/>
      <c r="L488" s="91"/>
      <c r="M488" s="91"/>
      <c r="N488" s="91"/>
      <c r="O488" s="91"/>
      <c r="P488" s="91"/>
      <c r="Q488" s="91"/>
      <c r="R488" s="91"/>
      <c r="S488" s="91"/>
      <c r="T488" s="91"/>
      <c r="U488" s="91"/>
      <c r="V488" s="91"/>
      <c r="W488" s="91"/>
      <c r="X488" s="91"/>
      <c r="Y488" s="91"/>
    </row>
    <row r="489" spans="1:25">
      <c r="A489" s="91"/>
      <c r="B489" s="94"/>
      <c r="C489" s="94"/>
      <c r="D489" s="91"/>
      <c r="E489" s="91"/>
      <c r="F489" s="91"/>
      <c r="G489" s="91"/>
      <c r="H489" s="91"/>
      <c r="I489" s="91"/>
      <c r="J489" s="91"/>
      <c r="K489" s="91"/>
      <c r="L489" s="91"/>
      <c r="M489" s="91"/>
      <c r="N489" s="91"/>
      <c r="O489" s="91"/>
      <c r="P489" s="91"/>
      <c r="Q489" s="91"/>
      <c r="R489" s="91"/>
      <c r="S489" s="91"/>
      <c r="T489" s="91"/>
      <c r="U489" s="91"/>
      <c r="V489" s="91"/>
      <c r="W489" s="91"/>
      <c r="X489" s="91"/>
      <c r="Y489" s="91"/>
    </row>
    <row r="490" spans="1:25">
      <c r="A490" s="91"/>
      <c r="B490" s="94"/>
      <c r="C490" s="94"/>
      <c r="D490" s="91"/>
      <c r="E490" s="91"/>
      <c r="F490" s="91"/>
      <c r="G490" s="91"/>
      <c r="H490" s="91"/>
      <c r="I490" s="91"/>
      <c r="J490" s="91"/>
      <c r="K490" s="91"/>
      <c r="L490" s="91"/>
      <c r="M490" s="91"/>
      <c r="N490" s="91"/>
      <c r="O490" s="91"/>
      <c r="P490" s="91"/>
      <c r="Q490" s="91"/>
      <c r="R490" s="91"/>
      <c r="S490" s="91"/>
      <c r="T490" s="91"/>
      <c r="U490" s="91"/>
      <c r="V490" s="91"/>
      <c r="W490" s="91"/>
      <c r="X490" s="91"/>
      <c r="Y490" s="91"/>
    </row>
    <row r="491" spans="1:25">
      <c r="A491" s="91"/>
      <c r="B491" s="94"/>
      <c r="C491" s="94"/>
      <c r="D491" s="91"/>
      <c r="E491" s="91"/>
      <c r="F491" s="91"/>
      <c r="G491" s="91"/>
      <c r="H491" s="91"/>
      <c r="I491" s="91"/>
      <c r="J491" s="91"/>
      <c r="K491" s="91"/>
      <c r="L491" s="91"/>
      <c r="M491" s="91"/>
      <c r="N491" s="91"/>
      <c r="O491" s="91"/>
      <c r="P491" s="91"/>
      <c r="Q491" s="91"/>
      <c r="R491" s="91"/>
      <c r="S491" s="91"/>
      <c r="T491" s="91"/>
      <c r="U491" s="91"/>
      <c r="V491" s="91"/>
      <c r="W491" s="91"/>
      <c r="X491" s="91"/>
      <c r="Y491" s="91"/>
    </row>
    <row r="492" spans="1:25">
      <c r="A492" s="91"/>
      <c r="B492" s="94"/>
      <c r="C492" s="94"/>
      <c r="D492" s="91"/>
      <c r="E492" s="91"/>
      <c r="F492" s="91"/>
      <c r="G492" s="91"/>
      <c r="H492" s="91"/>
      <c r="I492" s="91"/>
      <c r="J492" s="91"/>
      <c r="K492" s="91"/>
      <c r="L492" s="91"/>
      <c r="M492" s="91"/>
      <c r="N492" s="91"/>
      <c r="O492" s="91"/>
      <c r="P492" s="91"/>
      <c r="Q492" s="91"/>
      <c r="R492" s="91"/>
      <c r="S492" s="91"/>
      <c r="T492" s="91"/>
      <c r="U492" s="91"/>
      <c r="V492" s="91"/>
      <c r="W492" s="91"/>
      <c r="X492" s="91"/>
      <c r="Y492" s="91"/>
    </row>
    <row r="493" spans="1:25">
      <c r="A493" s="91"/>
      <c r="B493" s="94"/>
      <c r="C493" s="94"/>
      <c r="D493" s="91"/>
      <c r="E493" s="91"/>
      <c r="F493" s="91"/>
      <c r="G493" s="91"/>
      <c r="H493" s="91"/>
      <c r="I493" s="91"/>
      <c r="J493" s="91"/>
      <c r="K493" s="91"/>
      <c r="L493" s="91"/>
      <c r="M493" s="91"/>
      <c r="N493" s="91"/>
      <c r="O493" s="91"/>
      <c r="P493" s="91"/>
      <c r="Q493" s="91"/>
      <c r="R493" s="91"/>
      <c r="S493" s="91"/>
      <c r="T493" s="91"/>
      <c r="U493" s="91"/>
      <c r="V493" s="91"/>
      <c r="W493" s="91"/>
      <c r="X493" s="91"/>
      <c r="Y493" s="91"/>
    </row>
    <row r="494" spans="1:25">
      <c r="A494" s="91"/>
      <c r="B494" s="94"/>
      <c r="C494" s="94"/>
      <c r="D494" s="91"/>
      <c r="E494" s="91"/>
      <c r="F494" s="91"/>
      <c r="G494" s="91"/>
      <c r="H494" s="91"/>
      <c r="I494" s="91"/>
      <c r="J494" s="91"/>
      <c r="K494" s="91"/>
      <c r="L494" s="91"/>
      <c r="M494" s="91"/>
      <c r="N494" s="91"/>
      <c r="O494" s="91"/>
      <c r="P494" s="91"/>
      <c r="Q494" s="91"/>
      <c r="R494" s="91"/>
      <c r="S494" s="91"/>
      <c r="T494" s="91"/>
      <c r="U494" s="91"/>
      <c r="V494" s="91"/>
      <c r="W494" s="91"/>
      <c r="X494" s="91"/>
      <c r="Y494" s="91"/>
    </row>
    <row r="495" spans="1:25">
      <c r="A495" s="91"/>
      <c r="B495" s="94"/>
      <c r="C495" s="94"/>
      <c r="D495" s="91"/>
      <c r="E495" s="91"/>
      <c r="F495" s="91"/>
      <c r="G495" s="91"/>
      <c r="H495" s="91"/>
      <c r="I495" s="91"/>
      <c r="J495" s="91"/>
      <c r="K495" s="91"/>
      <c r="L495" s="91"/>
      <c r="M495" s="91"/>
      <c r="N495" s="91"/>
      <c r="O495" s="91"/>
      <c r="P495" s="91"/>
      <c r="Q495" s="91"/>
      <c r="R495" s="91"/>
      <c r="S495" s="91"/>
      <c r="T495" s="91"/>
      <c r="U495" s="91"/>
      <c r="V495" s="91"/>
      <c r="W495" s="91"/>
      <c r="X495" s="91"/>
      <c r="Y495" s="91"/>
    </row>
    <row r="496" spans="1:25">
      <c r="A496" s="91"/>
      <c r="B496" s="94"/>
      <c r="C496" s="94"/>
      <c r="D496" s="91"/>
      <c r="E496" s="91"/>
      <c r="F496" s="91"/>
      <c r="G496" s="91"/>
      <c r="H496" s="91"/>
      <c r="I496" s="91"/>
      <c r="J496" s="91"/>
      <c r="K496" s="91"/>
      <c r="L496" s="91"/>
      <c r="M496" s="91"/>
      <c r="N496" s="91"/>
      <c r="O496" s="91"/>
      <c r="P496" s="91"/>
      <c r="Q496" s="91"/>
      <c r="R496" s="91"/>
      <c r="S496" s="91"/>
      <c r="T496" s="91"/>
      <c r="U496" s="91"/>
      <c r="V496" s="91"/>
      <c r="W496" s="91"/>
      <c r="X496" s="91"/>
      <c r="Y496" s="91"/>
    </row>
    <row r="497" spans="1:25">
      <c r="A497" s="91"/>
      <c r="B497" s="94"/>
      <c r="C497" s="94"/>
      <c r="D497" s="91"/>
      <c r="E497" s="91"/>
      <c r="F497" s="91"/>
      <c r="G497" s="91"/>
      <c r="H497" s="91"/>
      <c r="I497" s="91"/>
      <c r="J497" s="91"/>
      <c r="K497" s="91"/>
      <c r="L497" s="91"/>
      <c r="M497" s="91"/>
      <c r="N497" s="91"/>
      <c r="O497" s="91"/>
      <c r="P497" s="91"/>
      <c r="Q497" s="91"/>
      <c r="R497" s="91"/>
      <c r="S497" s="91"/>
      <c r="T497" s="91"/>
      <c r="U497" s="91"/>
      <c r="V497" s="91"/>
      <c r="W497" s="91"/>
      <c r="X497" s="91"/>
      <c r="Y497" s="91"/>
    </row>
    <row r="498" spans="1:25">
      <c r="A498" s="91"/>
      <c r="B498" s="94"/>
      <c r="C498" s="94"/>
      <c r="D498" s="91"/>
      <c r="E498" s="91"/>
      <c r="F498" s="91"/>
      <c r="G498" s="91"/>
      <c r="H498" s="91"/>
      <c r="I498" s="91"/>
      <c r="J498" s="91"/>
      <c r="K498" s="91"/>
      <c r="L498" s="91"/>
      <c r="M498" s="91"/>
      <c r="N498" s="91"/>
      <c r="O498" s="91"/>
      <c r="P498" s="91"/>
      <c r="Q498" s="91"/>
      <c r="R498" s="91"/>
      <c r="S498" s="91"/>
      <c r="T498" s="91"/>
      <c r="U498" s="91"/>
      <c r="V498" s="91"/>
      <c r="W498" s="91"/>
      <c r="X498" s="91"/>
      <c r="Y498" s="91"/>
    </row>
    <row r="499" spans="1:25">
      <c r="A499" s="91"/>
      <c r="B499" s="94"/>
      <c r="C499" s="94"/>
      <c r="D499" s="91"/>
      <c r="E499" s="91"/>
      <c r="F499" s="91"/>
      <c r="G499" s="91"/>
      <c r="H499" s="91"/>
      <c r="I499" s="91"/>
      <c r="J499" s="91"/>
      <c r="K499" s="91"/>
      <c r="L499" s="91"/>
      <c r="M499" s="91"/>
      <c r="N499" s="91"/>
      <c r="O499" s="91"/>
      <c r="P499" s="91"/>
      <c r="Q499" s="91"/>
      <c r="R499" s="91"/>
      <c r="S499" s="91"/>
      <c r="T499" s="91"/>
      <c r="U499" s="91"/>
      <c r="V499" s="91"/>
      <c r="W499" s="91"/>
      <c r="X499" s="91"/>
      <c r="Y499" s="91"/>
    </row>
    <row r="500" spans="1:25">
      <c r="A500" s="91"/>
      <c r="B500" s="94"/>
      <c r="C500" s="94"/>
      <c r="D500" s="91"/>
      <c r="E500" s="91"/>
      <c r="F500" s="91"/>
      <c r="G500" s="91"/>
      <c r="H500" s="91"/>
      <c r="I500" s="91"/>
      <c r="J500" s="91"/>
      <c r="K500" s="91"/>
      <c r="L500" s="91"/>
      <c r="M500" s="91"/>
      <c r="N500" s="91"/>
      <c r="O500" s="91"/>
      <c r="P500" s="91"/>
      <c r="Q500" s="91"/>
      <c r="R500" s="91"/>
      <c r="S500" s="91"/>
      <c r="T500" s="91"/>
      <c r="U500" s="91"/>
      <c r="V500" s="91"/>
      <c r="W500" s="91"/>
      <c r="X500" s="91"/>
      <c r="Y500" s="91"/>
    </row>
    <row r="501" spans="1:25">
      <c r="A501" s="91"/>
      <c r="B501" s="94"/>
      <c r="C501" s="94"/>
      <c r="D501" s="91"/>
      <c r="E501" s="91"/>
      <c r="F501" s="91"/>
      <c r="G501" s="91"/>
      <c r="H501" s="91"/>
      <c r="I501" s="91"/>
      <c r="J501" s="91"/>
      <c r="K501" s="91"/>
      <c r="L501" s="91"/>
      <c r="M501" s="91"/>
      <c r="N501" s="91"/>
      <c r="O501" s="91"/>
      <c r="P501" s="91"/>
      <c r="Q501" s="91"/>
      <c r="R501" s="91"/>
      <c r="S501" s="91"/>
      <c r="T501" s="91"/>
      <c r="U501" s="91"/>
      <c r="V501" s="91"/>
      <c r="W501" s="91"/>
      <c r="X501" s="91"/>
      <c r="Y501" s="91"/>
    </row>
    <row r="502" spans="1:25">
      <c r="A502" s="91"/>
      <c r="B502" s="94"/>
      <c r="C502" s="94"/>
      <c r="D502" s="91"/>
      <c r="E502" s="91"/>
      <c r="F502" s="91"/>
      <c r="G502" s="91"/>
      <c r="H502" s="91"/>
      <c r="I502" s="91"/>
      <c r="J502" s="91"/>
      <c r="K502" s="91"/>
      <c r="L502" s="91"/>
      <c r="M502" s="91"/>
      <c r="N502" s="91"/>
      <c r="O502" s="91"/>
      <c r="P502" s="91"/>
      <c r="Q502" s="91"/>
      <c r="R502" s="91"/>
      <c r="S502" s="91"/>
      <c r="T502" s="91"/>
      <c r="U502" s="91"/>
      <c r="V502" s="91"/>
      <c r="W502" s="91"/>
      <c r="X502" s="91"/>
      <c r="Y502" s="91"/>
    </row>
    <row r="503" spans="1:25">
      <c r="A503" s="91"/>
      <c r="B503" s="94"/>
      <c r="C503" s="94"/>
      <c r="D503" s="91"/>
      <c r="E503" s="91"/>
      <c r="F503" s="91"/>
      <c r="G503" s="91"/>
      <c r="H503" s="91"/>
      <c r="I503" s="91"/>
      <c r="J503" s="91"/>
      <c r="K503" s="91"/>
      <c r="L503" s="91"/>
      <c r="M503" s="91"/>
      <c r="N503" s="91"/>
      <c r="O503" s="91"/>
      <c r="P503" s="91"/>
      <c r="Q503" s="91"/>
      <c r="R503" s="91"/>
      <c r="S503" s="91"/>
      <c r="T503" s="91"/>
      <c r="U503" s="91"/>
      <c r="V503" s="91"/>
      <c r="W503" s="91"/>
      <c r="X503" s="91"/>
      <c r="Y503" s="91"/>
    </row>
    <row r="504" spans="1:25">
      <c r="A504" s="91"/>
      <c r="B504" s="94"/>
      <c r="C504" s="94"/>
      <c r="D504" s="91"/>
      <c r="E504" s="91"/>
      <c r="F504" s="91"/>
      <c r="G504" s="91"/>
      <c r="H504" s="91"/>
      <c r="I504" s="91"/>
      <c r="J504" s="91"/>
      <c r="K504" s="91"/>
      <c r="L504" s="91"/>
      <c r="M504" s="91"/>
      <c r="N504" s="91"/>
      <c r="O504" s="91"/>
      <c r="P504" s="91"/>
      <c r="Q504" s="91"/>
      <c r="R504" s="91"/>
      <c r="S504" s="91"/>
      <c r="T504" s="91"/>
      <c r="U504" s="91"/>
      <c r="V504" s="91"/>
      <c r="W504" s="91"/>
      <c r="X504" s="91"/>
      <c r="Y504" s="91"/>
    </row>
    <row r="505" spans="1:25">
      <c r="A505" s="91"/>
      <c r="B505" s="94"/>
      <c r="C505" s="94"/>
      <c r="D505" s="91"/>
      <c r="E505" s="91"/>
      <c r="F505" s="91"/>
      <c r="G505" s="91"/>
      <c r="H505" s="91"/>
      <c r="I505" s="91"/>
      <c r="J505" s="91"/>
      <c r="K505" s="91"/>
      <c r="L505" s="91"/>
      <c r="M505" s="91"/>
      <c r="N505" s="91"/>
      <c r="O505" s="91"/>
      <c r="P505" s="91"/>
      <c r="Q505" s="91"/>
      <c r="R505" s="91"/>
      <c r="S505" s="91"/>
      <c r="T505" s="91"/>
      <c r="U505" s="91"/>
      <c r="V505" s="91"/>
      <c r="W505" s="91"/>
      <c r="X505" s="91"/>
      <c r="Y505" s="91"/>
    </row>
    <row r="506" spans="1:25">
      <c r="A506" s="91"/>
      <c r="B506" s="94"/>
      <c r="C506" s="94"/>
      <c r="D506" s="91"/>
      <c r="E506" s="91"/>
      <c r="F506" s="91"/>
      <c r="G506" s="91"/>
      <c r="H506" s="91"/>
      <c r="I506" s="91"/>
      <c r="J506" s="91"/>
      <c r="K506" s="91"/>
      <c r="L506" s="91"/>
      <c r="M506" s="91"/>
      <c r="N506" s="91"/>
      <c r="O506" s="91"/>
      <c r="P506" s="91"/>
      <c r="Q506" s="91"/>
      <c r="R506" s="91"/>
      <c r="S506" s="91"/>
      <c r="T506" s="91"/>
      <c r="U506" s="91"/>
      <c r="V506" s="91"/>
      <c r="W506" s="91"/>
      <c r="X506" s="91"/>
      <c r="Y506" s="91"/>
    </row>
    <row r="507" spans="1:25">
      <c r="A507" s="91"/>
      <c r="B507" s="94"/>
      <c r="C507" s="94"/>
      <c r="D507" s="91"/>
      <c r="E507" s="91"/>
      <c r="F507" s="91"/>
      <c r="G507" s="91"/>
      <c r="H507" s="91"/>
      <c r="I507" s="91"/>
      <c r="J507" s="91"/>
      <c r="K507" s="91"/>
      <c r="L507" s="91"/>
      <c r="M507" s="91"/>
      <c r="N507" s="91"/>
      <c r="O507" s="91"/>
      <c r="P507" s="91"/>
      <c r="Q507" s="91"/>
      <c r="R507" s="91"/>
      <c r="S507" s="91"/>
      <c r="T507" s="91"/>
      <c r="U507" s="91"/>
      <c r="V507" s="91"/>
      <c r="W507" s="91"/>
      <c r="X507" s="91"/>
      <c r="Y507" s="91"/>
    </row>
    <row r="508" spans="1:25">
      <c r="A508" s="91"/>
      <c r="B508" s="94"/>
      <c r="C508" s="94"/>
      <c r="D508" s="91"/>
      <c r="E508" s="91"/>
      <c r="F508" s="91"/>
      <c r="G508" s="91"/>
      <c r="H508" s="91"/>
      <c r="I508" s="91"/>
      <c r="J508" s="91"/>
      <c r="K508" s="91"/>
      <c r="L508" s="91"/>
      <c r="M508" s="91"/>
      <c r="N508" s="91"/>
      <c r="O508" s="91"/>
      <c r="P508" s="91"/>
      <c r="Q508" s="91"/>
      <c r="R508" s="91"/>
      <c r="S508" s="91"/>
      <c r="T508" s="91"/>
      <c r="U508" s="91"/>
      <c r="V508" s="91"/>
      <c r="W508" s="91"/>
      <c r="X508" s="91"/>
      <c r="Y508" s="91"/>
    </row>
    <row r="509" spans="1:25">
      <c r="A509" s="91"/>
      <c r="B509" s="94"/>
      <c r="C509" s="94"/>
      <c r="D509" s="91"/>
      <c r="E509" s="91"/>
      <c r="F509" s="91"/>
      <c r="G509" s="91"/>
      <c r="H509" s="91"/>
      <c r="I509" s="91"/>
      <c r="J509" s="91"/>
      <c r="K509" s="91"/>
      <c r="L509" s="91"/>
      <c r="M509" s="91"/>
      <c r="N509" s="91"/>
      <c r="O509" s="91"/>
      <c r="P509" s="91"/>
      <c r="Q509" s="91"/>
      <c r="R509" s="91"/>
      <c r="S509" s="91"/>
      <c r="T509" s="91"/>
      <c r="U509" s="91"/>
      <c r="V509" s="91"/>
      <c r="W509" s="91"/>
      <c r="X509" s="91"/>
      <c r="Y509" s="91"/>
    </row>
    <row r="510" spans="1:25">
      <c r="A510" s="91"/>
      <c r="B510" s="94"/>
      <c r="C510" s="94"/>
      <c r="D510" s="91"/>
      <c r="E510" s="91"/>
      <c r="F510" s="91"/>
      <c r="G510" s="91"/>
      <c r="H510" s="91"/>
      <c r="I510" s="91"/>
      <c r="J510" s="91"/>
      <c r="K510" s="91"/>
      <c r="L510" s="91"/>
      <c r="M510" s="91"/>
      <c r="N510" s="91"/>
      <c r="O510" s="91"/>
      <c r="P510" s="91"/>
      <c r="Q510" s="91"/>
      <c r="R510" s="91"/>
      <c r="S510" s="91"/>
      <c r="T510" s="91"/>
      <c r="U510" s="91"/>
      <c r="V510" s="91"/>
      <c r="W510" s="91"/>
      <c r="X510" s="91"/>
      <c r="Y510" s="91"/>
    </row>
    <row r="511" spans="1:25">
      <c r="A511" s="91"/>
      <c r="B511" s="94"/>
      <c r="C511" s="94"/>
      <c r="D511" s="91"/>
      <c r="E511" s="91"/>
      <c r="F511" s="91"/>
      <c r="G511" s="91"/>
      <c r="H511" s="91"/>
      <c r="I511" s="91"/>
      <c r="J511" s="91"/>
      <c r="K511" s="91"/>
      <c r="L511" s="91"/>
      <c r="M511" s="91"/>
      <c r="N511" s="91"/>
      <c r="O511" s="91"/>
      <c r="P511" s="91"/>
      <c r="Q511" s="91"/>
      <c r="R511" s="91"/>
      <c r="S511" s="91"/>
      <c r="T511" s="91"/>
      <c r="U511" s="91"/>
      <c r="V511" s="91"/>
      <c r="W511" s="91"/>
      <c r="X511" s="91"/>
      <c r="Y511" s="91"/>
    </row>
    <row r="512" spans="1:25">
      <c r="A512" s="91"/>
      <c r="B512" s="94"/>
      <c r="C512" s="94"/>
      <c r="D512" s="91"/>
      <c r="E512" s="91"/>
      <c r="F512" s="91"/>
      <c r="G512" s="91"/>
      <c r="H512" s="91"/>
      <c r="I512" s="91"/>
      <c r="J512" s="91"/>
      <c r="K512" s="91"/>
      <c r="L512" s="91"/>
      <c r="M512" s="91"/>
      <c r="N512" s="91"/>
      <c r="O512" s="91"/>
      <c r="P512" s="91"/>
      <c r="Q512" s="91"/>
      <c r="R512" s="91"/>
      <c r="S512" s="91"/>
      <c r="T512" s="91"/>
      <c r="U512" s="91"/>
      <c r="V512" s="91"/>
      <c r="W512" s="91"/>
      <c r="X512" s="91"/>
      <c r="Y512" s="91"/>
    </row>
    <row r="513" spans="1:25">
      <c r="A513" s="91"/>
      <c r="B513" s="94"/>
      <c r="C513" s="94"/>
      <c r="D513" s="91"/>
      <c r="E513" s="91"/>
      <c r="F513" s="91"/>
      <c r="G513" s="91"/>
      <c r="H513" s="91"/>
      <c r="I513" s="91"/>
      <c r="J513" s="91"/>
      <c r="K513" s="91"/>
      <c r="L513" s="91"/>
      <c r="M513" s="91"/>
      <c r="N513" s="91"/>
      <c r="O513" s="91"/>
      <c r="P513" s="91"/>
      <c r="Q513" s="91"/>
      <c r="R513" s="91"/>
      <c r="S513" s="91"/>
      <c r="T513" s="91"/>
      <c r="U513" s="91"/>
      <c r="V513" s="91"/>
      <c r="W513" s="91"/>
      <c r="X513" s="91"/>
      <c r="Y513" s="91"/>
    </row>
    <row r="514" spans="1:25">
      <c r="A514" s="91"/>
      <c r="B514" s="94"/>
      <c r="C514" s="94"/>
      <c r="D514" s="91"/>
      <c r="E514" s="91"/>
      <c r="F514" s="91"/>
      <c r="G514" s="91"/>
      <c r="H514" s="91"/>
      <c r="I514" s="91"/>
      <c r="J514" s="91"/>
      <c r="K514" s="91"/>
      <c r="L514" s="91"/>
      <c r="M514" s="91"/>
      <c r="N514" s="91"/>
      <c r="O514" s="91"/>
      <c r="P514" s="91"/>
      <c r="Q514" s="91"/>
      <c r="R514" s="91"/>
      <c r="S514" s="91"/>
      <c r="T514" s="91"/>
      <c r="U514" s="91"/>
      <c r="V514" s="91"/>
      <c r="W514" s="91"/>
      <c r="X514" s="91"/>
      <c r="Y514" s="91"/>
    </row>
    <row r="515" spans="1:25">
      <c r="A515" s="91"/>
      <c r="B515" s="94"/>
      <c r="C515" s="94"/>
      <c r="D515" s="91"/>
      <c r="E515" s="91"/>
      <c r="F515" s="91"/>
      <c r="G515" s="91"/>
      <c r="H515" s="91"/>
      <c r="I515" s="91"/>
      <c r="J515" s="91"/>
      <c r="K515" s="91"/>
      <c r="L515" s="91"/>
      <c r="M515" s="91"/>
      <c r="N515" s="91"/>
      <c r="O515" s="91"/>
      <c r="P515" s="91"/>
      <c r="Q515" s="91"/>
      <c r="R515" s="91"/>
      <c r="S515" s="91"/>
      <c r="T515" s="91"/>
      <c r="U515" s="91"/>
      <c r="V515" s="91"/>
      <c r="W515" s="91"/>
      <c r="X515" s="91"/>
      <c r="Y515" s="91"/>
    </row>
    <row r="516" spans="1:25">
      <c r="A516" s="91"/>
      <c r="B516" s="94"/>
      <c r="C516" s="94"/>
      <c r="D516" s="91"/>
      <c r="E516" s="91"/>
      <c r="F516" s="91"/>
      <c r="G516" s="91"/>
      <c r="H516" s="91"/>
      <c r="I516" s="91"/>
      <c r="J516" s="91"/>
      <c r="K516" s="91"/>
      <c r="L516" s="91"/>
      <c r="M516" s="91"/>
      <c r="N516" s="91"/>
      <c r="O516" s="91"/>
      <c r="P516" s="91"/>
      <c r="Q516" s="91"/>
      <c r="R516" s="91"/>
      <c r="S516" s="91"/>
      <c r="T516" s="91"/>
      <c r="U516" s="91"/>
      <c r="V516" s="91"/>
      <c r="W516" s="91"/>
      <c r="X516" s="91"/>
      <c r="Y516" s="91"/>
    </row>
    <row r="517" spans="1:25">
      <c r="A517" s="91"/>
      <c r="B517" s="94"/>
      <c r="C517" s="94"/>
      <c r="D517" s="91"/>
      <c r="E517" s="91"/>
      <c r="F517" s="91"/>
      <c r="G517" s="91"/>
      <c r="H517" s="91"/>
      <c r="I517" s="91"/>
      <c r="J517" s="91"/>
      <c r="K517" s="91"/>
      <c r="L517" s="91"/>
      <c r="M517" s="91"/>
      <c r="N517" s="91"/>
      <c r="O517" s="91"/>
      <c r="P517" s="91"/>
      <c r="Q517" s="91"/>
      <c r="R517" s="91"/>
      <c r="S517" s="91"/>
      <c r="T517" s="91"/>
      <c r="U517" s="91"/>
      <c r="V517" s="91"/>
      <c r="W517" s="91"/>
      <c r="X517" s="91"/>
      <c r="Y517" s="91"/>
    </row>
    <row r="518" spans="1:25">
      <c r="A518" s="91"/>
      <c r="B518" s="94"/>
      <c r="C518" s="94"/>
      <c r="D518" s="91"/>
      <c r="E518" s="91"/>
      <c r="F518" s="91"/>
      <c r="G518" s="91"/>
      <c r="H518" s="91"/>
      <c r="I518" s="91"/>
      <c r="J518" s="91"/>
      <c r="K518" s="91"/>
      <c r="L518" s="91"/>
      <c r="M518" s="91"/>
      <c r="N518" s="91"/>
      <c r="O518" s="91"/>
      <c r="P518" s="91"/>
      <c r="Q518" s="91"/>
      <c r="R518" s="91"/>
      <c r="S518" s="91"/>
      <c r="T518" s="91"/>
      <c r="U518" s="91"/>
      <c r="V518" s="91"/>
      <c r="W518" s="91"/>
      <c r="X518" s="91"/>
      <c r="Y518" s="91"/>
    </row>
    <row r="519" spans="1:25">
      <c r="A519" s="91"/>
      <c r="B519" s="94"/>
      <c r="C519" s="94"/>
      <c r="D519" s="91"/>
      <c r="E519" s="91"/>
      <c r="F519" s="91"/>
      <c r="G519" s="91"/>
      <c r="H519" s="91"/>
      <c r="I519" s="91"/>
      <c r="J519" s="91"/>
      <c r="K519" s="91"/>
      <c r="L519" s="91"/>
      <c r="M519" s="91"/>
      <c r="N519" s="91"/>
      <c r="O519" s="91"/>
      <c r="P519" s="91"/>
      <c r="Q519" s="91"/>
      <c r="R519" s="91"/>
      <c r="S519" s="91"/>
      <c r="T519" s="91"/>
      <c r="U519" s="91"/>
      <c r="V519" s="91"/>
      <c r="W519" s="91"/>
      <c r="X519" s="91"/>
      <c r="Y519" s="91"/>
    </row>
    <row r="520" spans="1:25">
      <c r="A520" s="91"/>
      <c r="B520" s="94"/>
      <c r="C520" s="94"/>
      <c r="D520" s="91"/>
      <c r="E520" s="91"/>
      <c r="F520" s="91"/>
      <c r="G520" s="91"/>
      <c r="H520" s="91"/>
      <c r="I520" s="91"/>
      <c r="J520" s="91"/>
      <c r="K520" s="91"/>
      <c r="L520" s="91"/>
      <c r="M520" s="91"/>
      <c r="N520" s="91"/>
      <c r="O520" s="91"/>
      <c r="P520" s="91"/>
      <c r="Q520" s="91"/>
      <c r="R520" s="91"/>
      <c r="S520" s="91"/>
      <c r="T520" s="91"/>
      <c r="U520" s="91"/>
      <c r="V520" s="91"/>
      <c r="W520" s="91"/>
      <c r="X520" s="91"/>
      <c r="Y520" s="91"/>
    </row>
    <row r="521" spans="1:25">
      <c r="A521" s="91"/>
      <c r="B521" s="94"/>
      <c r="C521" s="94"/>
      <c r="D521" s="91"/>
      <c r="E521" s="91"/>
      <c r="F521" s="91"/>
      <c r="G521" s="91"/>
      <c r="H521" s="91"/>
      <c r="I521" s="91"/>
      <c r="J521" s="91"/>
      <c r="K521" s="91"/>
      <c r="L521" s="91"/>
      <c r="M521" s="91"/>
      <c r="N521" s="91"/>
      <c r="O521" s="91"/>
      <c r="P521" s="91"/>
      <c r="Q521" s="91"/>
      <c r="R521" s="91"/>
      <c r="S521" s="91"/>
      <c r="T521" s="91"/>
      <c r="U521" s="91"/>
      <c r="V521" s="91"/>
      <c r="W521" s="91"/>
      <c r="X521" s="91"/>
      <c r="Y521" s="91"/>
    </row>
    <row r="522" spans="1:25">
      <c r="A522" s="91"/>
      <c r="B522" s="94"/>
      <c r="C522" s="94"/>
      <c r="D522" s="91"/>
      <c r="E522" s="91"/>
      <c r="F522" s="91"/>
      <c r="G522" s="91"/>
      <c r="H522" s="91"/>
      <c r="I522" s="91"/>
      <c r="J522" s="91"/>
      <c r="K522" s="91"/>
      <c r="L522" s="91"/>
      <c r="M522" s="91"/>
      <c r="N522" s="91"/>
      <c r="O522" s="91"/>
      <c r="P522" s="91"/>
      <c r="Q522" s="91"/>
      <c r="R522" s="91"/>
      <c r="S522" s="91"/>
      <c r="T522" s="91"/>
      <c r="U522" s="91"/>
      <c r="V522" s="91"/>
      <c r="W522" s="91"/>
      <c r="X522" s="91"/>
      <c r="Y522" s="91"/>
    </row>
    <row r="523" spans="1:25">
      <c r="A523" s="91"/>
      <c r="B523" s="94"/>
      <c r="C523" s="94"/>
      <c r="D523" s="91"/>
      <c r="E523" s="91"/>
      <c r="F523" s="91"/>
      <c r="G523" s="91"/>
      <c r="H523" s="91"/>
      <c r="I523" s="91"/>
      <c r="J523" s="91"/>
      <c r="K523" s="91"/>
      <c r="L523" s="91"/>
      <c r="M523" s="91"/>
      <c r="N523" s="91"/>
      <c r="O523" s="91"/>
      <c r="P523" s="91"/>
      <c r="Q523" s="91"/>
      <c r="R523" s="91"/>
      <c r="S523" s="91"/>
      <c r="T523" s="91"/>
      <c r="U523" s="91"/>
      <c r="V523" s="91"/>
      <c r="W523" s="91"/>
      <c r="X523" s="91"/>
      <c r="Y523" s="91"/>
    </row>
    <row r="524" spans="1:25">
      <c r="A524" s="91"/>
      <c r="B524" s="94"/>
      <c r="C524" s="94"/>
      <c r="D524" s="91"/>
      <c r="E524" s="91"/>
      <c r="F524" s="91"/>
      <c r="G524" s="91"/>
      <c r="H524" s="91"/>
      <c r="I524" s="91"/>
      <c r="J524" s="91"/>
      <c r="K524" s="91"/>
      <c r="L524" s="91"/>
      <c r="M524" s="91"/>
      <c r="N524" s="91"/>
      <c r="O524" s="91"/>
      <c r="P524" s="91"/>
      <c r="Q524" s="91"/>
      <c r="R524" s="91"/>
      <c r="S524" s="91"/>
      <c r="T524" s="91"/>
      <c r="U524" s="91"/>
      <c r="V524" s="91"/>
      <c r="W524" s="91"/>
      <c r="X524" s="91"/>
      <c r="Y524" s="91"/>
    </row>
    <row r="525" spans="1:25">
      <c r="A525" s="91"/>
      <c r="B525" s="94"/>
      <c r="C525" s="94"/>
      <c r="D525" s="91"/>
      <c r="E525" s="91"/>
      <c r="F525" s="91"/>
      <c r="G525" s="91"/>
      <c r="H525" s="91"/>
      <c r="I525" s="91"/>
      <c r="J525" s="91"/>
      <c r="K525" s="91"/>
      <c r="L525" s="91"/>
      <c r="M525" s="91"/>
      <c r="N525" s="91"/>
      <c r="O525" s="91"/>
      <c r="P525" s="91"/>
      <c r="Q525" s="91"/>
      <c r="R525" s="91"/>
      <c r="S525" s="91"/>
      <c r="T525" s="91"/>
      <c r="U525" s="91"/>
      <c r="V525" s="91"/>
      <c r="W525" s="91"/>
      <c r="X525" s="91"/>
      <c r="Y525" s="91"/>
    </row>
    <row r="526" spans="1:25">
      <c r="A526" s="91"/>
      <c r="B526" s="94"/>
      <c r="C526" s="94"/>
      <c r="D526" s="91"/>
      <c r="E526" s="91"/>
      <c r="F526" s="91"/>
      <c r="G526" s="91"/>
      <c r="H526" s="91"/>
      <c r="I526" s="91"/>
      <c r="J526" s="91"/>
      <c r="K526" s="91"/>
      <c r="L526" s="91"/>
      <c r="M526" s="91"/>
      <c r="N526" s="91"/>
      <c r="O526" s="91"/>
      <c r="P526" s="91"/>
      <c r="Q526" s="91"/>
      <c r="R526" s="91"/>
      <c r="S526" s="91"/>
      <c r="T526" s="91"/>
      <c r="U526" s="91"/>
      <c r="V526" s="91"/>
      <c r="W526" s="91"/>
      <c r="X526" s="91"/>
      <c r="Y526" s="91"/>
    </row>
    <row r="527" spans="1:25">
      <c r="A527" s="91"/>
      <c r="B527" s="94"/>
      <c r="C527" s="94"/>
      <c r="D527" s="91"/>
      <c r="E527" s="91"/>
      <c r="F527" s="91"/>
      <c r="G527" s="91"/>
      <c r="H527" s="91"/>
      <c r="I527" s="91"/>
      <c r="J527" s="91"/>
      <c r="K527" s="91"/>
      <c r="L527" s="91"/>
      <c r="M527" s="91"/>
      <c r="N527" s="91"/>
      <c r="O527" s="91"/>
      <c r="P527" s="91"/>
      <c r="Q527" s="91"/>
      <c r="R527" s="91"/>
      <c r="S527" s="91"/>
      <c r="T527" s="91"/>
      <c r="U527" s="91"/>
      <c r="V527" s="91"/>
      <c r="W527" s="91"/>
      <c r="X527" s="91"/>
      <c r="Y527" s="91"/>
    </row>
    <row r="528" spans="1:25">
      <c r="A528" s="91"/>
      <c r="B528" s="94"/>
      <c r="C528" s="94"/>
      <c r="D528" s="91"/>
      <c r="E528" s="91"/>
      <c r="F528" s="91"/>
      <c r="G528" s="91"/>
      <c r="H528" s="91"/>
      <c r="I528" s="91"/>
      <c r="J528" s="91"/>
      <c r="K528" s="91"/>
      <c r="L528" s="91"/>
      <c r="M528" s="91"/>
      <c r="N528" s="91"/>
      <c r="O528" s="91"/>
      <c r="P528" s="91"/>
      <c r="Q528" s="91"/>
      <c r="R528" s="91"/>
      <c r="S528" s="91"/>
      <c r="T528" s="91"/>
      <c r="U528" s="91"/>
      <c r="V528" s="91"/>
      <c r="W528" s="91"/>
      <c r="X528" s="91"/>
      <c r="Y528" s="91"/>
    </row>
    <row r="529" spans="1:25">
      <c r="A529" s="91"/>
      <c r="B529" s="94"/>
      <c r="C529" s="94"/>
      <c r="D529" s="91"/>
      <c r="E529" s="91"/>
      <c r="F529" s="91"/>
      <c r="G529" s="91"/>
      <c r="H529" s="91"/>
      <c r="I529" s="91"/>
      <c r="J529" s="91"/>
      <c r="K529" s="91"/>
      <c r="L529" s="91"/>
      <c r="M529" s="91"/>
      <c r="N529" s="91"/>
      <c r="O529" s="91"/>
      <c r="P529" s="91"/>
      <c r="Q529" s="91"/>
      <c r="R529" s="91"/>
      <c r="S529" s="91"/>
      <c r="T529" s="91"/>
      <c r="U529" s="91"/>
      <c r="V529" s="91"/>
      <c r="W529" s="91"/>
      <c r="X529" s="91"/>
      <c r="Y529" s="91"/>
    </row>
    <row r="530" spans="1:25">
      <c r="A530" s="91"/>
      <c r="B530" s="94"/>
      <c r="C530" s="94"/>
      <c r="D530" s="91"/>
      <c r="E530" s="91"/>
      <c r="F530" s="91"/>
      <c r="G530" s="91"/>
      <c r="H530" s="91"/>
      <c r="I530" s="91"/>
      <c r="J530" s="91"/>
      <c r="K530" s="91"/>
      <c r="L530" s="91"/>
      <c r="M530" s="91"/>
      <c r="N530" s="91"/>
      <c r="O530" s="91"/>
      <c r="P530" s="91"/>
      <c r="Q530" s="91"/>
      <c r="R530" s="91"/>
      <c r="S530" s="91"/>
      <c r="T530" s="91"/>
      <c r="U530" s="91"/>
      <c r="V530" s="91"/>
      <c r="W530" s="91"/>
      <c r="X530" s="91"/>
      <c r="Y530" s="91"/>
    </row>
    <row r="531" spans="1:25">
      <c r="A531" s="91"/>
      <c r="B531" s="94"/>
      <c r="C531" s="94"/>
      <c r="D531" s="91"/>
      <c r="E531" s="91"/>
      <c r="F531" s="91"/>
      <c r="G531" s="91"/>
      <c r="H531" s="91"/>
      <c r="I531" s="91"/>
      <c r="J531" s="91"/>
      <c r="K531" s="91"/>
      <c r="L531" s="91"/>
      <c r="M531" s="91"/>
      <c r="N531" s="91"/>
      <c r="O531" s="91"/>
      <c r="P531" s="91"/>
      <c r="Q531" s="91"/>
      <c r="R531" s="91"/>
      <c r="S531" s="91"/>
      <c r="T531" s="91"/>
      <c r="U531" s="91"/>
      <c r="V531" s="91"/>
      <c r="W531" s="91"/>
      <c r="X531" s="91"/>
      <c r="Y531" s="91"/>
    </row>
    <row r="532" spans="1:25">
      <c r="A532" s="91"/>
      <c r="B532" s="94"/>
      <c r="C532" s="94"/>
      <c r="D532" s="91"/>
      <c r="E532" s="91"/>
      <c r="F532" s="91"/>
      <c r="G532" s="91"/>
      <c r="H532" s="91"/>
      <c r="I532" s="91"/>
      <c r="J532" s="91"/>
      <c r="K532" s="91"/>
      <c r="L532" s="91"/>
      <c r="M532" s="91"/>
      <c r="N532" s="91"/>
      <c r="O532" s="91"/>
      <c r="P532" s="91"/>
      <c r="Q532" s="91"/>
      <c r="R532" s="91"/>
      <c r="S532" s="91"/>
      <c r="T532" s="91"/>
      <c r="U532" s="91"/>
      <c r="V532" s="91"/>
      <c r="W532" s="91"/>
      <c r="X532" s="91"/>
      <c r="Y532" s="91"/>
    </row>
    <row r="533" spans="1:25">
      <c r="A533" s="91"/>
      <c r="B533" s="94"/>
      <c r="C533" s="94"/>
      <c r="D533" s="91"/>
      <c r="E533" s="91"/>
      <c r="F533" s="91"/>
      <c r="G533" s="91"/>
      <c r="H533" s="91"/>
      <c r="I533" s="91"/>
      <c r="J533" s="91"/>
      <c r="K533" s="91"/>
      <c r="L533" s="91"/>
      <c r="M533" s="91"/>
      <c r="N533" s="91"/>
      <c r="O533" s="91"/>
      <c r="P533" s="91"/>
      <c r="Q533" s="91"/>
      <c r="R533" s="91"/>
      <c r="S533" s="91"/>
      <c r="T533" s="91"/>
      <c r="U533" s="91"/>
      <c r="V533" s="91"/>
      <c r="W533" s="91"/>
      <c r="X533" s="91"/>
      <c r="Y533" s="91"/>
    </row>
    <row r="534" spans="1:25">
      <c r="A534" s="91"/>
      <c r="B534" s="94"/>
      <c r="C534" s="94"/>
      <c r="D534" s="91"/>
      <c r="E534" s="91"/>
      <c r="F534" s="91"/>
      <c r="G534" s="91"/>
      <c r="H534" s="91"/>
      <c r="I534" s="91"/>
      <c r="J534" s="91"/>
      <c r="K534" s="91"/>
      <c r="L534" s="91"/>
      <c r="M534" s="91"/>
      <c r="N534" s="91"/>
      <c r="O534" s="91"/>
      <c r="P534" s="91"/>
      <c r="Q534" s="91"/>
      <c r="R534" s="91"/>
      <c r="S534" s="91"/>
      <c r="T534" s="91"/>
      <c r="U534" s="91"/>
      <c r="V534" s="91"/>
      <c r="W534" s="91"/>
      <c r="X534" s="91"/>
      <c r="Y534" s="91"/>
    </row>
    <row r="535" spans="1:25">
      <c r="A535" s="91"/>
      <c r="B535" s="94"/>
      <c r="C535" s="94"/>
      <c r="D535" s="91"/>
      <c r="E535" s="91"/>
      <c r="F535" s="91"/>
      <c r="G535" s="91"/>
      <c r="H535" s="91"/>
      <c r="I535" s="91"/>
      <c r="J535" s="91"/>
      <c r="K535" s="91"/>
      <c r="L535" s="91"/>
      <c r="M535" s="91"/>
      <c r="N535" s="91"/>
      <c r="O535" s="91"/>
      <c r="P535" s="91"/>
      <c r="Q535" s="91"/>
      <c r="R535" s="91"/>
      <c r="S535" s="91"/>
      <c r="T535" s="91"/>
      <c r="U535" s="91"/>
      <c r="V535" s="91"/>
      <c r="W535" s="91"/>
      <c r="X535" s="91"/>
      <c r="Y535" s="91"/>
    </row>
    <row r="536" spans="1:25">
      <c r="A536" s="91"/>
      <c r="B536" s="94"/>
      <c r="C536" s="94"/>
      <c r="D536" s="91"/>
      <c r="E536" s="91"/>
      <c r="F536" s="91"/>
      <c r="G536" s="91"/>
      <c r="H536" s="91"/>
      <c r="I536" s="91"/>
      <c r="J536" s="91"/>
      <c r="K536" s="91"/>
      <c r="L536" s="91"/>
      <c r="M536" s="91"/>
      <c r="N536" s="91"/>
      <c r="O536" s="91"/>
      <c r="P536" s="91"/>
      <c r="Q536" s="91"/>
      <c r="R536" s="91"/>
      <c r="S536" s="91"/>
      <c r="T536" s="91"/>
      <c r="U536" s="91"/>
      <c r="V536" s="91"/>
      <c r="W536" s="91"/>
      <c r="X536" s="91"/>
      <c r="Y536" s="91"/>
    </row>
    <row r="537" spans="1:25">
      <c r="A537" s="91"/>
      <c r="B537" s="94"/>
      <c r="C537" s="94"/>
      <c r="D537" s="91"/>
      <c r="E537" s="91"/>
      <c r="F537" s="91"/>
      <c r="G537" s="91"/>
      <c r="H537" s="91"/>
      <c r="I537" s="91"/>
      <c r="J537" s="91"/>
      <c r="K537" s="91"/>
      <c r="L537" s="91"/>
      <c r="M537" s="91"/>
      <c r="N537" s="91"/>
      <c r="O537" s="91"/>
      <c r="P537" s="91"/>
      <c r="Q537" s="91"/>
      <c r="R537" s="91"/>
      <c r="S537" s="91"/>
      <c r="T537" s="91"/>
      <c r="U537" s="91"/>
      <c r="V537" s="91"/>
      <c r="W537" s="91"/>
      <c r="X537" s="91"/>
      <c r="Y537" s="91"/>
    </row>
    <row r="538" spans="1:25">
      <c r="A538" s="91"/>
      <c r="B538" s="94"/>
      <c r="C538" s="94"/>
      <c r="D538" s="91"/>
      <c r="E538" s="91"/>
      <c r="F538" s="91"/>
      <c r="G538" s="91"/>
      <c r="H538" s="91"/>
      <c r="I538" s="91"/>
      <c r="J538" s="91"/>
      <c r="K538" s="91"/>
      <c r="L538" s="91"/>
      <c r="M538" s="91"/>
      <c r="N538" s="91"/>
      <c r="O538" s="91"/>
      <c r="P538" s="91"/>
      <c r="Q538" s="91"/>
      <c r="R538" s="91"/>
      <c r="S538" s="91"/>
      <c r="T538" s="91"/>
      <c r="U538" s="91"/>
      <c r="V538" s="91"/>
      <c r="W538" s="91"/>
      <c r="X538" s="91"/>
      <c r="Y538" s="91"/>
    </row>
    <row r="539" spans="1:25">
      <c r="A539" s="91"/>
      <c r="B539" s="94"/>
      <c r="C539" s="94"/>
      <c r="D539" s="91"/>
      <c r="E539" s="91"/>
      <c r="F539" s="91"/>
      <c r="G539" s="91"/>
      <c r="H539" s="91"/>
      <c r="I539" s="91"/>
      <c r="J539" s="91"/>
      <c r="K539" s="91"/>
      <c r="L539" s="91"/>
      <c r="M539" s="91"/>
      <c r="N539" s="91"/>
      <c r="O539" s="91"/>
      <c r="P539" s="91"/>
      <c r="Q539" s="91"/>
      <c r="R539" s="91"/>
      <c r="S539" s="91"/>
      <c r="T539" s="91"/>
      <c r="U539" s="91"/>
      <c r="V539" s="91"/>
      <c r="W539" s="91"/>
      <c r="X539" s="91"/>
      <c r="Y539" s="91"/>
    </row>
    <row r="540" spans="1:25">
      <c r="A540" s="91"/>
      <c r="B540" s="94"/>
      <c r="C540" s="94"/>
      <c r="D540" s="91"/>
      <c r="E540" s="91"/>
      <c r="F540" s="91"/>
      <c r="G540" s="91"/>
      <c r="H540" s="91"/>
      <c r="I540" s="91"/>
      <c r="J540" s="91"/>
      <c r="K540" s="91"/>
      <c r="L540" s="91"/>
      <c r="M540" s="91"/>
      <c r="N540" s="91"/>
      <c r="O540" s="91"/>
      <c r="P540" s="91"/>
      <c r="Q540" s="91"/>
      <c r="R540" s="91"/>
      <c r="S540" s="91"/>
      <c r="T540" s="91"/>
      <c r="U540" s="91"/>
      <c r="V540" s="91"/>
      <c r="W540" s="91"/>
      <c r="X540" s="91"/>
      <c r="Y540" s="91"/>
    </row>
    <row r="541" spans="1:25">
      <c r="A541" s="91"/>
      <c r="B541" s="94"/>
      <c r="C541" s="94"/>
      <c r="D541" s="91"/>
      <c r="E541" s="91"/>
      <c r="F541" s="91"/>
      <c r="G541" s="91"/>
      <c r="H541" s="91"/>
      <c r="I541" s="91"/>
      <c r="J541" s="91"/>
      <c r="K541" s="91"/>
      <c r="L541" s="91"/>
      <c r="M541" s="91"/>
      <c r="N541" s="91"/>
      <c r="O541" s="91"/>
      <c r="P541" s="91"/>
      <c r="Q541" s="91"/>
      <c r="R541" s="91"/>
      <c r="S541" s="91"/>
      <c r="T541" s="91"/>
      <c r="U541" s="91"/>
      <c r="V541" s="91"/>
      <c r="W541" s="91"/>
      <c r="X541" s="91"/>
      <c r="Y541" s="91"/>
    </row>
    <row r="542" spans="1:25">
      <c r="A542" s="91"/>
      <c r="B542" s="94"/>
      <c r="C542" s="94"/>
      <c r="D542" s="91"/>
      <c r="E542" s="91"/>
      <c r="F542" s="91"/>
      <c r="G542" s="91"/>
      <c r="H542" s="91"/>
      <c r="I542" s="91"/>
      <c r="J542" s="91"/>
      <c r="K542" s="91"/>
      <c r="L542" s="91"/>
      <c r="M542" s="91"/>
      <c r="N542" s="91"/>
      <c r="O542" s="91"/>
      <c r="P542" s="91"/>
      <c r="Q542" s="91"/>
      <c r="R542" s="91"/>
      <c r="S542" s="91"/>
      <c r="T542" s="91"/>
      <c r="U542" s="91"/>
      <c r="V542" s="91"/>
      <c r="W542" s="91"/>
      <c r="X542" s="91"/>
      <c r="Y542" s="91"/>
    </row>
    <row r="543" spans="1:25">
      <c r="A543" s="91"/>
      <c r="B543" s="94"/>
      <c r="C543" s="94"/>
      <c r="D543" s="91"/>
      <c r="E543" s="91"/>
      <c r="F543" s="91"/>
      <c r="G543" s="91"/>
      <c r="H543" s="91"/>
      <c r="I543" s="91"/>
      <c r="J543" s="91"/>
      <c r="K543" s="91"/>
      <c r="L543" s="91"/>
      <c r="M543" s="91"/>
      <c r="N543" s="91"/>
      <c r="O543" s="91"/>
      <c r="P543" s="91"/>
      <c r="Q543" s="91"/>
      <c r="R543" s="91"/>
      <c r="S543" s="91"/>
      <c r="T543" s="91"/>
      <c r="U543" s="91"/>
      <c r="V543" s="91"/>
      <c r="W543" s="91"/>
      <c r="X543" s="91"/>
      <c r="Y543" s="91"/>
    </row>
    <row r="544" spans="1:25">
      <c r="A544" s="91"/>
      <c r="B544" s="94"/>
      <c r="C544" s="94"/>
      <c r="D544" s="91"/>
      <c r="E544" s="91"/>
      <c r="F544" s="91"/>
      <c r="G544" s="91"/>
      <c r="H544" s="91"/>
      <c r="I544" s="91"/>
      <c r="J544" s="91"/>
      <c r="K544" s="91"/>
      <c r="L544" s="91"/>
      <c r="M544" s="91"/>
      <c r="N544" s="91"/>
      <c r="O544" s="91"/>
      <c r="P544" s="91"/>
      <c r="Q544" s="91"/>
      <c r="R544" s="91"/>
      <c r="S544" s="91"/>
      <c r="T544" s="91"/>
      <c r="U544" s="91"/>
      <c r="V544" s="91"/>
      <c r="W544" s="91"/>
      <c r="X544" s="91"/>
      <c r="Y544" s="91"/>
    </row>
    <row r="545" spans="1:25">
      <c r="A545" s="91"/>
      <c r="B545" s="94"/>
      <c r="C545" s="94"/>
      <c r="D545" s="91"/>
      <c r="E545" s="91"/>
      <c r="F545" s="91"/>
      <c r="G545" s="91"/>
      <c r="H545" s="91"/>
      <c r="I545" s="91"/>
      <c r="J545" s="91"/>
      <c r="K545" s="91"/>
      <c r="L545" s="91"/>
      <c r="M545" s="91"/>
      <c r="N545" s="91"/>
      <c r="O545" s="91"/>
      <c r="P545" s="91"/>
      <c r="Q545" s="91"/>
      <c r="R545" s="91"/>
      <c r="S545" s="91"/>
      <c r="T545" s="91"/>
      <c r="U545" s="91"/>
      <c r="V545" s="91"/>
      <c r="W545" s="91"/>
      <c r="X545" s="91"/>
      <c r="Y545" s="91"/>
    </row>
    <row r="546" spans="1:25">
      <c r="A546" s="91"/>
      <c r="B546" s="94"/>
      <c r="C546" s="94"/>
      <c r="D546" s="91"/>
      <c r="E546" s="91"/>
      <c r="F546" s="91"/>
      <c r="G546" s="91"/>
      <c r="H546" s="91"/>
      <c r="I546" s="91"/>
      <c r="J546" s="91"/>
      <c r="K546" s="91"/>
      <c r="L546" s="91"/>
      <c r="M546" s="91"/>
      <c r="N546" s="91"/>
      <c r="O546" s="91"/>
      <c r="P546" s="91"/>
      <c r="Q546" s="91"/>
      <c r="R546" s="91"/>
      <c r="S546" s="91"/>
      <c r="T546" s="91"/>
      <c r="U546" s="91"/>
      <c r="V546" s="91"/>
      <c r="W546" s="91"/>
      <c r="X546" s="91"/>
      <c r="Y546" s="91"/>
    </row>
    <row r="547" spans="1:25">
      <c r="A547" s="91"/>
      <c r="B547" s="94"/>
      <c r="C547" s="94"/>
      <c r="D547" s="91"/>
      <c r="E547" s="91"/>
      <c r="F547" s="91"/>
      <c r="G547" s="91"/>
      <c r="H547" s="91"/>
      <c r="I547" s="91"/>
      <c r="J547" s="91"/>
      <c r="K547" s="91"/>
      <c r="L547" s="91"/>
      <c r="M547" s="91"/>
      <c r="N547" s="91"/>
      <c r="O547" s="91"/>
      <c r="P547" s="91"/>
      <c r="Q547" s="91"/>
      <c r="R547" s="91"/>
      <c r="S547" s="91"/>
      <c r="T547" s="91"/>
      <c r="U547" s="91"/>
      <c r="V547" s="91"/>
      <c r="W547" s="91"/>
      <c r="X547" s="91"/>
      <c r="Y547" s="91"/>
    </row>
    <row r="548" spans="1:25">
      <c r="A548" s="91"/>
      <c r="B548" s="94"/>
      <c r="C548" s="94"/>
      <c r="D548" s="91"/>
      <c r="E548" s="91"/>
      <c r="F548" s="91"/>
      <c r="G548" s="91"/>
      <c r="H548" s="91"/>
      <c r="I548" s="91"/>
      <c r="J548" s="91"/>
      <c r="K548" s="91"/>
      <c r="L548" s="91"/>
      <c r="M548" s="91"/>
      <c r="N548" s="91"/>
      <c r="O548" s="91"/>
      <c r="P548" s="91"/>
      <c r="Q548" s="91"/>
      <c r="R548" s="91"/>
      <c r="S548" s="91"/>
      <c r="T548" s="91"/>
      <c r="U548" s="91"/>
      <c r="V548" s="91"/>
      <c r="W548" s="91"/>
      <c r="X548" s="91"/>
      <c r="Y548" s="91"/>
    </row>
    <row r="549" spans="1:25">
      <c r="A549" s="91"/>
      <c r="B549" s="94"/>
      <c r="C549" s="94"/>
      <c r="D549" s="91"/>
      <c r="E549" s="91"/>
      <c r="F549" s="91"/>
      <c r="G549" s="91"/>
      <c r="H549" s="91"/>
      <c r="I549" s="91"/>
      <c r="J549" s="91"/>
      <c r="K549" s="91"/>
      <c r="L549" s="91"/>
      <c r="M549" s="91"/>
      <c r="N549" s="91"/>
      <c r="O549" s="91"/>
      <c r="P549" s="91"/>
      <c r="Q549" s="91"/>
      <c r="R549" s="91"/>
      <c r="S549" s="91"/>
      <c r="T549" s="91"/>
      <c r="U549" s="91"/>
      <c r="V549" s="91"/>
      <c r="W549" s="91"/>
      <c r="X549" s="91"/>
      <c r="Y549" s="91"/>
    </row>
    <row r="550" spans="1:25">
      <c r="A550" s="91"/>
      <c r="B550" s="94"/>
      <c r="C550" s="94"/>
      <c r="D550" s="91"/>
      <c r="E550" s="91"/>
      <c r="F550" s="91"/>
      <c r="G550" s="91"/>
      <c r="H550" s="91"/>
      <c r="I550" s="91"/>
      <c r="J550" s="91"/>
      <c r="K550" s="91"/>
      <c r="L550" s="91"/>
      <c r="M550" s="91"/>
      <c r="N550" s="91"/>
      <c r="O550" s="91"/>
      <c r="P550" s="91"/>
      <c r="Q550" s="91"/>
      <c r="R550" s="91"/>
      <c r="S550" s="91"/>
      <c r="T550" s="91"/>
      <c r="U550" s="91"/>
      <c r="V550" s="91"/>
      <c r="W550" s="91"/>
      <c r="X550" s="91"/>
      <c r="Y550" s="91"/>
    </row>
    <row r="551" spans="1:25">
      <c r="A551" s="91"/>
      <c r="B551" s="94"/>
      <c r="C551" s="94"/>
      <c r="D551" s="91"/>
      <c r="E551" s="91"/>
      <c r="F551" s="91"/>
      <c r="G551" s="91"/>
      <c r="H551" s="91"/>
      <c r="I551" s="91"/>
      <c r="J551" s="91"/>
      <c r="K551" s="91"/>
      <c r="L551" s="91"/>
      <c r="M551" s="91"/>
      <c r="N551" s="91"/>
      <c r="O551" s="91"/>
      <c r="P551" s="91"/>
      <c r="Q551" s="91"/>
      <c r="R551" s="91"/>
      <c r="S551" s="91"/>
      <c r="T551" s="91"/>
      <c r="U551" s="91"/>
      <c r="V551" s="91"/>
      <c r="W551" s="91"/>
      <c r="X551" s="91"/>
      <c r="Y551" s="91"/>
    </row>
    <row r="552" spans="1:25">
      <c r="A552" s="91"/>
      <c r="B552" s="94"/>
      <c r="C552" s="94"/>
      <c r="D552" s="91"/>
      <c r="E552" s="91"/>
      <c r="F552" s="91"/>
      <c r="G552" s="91"/>
      <c r="H552" s="91"/>
      <c r="I552" s="91"/>
      <c r="J552" s="91"/>
      <c r="K552" s="91"/>
      <c r="L552" s="91"/>
      <c r="M552" s="91"/>
      <c r="N552" s="91"/>
      <c r="O552" s="91"/>
      <c r="P552" s="91"/>
      <c r="Q552" s="91"/>
      <c r="R552" s="91"/>
      <c r="S552" s="91"/>
      <c r="T552" s="91"/>
      <c r="U552" s="91"/>
      <c r="V552" s="91"/>
      <c r="W552" s="91"/>
      <c r="X552" s="91"/>
      <c r="Y552" s="91"/>
    </row>
    <row r="553" spans="1:25">
      <c r="A553" s="91"/>
      <c r="B553" s="94"/>
      <c r="C553" s="94"/>
      <c r="D553" s="91"/>
      <c r="E553" s="91"/>
      <c r="F553" s="91"/>
      <c r="G553" s="91"/>
      <c r="H553" s="91"/>
      <c r="I553" s="91"/>
      <c r="J553" s="91"/>
      <c r="K553" s="91"/>
      <c r="L553" s="91"/>
      <c r="M553" s="91"/>
      <c r="N553" s="91"/>
      <c r="O553" s="91"/>
      <c r="P553" s="91"/>
      <c r="Q553" s="91"/>
      <c r="R553" s="91"/>
      <c r="S553" s="91"/>
      <c r="T553" s="91"/>
      <c r="U553" s="91"/>
      <c r="V553" s="91"/>
      <c r="W553" s="91"/>
      <c r="X553" s="91"/>
      <c r="Y553" s="91"/>
    </row>
    <row r="554" spans="1:25">
      <c r="A554" s="91"/>
      <c r="B554" s="94"/>
      <c r="C554" s="94"/>
      <c r="D554" s="91"/>
      <c r="E554" s="91"/>
      <c r="F554" s="91"/>
      <c r="G554" s="91"/>
      <c r="H554" s="91"/>
      <c r="I554" s="91"/>
      <c r="J554" s="91"/>
      <c r="K554" s="91"/>
      <c r="L554" s="91"/>
      <c r="M554" s="91"/>
      <c r="N554" s="91"/>
      <c r="O554" s="91"/>
      <c r="P554" s="91"/>
      <c r="Q554" s="91"/>
      <c r="R554" s="91"/>
      <c r="S554" s="91"/>
      <c r="T554" s="91"/>
      <c r="U554" s="91"/>
      <c r="V554" s="91"/>
      <c r="W554" s="91"/>
      <c r="X554" s="91"/>
      <c r="Y554" s="91"/>
    </row>
    <row r="555" spans="1:25">
      <c r="A555" s="91"/>
      <c r="B555" s="94"/>
      <c r="C555" s="94"/>
      <c r="D555" s="91"/>
      <c r="E555" s="91"/>
      <c r="F555" s="91"/>
      <c r="G555" s="91"/>
      <c r="H555" s="91"/>
      <c r="I555" s="91"/>
      <c r="J555" s="91"/>
      <c r="K555" s="91"/>
      <c r="L555" s="91"/>
      <c r="M555" s="91"/>
      <c r="N555" s="91"/>
      <c r="O555" s="91"/>
      <c r="P555" s="91"/>
      <c r="Q555" s="91"/>
      <c r="R555" s="91"/>
      <c r="S555" s="91"/>
      <c r="T555" s="91"/>
      <c r="U555" s="91"/>
      <c r="V555" s="91"/>
      <c r="W555" s="91"/>
      <c r="X555" s="91"/>
      <c r="Y555" s="91"/>
    </row>
    <row r="556" spans="1:25">
      <c r="A556" s="91"/>
      <c r="B556" s="94"/>
      <c r="C556" s="94"/>
      <c r="D556" s="91"/>
      <c r="E556" s="91"/>
      <c r="F556" s="91"/>
      <c r="G556" s="91"/>
      <c r="H556" s="91"/>
      <c r="I556" s="91"/>
      <c r="J556" s="91"/>
      <c r="K556" s="91"/>
      <c r="L556" s="91"/>
      <c r="M556" s="91"/>
      <c r="N556" s="91"/>
      <c r="O556" s="91"/>
      <c r="P556" s="91"/>
      <c r="Q556" s="91"/>
      <c r="R556" s="91"/>
      <c r="S556" s="91"/>
      <c r="T556" s="91"/>
      <c r="U556" s="91"/>
      <c r="V556" s="91"/>
      <c r="W556" s="91"/>
      <c r="X556" s="91"/>
      <c r="Y556" s="91"/>
    </row>
    <row r="557" spans="1:25">
      <c r="A557" s="91"/>
      <c r="B557" s="94"/>
      <c r="C557" s="94"/>
      <c r="D557" s="91"/>
      <c r="E557" s="91"/>
      <c r="F557" s="91"/>
      <c r="G557" s="91"/>
      <c r="H557" s="91"/>
      <c r="I557" s="91"/>
      <c r="J557" s="91"/>
      <c r="K557" s="91"/>
      <c r="L557" s="91"/>
      <c r="M557" s="91"/>
      <c r="N557" s="91"/>
      <c r="O557" s="91"/>
      <c r="P557" s="91"/>
      <c r="Q557" s="91"/>
      <c r="R557" s="91"/>
      <c r="S557" s="91"/>
      <c r="T557" s="91"/>
      <c r="U557" s="91"/>
      <c r="V557" s="91"/>
      <c r="W557" s="91"/>
      <c r="X557" s="91"/>
      <c r="Y557" s="91"/>
    </row>
    <row r="558" spans="1:25">
      <c r="A558" s="91"/>
      <c r="B558" s="94"/>
      <c r="C558" s="94"/>
      <c r="D558" s="91"/>
      <c r="E558" s="91"/>
      <c r="F558" s="91"/>
      <c r="G558" s="91"/>
      <c r="H558" s="91"/>
      <c r="I558" s="91"/>
      <c r="J558" s="91"/>
      <c r="K558" s="91"/>
      <c r="L558" s="91"/>
      <c r="M558" s="91"/>
      <c r="N558" s="91"/>
      <c r="O558" s="91"/>
      <c r="P558" s="91"/>
      <c r="Q558" s="91"/>
      <c r="R558" s="91"/>
      <c r="S558" s="91"/>
      <c r="T558" s="91"/>
      <c r="U558" s="91"/>
      <c r="V558" s="91"/>
      <c r="W558" s="91"/>
      <c r="X558" s="91"/>
      <c r="Y558" s="91"/>
    </row>
    <row r="559" spans="1:25">
      <c r="A559" s="91"/>
      <c r="B559" s="94"/>
      <c r="C559" s="94"/>
      <c r="D559" s="91"/>
      <c r="E559" s="91"/>
      <c r="F559" s="91"/>
      <c r="G559" s="91"/>
      <c r="H559" s="91"/>
      <c r="I559" s="91"/>
      <c r="J559" s="91"/>
      <c r="K559" s="91"/>
      <c r="L559" s="91"/>
      <c r="M559" s="91"/>
      <c r="N559" s="91"/>
      <c r="O559" s="91"/>
      <c r="P559" s="91"/>
      <c r="Q559" s="91"/>
      <c r="R559" s="91"/>
      <c r="S559" s="91"/>
      <c r="T559" s="91"/>
      <c r="U559" s="91"/>
      <c r="V559" s="91"/>
      <c r="W559" s="91"/>
      <c r="X559" s="91"/>
      <c r="Y559" s="91"/>
    </row>
    <row r="560" spans="1:25">
      <c r="A560" s="91"/>
      <c r="B560" s="94"/>
      <c r="C560" s="94"/>
      <c r="D560" s="91"/>
      <c r="E560" s="91"/>
      <c r="F560" s="91"/>
      <c r="G560" s="91"/>
      <c r="H560" s="91"/>
      <c r="I560" s="91"/>
      <c r="J560" s="91"/>
      <c r="K560" s="91"/>
      <c r="L560" s="91"/>
      <c r="M560" s="91"/>
      <c r="N560" s="91"/>
      <c r="O560" s="91"/>
      <c r="P560" s="91"/>
      <c r="Q560" s="91"/>
      <c r="R560" s="91"/>
      <c r="S560" s="91"/>
      <c r="T560" s="91"/>
      <c r="U560" s="91"/>
      <c r="V560" s="91"/>
      <c r="W560" s="91"/>
      <c r="X560" s="91"/>
      <c r="Y560" s="91"/>
    </row>
    <row r="561" spans="1:25">
      <c r="A561" s="91"/>
      <c r="B561" s="94"/>
      <c r="C561" s="94"/>
      <c r="D561" s="91"/>
      <c r="E561" s="91"/>
      <c r="F561" s="91"/>
      <c r="G561" s="91"/>
      <c r="H561" s="91"/>
      <c r="I561" s="91"/>
      <c r="J561" s="91"/>
      <c r="K561" s="91"/>
      <c r="L561" s="91"/>
      <c r="M561" s="91"/>
      <c r="N561" s="91"/>
      <c r="O561" s="91"/>
      <c r="P561" s="91"/>
      <c r="Q561" s="91"/>
      <c r="R561" s="91"/>
      <c r="S561" s="91"/>
      <c r="T561" s="91"/>
      <c r="U561" s="91"/>
      <c r="V561" s="91"/>
      <c r="W561" s="91"/>
      <c r="X561" s="91"/>
      <c r="Y561" s="91"/>
    </row>
    <row r="562" spans="1:25">
      <c r="A562" s="91"/>
      <c r="B562" s="94"/>
      <c r="C562" s="94"/>
      <c r="D562" s="91"/>
      <c r="E562" s="91"/>
      <c r="F562" s="91"/>
      <c r="G562" s="91"/>
      <c r="H562" s="91"/>
      <c r="I562" s="91"/>
      <c r="J562" s="91"/>
      <c r="K562" s="91"/>
      <c r="L562" s="91"/>
      <c r="M562" s="91"/>
      <c r="N562" s="91"/>
      <c r="O562" s="91"/>
      <c r="P562" s="91"/>
      <c r="Q562" s="91"/>
      <c r="R562" s="91"/>
      <c r="S562" s="91"/>
      <c r="T562" s="91"/>
      <c r="U562" s="91"/>
      <c r="V562" s="91"/>
      <c r="W562" s="91"/>
      <c r="X562" s="91"/>
      <c r="Y562" s="91"/>
    </row>
    <row r="563" spans="1:25">
      <c r="A563" s="91"/>
      <c r="B563" s="94"/>
      <c r="C563" s="94"/>
      <c r="D563" s="91"/>
      <c r="E563" s="91"/>
      <c r="F563" s="91"/>
      <c r="G563" s="91"/>
      <c r="H563" s="91"/>
      <c r="I563" s="91"/>
      <c r="J563" s="91"/>
      <c r="K563" s="91"/>
      <c r="L563" s="91"/>
      <c r="M563" s="91"/>
      <c r="N563" s="91"/>
      <c r="O563" s="91"/>
      <c r="P563" s="91"/>
      <c r="Q563" s="91"/>
      <c r="R563" s="91"/>
      <c r="S563" s="91"/>
      <c r="T563" s="91"/>
      <c r="U563" s="91"/>
      <c r="V563" s="91"/>
      <c r="W563" s="91"/>
      <c r="X563" s="91"/>
      <c r="Y563" s="91"/>
    </row>
    <row r="564" spans="1:25">
      <c r="A564" s="91"/>
      <c r="B564" s="94"/>
      <c r="C564" s="94"/>
      <c r="D564" s="91"/>
      <c r="E564" s="91"/>
      <c r="F564" s="91"/>
      <c r="G564" s="91"/>
      <c r="H564" s="91"/>
      <c r="I564" s="91"/>
      <c r="J564" s="91"/>
      <c r="K564" s="91"/>
      <c r="L564" s="91"/>
      <c r="M564" s="91"/>
      <c r="N564" s="91"/>
      <c r="O564" s="91"/>
      <c r="P564" s="91"/>
      <c r="Q564" s="91"/>
      <c r="R564" s="91"/>
      <c r="S564" s="91"/>
      <c r="T564" s="91"/>
      <c r="U564" s="91"/>
      <c r="V564" s="91"/>
      <c r="W564" s="91"/>
      <c r="X564" s="91"/>
      <c r="Y564" s="91"/>
    </row>
    <row r="565" spans="1:25">
      <c r="A565" s="91"/>
      <c r="B565" s="94"/>
      <c r="C565" s="94"/>
      <c r="D565" s="91"/>
      <c r="E565" s="91"/>
      <c r="F565" s="91"/>
      <c r="G565" s="91"/>
      <c r="H565" s="91"/>
      <c r="I565" s="91"/>
      <c r="J565" s="91"/>
      <c r="K565" s="91"/>
      <c r="L565" s="91"/>
      <c r="M565" s="91"/>
      <c r="N565" s="91"/>
      <c r="O565" s="91"/>
      <c r="P565" s="91"/>
      <c r="Q565" s="91"/>
      <c r="R565" s="91"/>
      <c r="S565" s="91"/>
      <c r="T565" s="91"/>
      <c r="U565" s="91"/>
      <c r="V565" s="91"/>
      <c r="W565" s="91"/>
      <c r="X565" s="91"/>
      <c r="Y565" s="91"/>
    </row>
    <row r="566" spans="1:25">
      <c r="A566" s="91"/>
      <c r="B566" s="94"/>
      <c r="C566" s="94"/>
      <c r="D566" s="91"/>
      <c r="E566" s="91"/>
      <c r="F566" s="91"/>
      <c r="G566" s="91"/>
      <c r="H566" s="91"/>
      <c r="I566" s="91"/>
      <c r="J566" s="91"/>
      <c r="K566" s="91"/>
      <c r="L566" s="91"/>
      <c r="M566" s="91"/>
      <c r="N566" s="91"/>
      <c r="O566" s="91"/>
      <c r="P566" s="91"/>
      <c r="Q566" s="91"/>
      <c r="R566" s="91"/>
      <c r="S566" s="91"/>
      <c r="T566" s="91"/>
      <c r="U566" s="91"/>
      <c r="V566" s="91"/>
      <c r="W566" s="91"/>
      <c r="X566" s="91"/>
      <c r="Y566" s="91"/>
    </row>
    <row r="567" spans="1:25">
      <c r="A567" s="91"/>
      <c r="B567" s="94"/>
      <c r="C567" s="94"/>
      <c r="D567" s="91"/>
      <c r="E567" s="91"/>
      <c r="F567" s="91"/>
      <c r="G567" s="91"/>
      <c r="H567" s="91"/>
      <c r="I567" s="91"/>
      <c r="J567" s="91"/>
      <c r="K567" s="91"/>
      <c r="L567" s="91"/>
      <c r="M567" s="91"/>
      <c r="N567" s="91"/>
      <c r="O567" s="91"/>
      <c r="P567" s="91"/>
      <c r="Q567" s="91"/>
      <c r="R567" s="91"/>
      <c r="S567" s="91"/>
      <c r="T567" s="91"/>
      <c r="U567" s="91"/>
      <c r="V567" s="91"/>
      <c r="W567" s="91"/>
      <c r="X567" s="91"/>
      <c r="Y567" s="91"/>
    </row>
    <row r="568" spans="1:25">
      <c r="A568" s="91"/>
      <c r="B568" s="94"/>
      <c r="C568" s="94"/>
      <c r="D568" s="91"/>
      <c r="E568" s="91"/>
      <c r="F568" s="91"/>
      <c r="G568" s="91"/>
      <c r="H568" s="91"/>
      <c r="I568" s="91"/>
      <c r="J568" s="91"/>
      <c r="K568" s="91"/>
      <c r="L568" s="91"/>
      <c r="M568" s="91"/>
      <c r="N568" s="91"/>
      <c r="O568" s="91"/>
      <c r="P568" s="91"/>
      <c r="Q568" s="91"/>
      <c r="R568" s="91"/>
      <c r="S568" s="91"/>
      <c r="T568" s="91"/>
      <c r="U568" s="91"/>
      <c r="V568" s="91"/>
      <c r="W568" s="91"/>
      <c r="X568" s="91"/>
      <c r="Y568" s="91"/>
    </row>
    <row r="569" spans="1:25">
      <c r="A569" s="91"/>
      <c r="B569" s="94"/>
      <c r="C569" s="94"/>
      <c r="D569" s="91"/>
      <c r="E569" s="91"/>
      <c r="F569" s="91"/>
      <c r="G569" s="91"/>
      <c r="H569" s="91"/>
      <c r="I569" s="91"/>
      <c r="J569" s="91"/>
      <c r="K569" s="91"/>
      <c r="L569" s="91"/>
      <c r="M569" s="91"/>
      <c r="N569" s="91"/>
      <c r="O569" s="91"/>
      <c r="P569" s="91"/>
      <c r="Q569" s="91"/>
      <c r="R569" s="91"/>
      <c r="S569" s="91"/>
      <c r="T569" s="91"/>
      <c r="U569" s="91"/>
      <c r="V569" s="91"/>
      <c r="W569" s="91"/>
      <c r="X569" s="91"/>
      <c r="Y569" s="91"/>
    </row>
    <row r="570" spans="1:25">
      <c r="A570" s="91"/>
      <c r="B570" s="94"/>
      <c r="C570" s="94"/>
      <c r="D570" s="91"/>
      <c r="E570" s="91"/>
      <c r="F570" s="91"/>
      <c r="G570" s="91"/>
      <c r="H570" s="91"/>
      <c r="I570" s="91"/>
      <c r="J570" s="91"/>
      <c r="K570" s="91"/>
      <c r="L570" s="91"/>
      <c r="M570" s="91"/>
      <c r="N570" s="91"/>
      <c r="O570" s="91"/>
      <c r="P570" s="91"/>
      <c r="Q570" s="91"/>
      <c r="R570" s="91"/>
      <c r="S570" s="91"/>
      <c r="T570" s="91"/>
      <c r="U570" s="91"/>
      <c r="V570" s="91"/>
      <c r="W570" s="91"/>
      <c r="X570" s="91"/>
      <c r="Y570" s="91"/>
    </row>
    <row r="571" spans="1:25">
      <c r="A571" s="91"/>
      <c r="B571" s="94"/>
      <c r="C571" s="94"/>
      <c r="D571" s="91"/>
      <c r="E571" s="91"/>
      <c r="F571" s="91"/>
      <c r="G571" s="91"/>
      <c r="H571" s="91"/>
      <c r="I571" s="91"/>
      <c r="J571" s="91"/>
      <c r="K571" s="91"/>
      <c r="L571" s="91"/>
      <c r="M571" s="91"/>
      <c r="N571" s="91"/>
      <c r="O571" s="91"/>
      <c r="P571" s="91"/>
      <c r="Q571" s="91"/>
      <c r="R571" s="91"/>
      <c r="S571" s="91"/>
      <c r="T571" s="91"/>
      <c r="U571" s="91"/>
      <c r="V571" s="91"/>
      <c r="W571" s="91"/>
      <c r="X571" s="91"/>
      <c r="Y571" s="91"/>
    </row>
    <row r="572" spans="1:25">
      <c r="A572" s="91"/>
      <c r="B572" s="94"/>
      <c r="C572" s="94"/>
      <c r="D572" s="91"/>
      <c r="E572" s="91"/>
      <c r="F572" s="91"/>
      <c r="G572" s="91"/>
      <c r="H572" s="91"/>
      <c r="I572" s="91"/>
      <c r="J572" s="91"/>
      <c r="K572" s="91"/>
      <c r="L572" s="91"/>
      <c r="M572" s="91"/>
      <c r="N572" s="91"/>
      <c r="O572" s="91"/>
      <c r="P572" s="91"/>
      <c r="Q572" s="91"/>
      <c r="R572" s="91"/>
      <c r="S572" s="91"/>
      <c r="T572" s="91"/>
      <c r="U572" s="91"/>
      <c r="V572" s="91"/>
      <c r="W572" s="91"/>
      <c r="X572" s="91"/>
      <c r="Y572" s="91"/>
    </row>
    <row r="573" spans="1:25">
      <c r="A573" s="91"/>
      <c r="B573" s="94"/>
      <c r="C573" s="94"/>
      <c r="D573" s="91"/>
      <c r="E573" s="91"/>
      <c r="F573" s="91"/>
      <c r="G573" s="91"/>
      <c r="H573" s="91"/>
      <c r="I573" s="91"/>
      <c r="J573" s="91"/>
      <c r="K573" s="91"/>
      <c r="L573" s="91"/>
      <c r="M573" s="91"/>
      <c r="N573" s="91"/>
      <c r="O573" s="91"/>
      <c r="P573" s="91"/>
      <c r="Q573" s="91"/>
      <c r="R573" s="91"/>
      <c r="S573" s="91"/>
      <c r="T573" s="91"/>
      <c r="U573" s="91"/>
      <c r="V573" s="91"/>
      <c r="W573" s="91"/>
      <c r="X573" s="91"/>
      <c r="Y573" s="91"/>
    </row>
    <row r="574" spans="1:25">
      <c r="A574" s="91"/>
      <c r="B574" s="94"/>
      <c r="C574" s="94"/>
      <c r="D574" s="91"/>
      <c r="E574" s="91"/>
      <c r="F574" s="91"/>
      <c r="G574" s="91"/>
      <c r="H574" s="91"/>
      <c r="I574" s="91"/>
      <c r="J574" s="91"/>
      <c r="K574" s="91"/>
      <c r="L574" s="91"/>
      <c r="M574" s="91"/>
      <c r="N574" s="91"/>
      <c r="O574" s="91"/>
      <c r="P574" s="91"/>
      <c r="Q574" s="91"/>
      <c r="R574" s="91"/>
      <c r="S574" s="91"/>
      <c r="T574" s="91"/>
      <c r="U574" s="91"/>
      <c r="V574" s="91"/>
      <c r="W574" s="91"/>
      <c r="X574" s="91"/>
      <c r="Y574" s="91"/>
    </row>
    <row r="575" spans="1:25">
      <c r="A575" s="91"/>
      <c r="B575" s="94"/>
      <c r="C575" s="94"/>
      <c r="D575" s="91"/>
      <c r="E575" s="91"/>
      <c r="F575" s="91"/>
      <c r="G575" s="91"/>
      <c r="H575" s="91"/>
      <c r="I575" s="91"/>
      <c r="J575" s="91"/>
      <c r="K575" s="91"/>
      <c r="L575" s="91"/>
      <c r="M575" s="91"/>
      <c r="N575" s="91"/>
      <c r="O575" s="91"/>
      <c r="P575" s="91"/>
      <c r="Q575" s="91"/>
      <c r="R575" s="91"/>
      <c r="S575" s="91"/>
      <c r="T575" s="91"/>
      <c r="U575" s="91"/>
      <c r="V575" s="91"/>
      <c r="W575" s="91"/>
      <c r="X575" s="91"/>
      <c r="Y575" s="91"/>
    </row>
    <row r="576" spans="1:25">
      <c r="A576" s="91"/>
      <c r="B576" s="94"/>
      <c r="C576" s="94"/>
      <c r="D576" s="91"/>
      <c r="E576" s="91"/>
      <c r="F576" s="91"/>
      <c r="G576" s="91"/>
      <c r="H576" s="91"/>
      <c r="I576" s="91"/>
      <c r="J576" s="91"/>
      <c r="K576" s="91"/>
      <c r="L576" s="91"/>
      <c r="M576" s="91"/>
      <c r="N576" s="91"/>
      <c r="O576" s="91"/>
      <c r="P576" s="91"/>
      <c r="Q576" s="91"/>
      <c r="R576" s="91"/>
      <c r="S576" s="91"/>
      <c r="T576" s="91"/>
      <c r="U576" s="91"/>
      <c r="V576" s="91"/>
      <c r="W576" s="91"/>
      <c r="X576" s="91"/>
      <c r="Y576" s="91"/>
    </row>
    <row r="577" spans="1:25">
      <c r="A577" s="91"/>
      <c r="B577" s="94"/>
      <c r="C577" s="94"/>
      <c r="D577" s="91"/>
      <c r="E577" s="91"/>
      <c r="F577" s="91"/>
      <c r="G577" s="91"/>
      <c r="H577" s="91"/>
      <c r="I577" s="91"/>
      <c r="J577" s="91"/>
      <c r="K577" s="91"/>
      <c r="L577" s="91"/>
      <c r="M577" s="91"/>
      <c r="N577" s="91"/>
      <c r="O577" s="91"/>
      <c r="P577" s="91"/>
      <c r="Q577" s="91"/>
      <c r="R577" s="91"/>
      <c r="S577" s="91"/>
      <c r="T577" s="91"/>
      <c r="U577" s="91"/>
      <c r="V577" s="91"/>
      <c r="W577" s="91"/>
      <c r="X577" s="91"/>
      <c r="Y577" s="91"/>
    </row>
    <row r="578" spans="1:25">
      <c r="A578" s="91"/>
      <c r="B578" s="94"/>
      <c r="C578" s="94"/>
      <c r="D578" s="91"/>
      <c r="E578" s="91"/>
      <c r="F578" s="91"/>
      <c r="G578" s="91"/>
      <c r="H578" s="91"/>
      <c r="I578" s="91"/>
      <c r="J578" s="91"/>
      <c r="K578" s="91"/>
      <c r="L578" s="91"/>
      <c r="M578" s="91"/>
      <c r="N578" s="91"/>
      <c r="O578" s="91"/>
      <c r="P578" s="91"/>
      <c r="Q578" s="91"/>
      <c r="R578" s="91"/>
      <c r="S578" s="91"/>
      <c r="T578" s="91"/>
      <c r="U578" s="91"/>
      <c r="V578" s="91"/>
      <c r="W578" s="91"/>
      <c r="X578" s="91"/>
      <c r="Y578" s="91"/>
    </row>
    <row r="579" spans="1:25">
      <c r="A579" s="91"/>
      <c r="B579" s="94"/>
      <c r="C579" s="94"/>
      <c r="D579" s="91"/>
      <c r="E579" s="91"/>
      <c r="F579" s="91"/>
      <c r="G579" s="91"/>
      <c r="H579" s="91"/>
      <c r="I579" s="91"/>
      <c r="J579" s="91"/>
      <c r="K579" s="91"/>
      <c r="L579" s="91"/>
      <c r="M579" s="91"/>
      <c r="N579" s="91"/>
      <c r="O579" s="91"/>
      <c r="P579" s="91"/>
      <c r="Q579" s="91"/>
      <c r="R579" s="91"/>
      <c r="S579" s="91"/>
      <c r="T579" s="91"/>
      <c r="U579" s="91"/>
      <c r="V579" s="91"/>
      <c r="W579" s="91"/>
      <c r="X579" s="91"/>
      <c r="Y579" s="91"/>
    </row>
    <row r="580" spans="1:25">
      <c r="A580" s="91"/>
      <c r="B580" s="94"/>
      <c r="C580" s="94"/>
      <c r="D580" s="91"/>
      <c r="E580" s="91"/>
      <c r="F580" s="91"/>
      <c r="G580" s="91"/>
      <c r="H580" s="91"/>
      <c r="I580" s="91"/>
      <c r="J580" s="91"/>
      <c r="K580" s="91"/>
      <c r="L580" s="91"/>
      <c r="M580" s="91"/>
      <c r="N580" s="91"/>
      <c r="O580" s="91"/>
      <c r="P580" s="91"/>
      <c r="Q580" s="91"/>
      <c r="R580" s="91"/>
      <c r="S580" s="91"/>
      <c r="T580" s="91"/>
      <c r="U580" s="91"/>
      <c r="V580" s="91"/>
      <c r="W580" s="91"/>
      <c r="X580" s="91"/>
      <c r="Y580" s="91"/>
    </row>
    <row r="581" spans="1:25">
      <c r="A581" s="91"/>
      <c r="B581" s="94"/>
      <c r="C581" s="94"/>
      <c r="D581" s="91"/>
      <c r="E581" s="91"/>
      <c r="F581" s="91"/>
      <c r="G581" s="91"/>
      <c r="H581" s="91"/>
      <c r="I581" s="91"/>
      <c r="J581" s="91"/>
      <c r="K581" s="91"/>
      <c r="L581" s="91"/>
      <c r="M581" s="91"/>
      <c r="N581" s="91"/>
      <c r="O581" s="91"/>
      <c r="P581" s="91"/>
      <c r="Q581" s="91"/>
      <c r="R581" s="91"/>
      <c r="S581" s="91"/>
      <c r="T581" s="91"/>
      <c r="U581" s="91"/>
      <c r="V581" s="91"/>
      <c r="W581" s="91"/>
      <c r="X581" s="91"/>
      <c r="Y581" s="91"/>
    </row>
    <row r="582" spans="1:25">
      <c r="A582" s="91"/>
      <c r="B582" s="94"/>
      <c r="C582" s="94"/>
      <c r="D582" s="91"/>
      <c r="E582" s="91"/>
      <c r="F582" s="91"/>
      <c r="G582" s="91"/>
      <c r="H582" s="91"/>
      <c r="I582" s="91"/>
      <c r="J582" s="91"/>
      <c r="K582" s="91"/>
      <c r="L582" s="91"/>
      <c r="M582" s="91"/>
      <c r="N582" s="91"/>
      <c r="O582" s="91"/>
      <c r="P582" s="91"/>
      <c r="Q582" s="91"/>
      <c r="R582" s="91"/>
      <c r="S582" s="91"/>
      <c r="T582" s="91"/>
      <c r="U582" s="91"/>
      <c r="V582" s="91"/>
      <c r="W582" s="91"/>
      <c r="X582" s="91"/>
      <c r="Y582" s="91"/>
    </row>
    <row r="583" spans="1:25">
      <c r="A583" s="91"/>
      <c r="B583" s="94"/>
      <c r="C583" s="94"/>
      <c r="D583" s="91"/>
      <c r="E583" s="91"/>
      <c r="F583" s="91"/>
      <c r="G583" s="91"/>
      <c r="H583" s="91"/>
      <c r="I583" s="91"/>
      <c r="J583" s="91"/>
      <c r="K583" s="91"/>
      <c r="L583" s="91"/>
      <c r="M583" s="91"/>
      <c r="N583" s="91"/>
      <c r="O583" s="91"/>
      <c r="P583" s="91"/>
      <c r="Q583" s="91"/>
      <c r="R583" s="91"/>
      <c r="S583" s="91"/>
      <c r="T583" s="91"/>
      <c r="U583" s="91"/>
      <c r="V583" s="91"/>
      <c r="W583" s="91"/>
      <c r="X583" s="91"/>
      <c r="Y583" s="91"/>
    </row>
    <row r="584" spans="1:25">
      <c r="A584" s="91"/>
      <c r="B584" s="94"/>
      <c r="C584" s="94"/>
      <c r="D584" s="91"/>
      <c r="E584" s="91"/>
      <c r="F584" s="91"/>
      <c r="G584" s="91"/>
      <c r="H584" s="91"/>
      <c r="I584" s="91"/>
      <c r="J584" s="91"/>
      <c r="K584" s="91"/>
      <c r="L584" s="91"/>
      <c r="M584" s="91"/>
      <c r="N584" s="91"/>
      <c r="O584" s="91"/>
      <c r="P584" s="91"/>
      <c r="Q584" s="91"/>
      <c r="R584" s="91"/>
      <c r="S584" s="91"/>
      <c r="T584" s="91"/>
      <c r="U584" s="91"/>
      <c r="V584" s="91"/>
      <c r="W584" s="91"/>
      <c r="X584" s="91"/>
      <c r="Y584" s="91"/>
    </row>
    <row r="585" spans="1:25">
      <c r="A585" s="91"/>
      <c r="B585" s="94"/>
      <c r="C585" s="94"/>
      <c r="D585" s="91"/>
      <c r="E585" s="91"/>
      <c r="F585" s="91"/>
      <c r="G585" s="91"/>
      <c r="H585" s="91"/>
      <c r="I585" s="91"/>
      <c r="J585" s="91"/>
      <c r="K585" s="91"/>
      <c r="L585" s="91"/>
      <c r="M585" s="91"/>
      <c r="N585" s="91"/>
      <c r="O585" s="91"/>
      <c r="P585" s="91"/>
      <c r="Q585" s="91"/>
      <c r="R585" s="91"/>
      <c r="S585" s="91"/>
      <c r="T585" s="91"/>
      <c r="U585" s="91"/>
      <c r="V585" s="91"/>
      <c r="W585" s="91"/>
      <c r="X585" s="91"/>
      <c r="Y585" s="91"/>
    </row>
    <row r="586" spans="1:25">
      <c r="A586" s="91"/>
      <c r="B586" s="94"/>
      <c r="C586" s="94"/>
      <c r="D586" s="91"/>
      <c r="E586" s="91"/>
      <c r="F586" s="91"/>
      <c r="G586" s="91"/>
      <c r="H586" s="91"/>
      <c r="I586" s="91"/>
      <c r="J586" s="91"/>
      <c r="K586" s="91"/>
      <c r="L586" s="91"/>
      <c r="M586" s="91"/>
      <c r="N586" s="91"/>
      <c r="O586" s="91"/>
      <c r="P586" s="91"/>
      <c r="Q586" s="91"/>
      <c r="R586" s="91"/>
      <c r="S586" s="91"/>
      <c r="T586" s="91"/>
      <c r="U586" s="91"/>
      <c r="V586" s="91"/>
      <c r="W586" s="91"/>
      <c r="X586" s="91"/>
      <c r="Y586" s="91"/>
    </row>
    <row r="587" spans="1:25">
      <c r="A587" s="91"/>
      <c r="B587" s="94"/>
      <c r="C587" s="94"/>
      <c r="D587" s="91"/>
      <c r="E587" s="91"/>
      <c r="F587" s="91"/>
      <c r="G587" s="91"/>
      <c r="H587" s="91"/>
      <c r="I587" s="91"/>
      <c r="J587" s="91"/>
      <c r="K587" s="91"/>
      <c r="L587" s="91"/>
      <c r="M587" s="91"/>
      <c r="N587" s="91"/>
      <c r="O587" s="91"/>
      <c r="P587" s="91"/>
      <c r="Q587" s="91"/>
      <c r="R587" s="91"/>
      <c r="S587" s="91"/>
      <c r="T587" s="91"/>
      <c r="U587" s="91"/>
      <c r="V587" s="91"/>
      <c r="W587" s="91"/>
      <c r="X587" s="91"/>
      <c r="Y587" s="91"/>
    </row>
    <row r="588" spans="1:25">
      <c r="A588" s="91"/>
      <c r="B588" s="94"/>
      <c r="C588" s="94"/>
      <c r="D588" s="91"/>
      <c r="E588" s="91"/>
      <c r="F588" s="91"/>
      <c r="G588" s="91"/>
      <c r="H588" s="91"/>
      <c r="I588" s="91"/>
      <c r="J588" s="91"/>
      <c r="K588" s="91"/>
      <c r="L588" s="91"/>
      <c r="M588" s="91"/>
      <c r="N588" s="91"/>
      <c r="O588" s="91"/>
      <c r="P588" s="91"/>
      <c r="Q588" s="91"/>
      <c r="R588" s="91"/>
      <c r="S588" s="91"/>
      <c r="T588" s="91"/>
      <c r="U588" s="91"/>
      <c r="V588" s="91"/>
      <c r="W588" s="91"/>
      <c r="X588" s="91"/>
      <c r="Y588" s="91"/>
    </row>
    <row r="589" spans="1:25">
      <c r="A589" s="91"/>
      <c r="B589" s="94"/>
      <c r="C589" s="94"/>
      <c r="D589" s="91"/>
      <c r="E589" s="91"/>
      <c r="F589" s="91"/>
      <c r="G589" s="91"/>
      <c r="H589" s="91"/>
      <c r="I589" s="91"/>
      <c r="J589" s="91"/>
      <c r="K589" s="91"/>
      <c r="L589" s="91"/>
      <c r="M589" s="91"/>
      <c r="N589" s="91"/>
      <c r="O589" s="91"/>
      <c r="P589" s="91"/>
      <c r="Q589" s="91"/>
      <c r="R589" s="91"/>
      <c r="S589" s="91"/>
      <c r="T589" s="91"/>
      <c r="U589" s="91"/>
      <c r="V589" s="91"/>
      <c r="W589" s="91"/>
      <c r="X589" s="91"/>
      <c r="Y589" s="91"/>
    </row>
    <row r="590" spans="1:25">
      <c r="A590" s="91"/>
      <c r="B590" s="94"/>
      <c r="C590" s="94"/>
      <c r="D590" s="91"/>
      <c r="E590" s="91"/>
      <c r="F590" s="91"/>
      <c r="G590" s="91"/>
      <c r="H590" s="91"/>
      <c r="I590" s="91"/>
      <c r="J590" s="91"/>
      <c r="K590" s="91"/>
      <c r="L590" s="91"/>
      <c r="M590" s="91"/>
      <c r="N590" s="91"/>
      <c r="O590" s="91"/>
      <c r="P590" s="91"/>
      <c r="Q590" s="91"/>
      <c r="R590" s="91"/>
      <c r="S590" s="91"/>
      <c r="T590" s="91"/>
      <c r="U590" s="91"/>
      <c r="V590" s="91"/>
      <c r="W590" s="91"/>
      <c r="X590" s="91"/>
      <c r="Y590" s="91"/>
    </row>
    <row r="591" spans="1:25">
      <c r="A591" s="91"/>
      <c r="B591" s="94"/>
      <c r="C591" s="94"/>
      <c r="D591" s="91"/>
      <c r="E591" s="91"/>
      <c r="F591" s="91"/>
      <c r="G591" s="91"/>
      <c r="H591" s="91"/>
      <c r="I591" s="91"/>
      <c r="J591" s="91"/>
      <c r="K591" s="91"/>
      <c r="L591" s="91"/>
      <c r="M591" s="91"/>
      <c r="N591" s="91"/>
      <c r="O591" s="91"/>
      <c r="P591" s="91"/>
      <c r="Q591" s="91"/>
      <c r="R591" s="91"/>
      <c r="S591" s="91"/>
      <c r="T591" s="91"/>
      <c r="U591" s="91"/>
      <c r="V591" s="91"/>
      <c r="W591" s="91"/>
      <c r="X591" s="91"/>
      <c r="Y591" s="91"/>
    </row>
    <row r="592" spans="1:25">
      <c r="A592" s="91"/>
      <c r="B592" s="94"/>
      <c r="C592" s="94"/>
      <c r="D592" s="91"/>
      <c r="E592" s="91"/>
      <c r="F592" s="91"/>
      <c r="G592" s="91"/>
      <c r="H592" s="91"/>
      <c r="I592" s="91"/>
      <c r="J592" s="91"/>
      <c r="K592" s="91"/>
      <c r="L592" s="91"/>
      <c r="M592" s="91"/>
      <c r="N592" s="91"/>
      <c r="O592" s="91"/>
      <c r="P592" s="91"/>
      <c r="Q592" s="91"/>
      <c r="R592" s="91"/>
      <c r="S592" s="91"/>
      <c r="T592" s="91"/>
      <c r="U592" s="91"/>
      <c r="V592" s="91"/>
      <c r="W592" s="91"/>
      <c r="X592" s="91"/>
      <c r="Y592" s="91"/>
    </row>
    <row r="593" spans="1:25">
      <c r="A593" s="91"/>
      <c r="B593" s="94"/>
      <c r="C593" s="94"/>
      <c r="D593" s="91"/>
      <c r="E593" s="91"/>
      <c r="F593" s="91"/>
      <c r="G593" s="91"/>
      <c r="H593" s="91"/>
      <c r="I593" s="91"/>
      <c r="J593" s="91"/>
      <c r="K593" s="91"/>
      <c r="L593" s="91"/>
      <c r="M593" s="91"/>
      <c r="N593" s="91"/>
      <c r="O593" s="91"/>
      <c r="P593" s="91"/>
      <c r="Q593" s="91"/>
      <c r="R593" s="91"/>
      <c r="S593" s="91"/>
      <c r="T593" s="91"/>
      <c r="U593" s="91"/>
      <c r="V593" s="91"/>
      <c r="W593" s="91"/>
      <c r="X593" s="91"/>
      <c r="Y593" s="91"/>
    </row>
    <row r="594" spans="1:25">
      <c r="A594" s="91"/>
      <c r="B594" s="94"/>
      <c r="C594" s="94"/>
      <c r="D594" s="91"/>
      <c r="E594" s="91"/>
      <c r="F594" s="91"/>
      <c r="G594" s="91"/>
      <c r="H594" s="91"/>
      <c r="I594" s="91"/>
      <c r="J594" s="91"/>
      <c r="K594" s="91"/>
      <c r="L594" s="91"/>
      <c r="M594" s="91"/>
      <c r="N594" s="91"/>
      <c r="O594" s="91"/>
      <c r="P594" s="91"/>
      <c r="Q594" s="91"/>
      <c r="R594" s="91"/>
      <c r="S594" s="91"/>
      <c r="T594" s="91"/>
      <c r="U594" s="91"/>
      <c r="V594" s="91"/>
      <c r="W594" s="91"/>
      <c r="X594" s="91"/>
      <c r="Y594" s="91"/>
    </row>
    <row r="595" spans="1:25">
      <c r="A595" s="91"/>
      <c r="B595" s="94"/>
      <c r="C595" s="94"/>
      <c r="D595" s="91"/>
      <c r="E595" s="91"/>
      <c r="F595" s="91"/>
      <c r="G595" s="91"/>
      <c r="H595" s="91"/>
      <c r="I595" s="91"/>
      <c r="J595" s="91"/>
      <c r="K595" s="91"/>
      <c r="L595" s="91"/>
      <c r="M595" s="91"/>
      <c r="N595" s="91"/>
      <c r="O595" s="91"/>
      <c r="P595" s="91"/>
      <c r="Q595" s="91"/>
      <c r="R595" s="91"/>
      <c r="S595" s="91"/>
      <c r="T595" s="91"/>
      <c r="U595" s="91"/>
      <c r="V595" s="91"/>
      <c r="W595" s="91"/>
      <c r="X595" s="91"/>
      <c r="Y595" s="91"/>
    </row>
    <row r="596" spans="1:25">
      <c r="A596" s="91"/>
      <c r="B596" s="94"/>
      <c r="C596" s="94"/>
      <c r="D596" s="91"/>
      <c r="E596" s="91"/>
      <c r="F596" s="91"/>
      <c r="G596" s="91"/>
      <c r="H596" s="91"/>
      <c r="I596" s="91"/>
      <c r="J596" s="91"/>
      <c r="K596" s="91"/>
      <c r="L596" s="91"/>
      <c r="M596" s="91"/>
      <c r="N596" s="91"/>
      <c r="O596" s="91"/>
      <c r="P596" s="91"/>
      <c r="Q596" s="91"/>
      <c r="R596" s="91"/>
      <c r="S596" s="91"/>
      <c r="T596" s="91"/>
      <c r="U596" s="91"/>
      <c r="V596" s="91"/>
      <c r="W596" s="91"/>
      <c r="X596" s="91"/>
      <c r="Y596" s="91"/>
    </row>
    <row r="597" spans="1:25">
      <c r="A597" s="91"/>
      <c r="B597" s="94"/>
      <c r="C597" s="94"/>
      <c r="D597" s="91"/>
      <c r="E597" s="91"/>
      <c r="F597" s="91"/>
      <c r="G597" s="91"/>
      <c r="H597" s="91"/>
      <c r="I597" s="91"/>
      <c r="J597" s="91"/>
      <c r="K597" s="91"/>
      <c r="L597" s="91"/>
      <c r="M597" s="91"/>
      <c r="N597" s="91"/>
      <c r="O597" s="91"/>
      <c r="P597" s="91"/>
      <c r="Q597" s="91"/>
      <c r="R597" s="91"/>
      <c r="S597" s="91"/>
      <c r="T597" s="91"/>
      <c r="U597" s="91"/>
      <c r="V597" s="91"/>
      <c r="W597" s="91"/>
      <c r="X597" s="91"/>
      <c r="Y597" s="91"/>
    </row>
    <row r="598" spans="1:25">
      <c r="A598" s="91"/>
      <c r="B598" s="94"/>
      <c r="C598" s="94"/>
      <c r="D598" s="91"/>
      <c r="E598" s="91"/>
      <c r="F598" s="91"/>
      <c r="G598" s="91"/>
      <c r="H598" s="91"/>
      <c r="I598" s="91"/>
      <c r="J598" s="91"/>
      <c r="K598" s="91"/>
      <c r="L598" s="91"/>
      <c r="M598" s="91"/>
      <c r="N598" s="91"/>
      <c r="O598" s="91"/>
      <c r="P598" s="91"/>
      <c r="Q598" s="91"/>
      <c r="R598" s="91"/>
      <c r="S598" s="91"/>
      <c r="T598" s="91"/>
      <c r="U598" s="91"/>
      <c r="V598" s="91"/>
      <c r="W598" s="91"/>
      <c r="X598" s="91"/>
      <c r="Y598" s="91"/>
    </row>
    <row r="599" spans="1:25">
      <c r="A599" s="91"/>
      <c r="B599" s="94"/>
      <c r="C599" s="94"/>
      <c r="D599" s="91"/>
      <c r="E599" s="91"/>
      <c r="F599" s="91"/>
      <c r="G599" s="91"/>
      <c r="H599" s="91"/>
      <c r="I599" s="91"/>
      <c r="J599" s="91"/>
      <c r="K599" s="91"/>
      <c r="L599" s="91"/>
      <c r="M599" s="91"/>
      <c r="N599" s="91"/>
      <c r="O599" s="91"/>
      <c r="P599" s="91"/>
      <c r="Q599" s="91"/>
      <c r="R599" s="91"/>
      <c r="S599" s="91"/>
      <c r="T599" s="91"/>
      <c r="U599" s="91"/>
      <c r="V599" s="91"/>
      <c r="W599" s="91"/>
      <c r="X599" s="91"/>
      <c r="Y599" s="91"/>
    </row>
    <row r="600" spans="1:25">
      <c r="A600" s="91"/>
      <c r="B600" s="94"/>
      <c r="C600" s="94"/>
      <c r="D600" s="91"/>
      <c r="E600" s="91"/>
      <c r="F600" s="91"/>
      <c r="G600" s="91"/>
      <c r="H600" s="91"/>
      <c r="I600" s="91"/>
      <c r="J600" s="91"/>
      <c r="K600" s="91"/>
      <c r="L600" s="91"/>
      <c r="M600" s="91"/>
      <c r="N600" s="91"/>
      <c r="O600" s="91"/>
      <c r="P600" s="91"/>
      <c r="Q600" s="91"/>
      <c r="R600" s="91"/>
      <c r="S600" s="91"/>
      <c r="T600" s="91"/>
      <c r="U600" s="91"/>
      <c r="V600" s="91"/>
      <c r="W600" s="91"/>
      <c r="X600" s="91"/>
      <c r="Y600" s="91"/>
    </row>
    <row r="601" spans="1:25">
      <c r="A601" s="91"/>
      <c r="B601" s="94"/>
      <c r="C601" s="94"/>
      <c r="D601" s="91"/>
      <c r="E601" s="91"/>
      <c r="F601" s="91"/>
      <c r="G601" s="91"/>
      <c r="H601" s="91"/>
      <c r="I601" s="91"/>
      <c r="J601" s="91"/>
      <c r="K601" s="91"/>
      <c r="L601" s="91"/>
      <c r="M601" s="91"/>
      <c r="N601" s="91"/>
      <c r="O601" s="91"/>
      <c r="P601" s="91"/>
      <c r="Q601" s="91"/>
      <c r="R601" s="91"/>
      <c r="S601" s="91"/>
      <c r="T601" s="91"/>
      <c r="U601" s="91"/>
      <c r="V601" s="91"/>
      <c r="W601" s="91"/>
      <c r="X601" s="91"/>
      <c r="Y601" s="91"/>
    </row>
    <row r="602" spans="1:25">
      <c r="A602" s="91"/>
      <c r="B602" s="94"/>
      <c r="C602" s="94"/>
      <c r="D602" s="91"/>
      <c r="E602" s="91"/>
      <c r="F602" s="91"/>
      <c r="G602" s="91"/>
      <c r="H602" s="91"/>
      <c r="I602" s="91"/>
      <c r="J602" s="91"/>
      <c r="K602" s="91"/>
      <c r="L602" s="91"/>
      <c r="M602" s="91"/>
      <c r="N602" s="91"/>
      <c r="O602" s="91"/>
      <c r="P602" s="91"/>
      <c r="Q602" s="91"/>
      <c r="R602" s="91"/>
      <c r="S602" s="91"/>
      <c r="T602" s="91"/>
      <c r="U602" s="91"/>
      <c r="V602" s="91"/>
      <c r="W602" s="91"/>
      <c r="X602" s="91"/>
      <c r="Y602" s="91"/>
    </row>
    <row r="603" spans="1:25">
      <c r="A603" s="91"/>
      <c r="B603" s="94"/>
      <c r="C603" s="94"/>
      <c r="D603" s="91"/>
      <c r="E603" s="91"/>
      <c r="F603" s="91"/>
      <c r="G603" s="91"/>
      <c r="H603" s="91"/>
      <c r="I603" s="91"/>
      <c r="J603" s="91"/>
      <c r="K603" s="91"/>
      <c r="L603" s="91"/>
      <c r="M603" s="91"/>
      <c r="N603" s="91"/>
      <c r="O603" s="91"/>
      <c r="P603" s="91"/>
      <c r="Q603" s="91"/>
      <c r="R603" s="91"/>
      <c r="S603" s="91"/>
      <c r="T603" s="91"/>
      <c r="U603" s="91"/>
      <c r="V603" s="91"/>
      <c r="W603" s="91"/>
      <c r="X603" s="91"/>
      <c r="Y603" s="91"/>
    </row>
    <row r="604" spans="1:25">
      <c r="A604" s="91"/>
      <c r="B604" s="94"/>
      <c r="C604" s="94"/>
      <c r="D604" s="91"/>
      <c r="E604" s="91"/>
      <c r="F604" s="91"/>
      <c r="G604" s="91"/>
      <c r="H604" s="91"/>
      <c r="I604" s="91"/>
      <c r="J604" s="91"/>
      <c r="K604" s="91"/>
      <c r="L604" s="91"/>
      <c r="M604" s="91"/>
      <c r="N604" s="91"/>
      <c r="O604" s="91"/>
      <c r="P604" s="91"/>
      <c r="Q604" s="91"/>
      <c r="R604" s="91"/>
      <c r="S604" s="91"/>
      <c r="T604" s="91"/>
      <c r="U604" s="91"/>
      <c r="V604" s="91"/>
      <c r="W604" s="91"/>
      <c r="X604" s="91"/>
      <c r="Y604" s="91"/>
    </row>
    <row r="605" spans="1:25">
      <c r="A605" s="91"/>
      <c r="B605" s="94"/>
      <c r="C605" s="94"/>
      <c r="D605" s="91"/>
      <c r="E605" s="91"/>
      <c r="F605" s="91"/>
      <c r="G605" s="91"/>
      <c r="H605" s="91"/>
      <c r="I605" s="91"/>
      <c r="J605" s="91"/>
      <c r="K605" s="91"/>
      <c r="L605" s="91"/>
      <c r="M605" s="91"/>
      <c r="N605" s="91"/>
      <c r="O605" s="91"/>
      <c r="P605" s="91"/>
      <c r="Q605" s="91"/>
      <c r="R605" s="91"/>
      <c r="S605" s="91"/>
      <c r="T605" s="91"/>
      <c r="U605" s="91"/>
      <c r="V605" s="91"/>
      <c r="W605" s="91"/>
      <c r="X605" s="91"/>
      <c r="Y605" s="91"/>
    </row>
    <row r="606" spans="1:25">
      <c r="A606" s="91"/>
      <c r="B606" s="94"/>
      <c r="C606" s="94"/>
      <c r="D606" s="91"/>
      <c r="E606" s="91"/>
      <c r="F606" s="91"/>
      <c r="G606" s="91"/>
      <c r="H606" s="91"/>
      <c r="I606" s="91"/>
      <c r="J606" s="91"/>
      <c r="K606" s="91"/>
      <c r="L606" s="91"/>
      <c r="M606" s="91"/>
      <c r="N606" s="91"/>
      <c r="O606" s="91"/>
      <c r="P606" s="91"/>
      <c r="Q606" s="91"/>
      <c r="R606" s="91"/>
      <c r="S606" s="91"/>
      <c r="T606" s="91"/>
      <c r="U606" s="91"/>
      <c r="V606" s="91"/>
      <c r="W606" s="91"/>
      <c r="X606" s="91"/>
      <c r="Y606" s="91"/>
    </row>
    <row r="607" spans="1:25">
      <c r="A607" s="91"/>
      <c r="B607" s="94"/>
      <c r="C607" s="94"/>
      <c r="D607" s="91"/>
      <c r="E607" s="91"/>
      <c r="F607" s="91"/>
      <c r="G607" s="91"/>
      <c r="H607" s="91"/>
      <c r="I607" s="91"/>
      <c r="J607" s="91"/>
      <c r="K607" s="91"/>
      <c r="L607" s="91"/>
      <c r="M607" s="91"/>
      <c r="N607" s="91"/>
      <c r="O607" s="91"/>
      <c r="P607" s="91"/>
      <c r="Q607" s="91"/>
      <c r="R607" s="91"/>
      <c r="S607" s="91"/>
      <c r="T607" s="91"/>
      <c r="U607" s="91"/>
      <c r="V607" s="91"/>
      <c r="W607" s="91"/>
      <c r="X607" s="91"/>
      <c r="Y607" s="91"/>
    </row>
    <row r="608" spans="1:25">
      <c r="A608" s="91"/>
      <c r="B608" s="94"/>
      <c r="C608" s="94"/>
      <c r="D608" s="91"/>
      <c r="E608" s="91"/>
      <c r="F608" s="91"/>
      <c r="G608" s="91"/>
      <c r="H608" s="91"/>
      <c r="I608" s="91"/>
      <c r="J608" s="91"/>
      <c r="K608" s="91"/>
      <c r="L608" s="91"/>
      <c r="M608" s="91"/>
      <c r="N608" s="91"/>
      <c r="O608" s="91"/>
      <c r="P608" s="91"/>
      <c r="Q608" s="91"/>
      <c r="R608" s="91"/>
      <c r="S608" s="91"/>
      <c r="T608" s="91"/>
      <c r="U608" s="91"/>
      <c r="V608" s="91"/>
      <c r="W608" s="91"/>
      <c r="X608" s="91"/>
      <c r="Y608" s="91"/>
    </row>
    <row r="609" spans="1:25">
      <c r="A609" s="91"/>
      <c r="B609" s="94"/>
      <c r="C609" s="94"/>
      <c r="D609" s="91"/>
      <c r="E609" s="91"/>
      <c r="F609" s="91"/>
      <c r="G609" s="91"/>
      <c r="H609" s="91"/>
      <c r="I609" s="91"/>
      <c r="J609" s="91"/>
      <c r="K609" s="91"/>
      <c r="L609" s="91"/>
      <c r="M609" s="91"/>
      <c r="N609" s="91"/>
      <c r="O609" s="91"/>
      <c r="P609" s="91"/>
      <c r="Q609" s="91"/>
      <c r="R609" s="91"/>
      <c r="S609" s="91"/>
      <c r="T609" s="91"/>
      <c r="U609" s="91"/>
      <c r="V609" s="91"/>
      <c r="W609" s="91"/>
      <c r="X609" s="91"/>
      <c r="Y609" s="91"/>
    </row>
    <row r="610" spans="1:25">
      <c r="A610" s="91"/>
      <c r="B610" s="94"/>
      <c r="C610" s="94"/>
      <c r="D610" s="91"/>
      <c r="E610" s="91"/>
      <c r="F610" s="91"/>
      <c r="G610" s="91"/>
      <c r="H610" s="91"/>
      <c r="I610" s="91"/>
      <c r="J610" s="91"/>
      <c r="K610" s="91"/>
      <c r="L610" s="91"/>
      <c r="M610" s="91"/>
      <c r="N610" s="91"/>
      <c r="O610" s="91"/>
      <c r="P610" s="91"/>
      <c r="Q610" s="91"/>
      <c r="R610" s="91"/>
      <c r="S610" s="91"/>
      <c r="T610" s="91"/>
      <c r="U610" s="91"/>
      <c r="V610" s="91"/>
      <c r="W610" s="91"/>
      <c r="X610" s="91"/>
      <c r="Y610" s="91"/>
    </row>
    <row r="611" spans="1:25">
      <c r="A611" s="91"/>
      <c r="B611" s="94"/>
      <c r="C611" s="94"/>
      <c r="D611" s="91"/>
      <c r="E611" s="91"/>
      <c r="F611" s="91"/>
      <c r="G611" s="91"/>
      <c r="H611" s="91"/>
      <c r="I611" s="91"/>
      <c r="J611" s="91"/>
      <c r="K611" s="91"/>
      <c r="L611" s="91"/>
      <c r="M611" s="91"/>
      <c r="N611" s="91"/>
      <c r="O611" s="91"/>
      <c r="P611" s="91"/>
      <c r="Q611" s="91"/>
      <c r="R611" s="91"/>
      <c r="S611" s="91"/>
      <c r="T611" s="91"/>
      <c r="U611" s="91"/>
      <c r="V611" s="91"/>
      <c r="W611" s="91"/>
      <c r="X611" s="91"/>
      <c r="Y611" s="91"/>
    </row>
    <row r="612" spans="1:25">
      <c r="A612" s="91"/>
      <c r="B612" s="94"/>
      <c r="C612" s="94"/>
      <c r="D612" s="91"/>
      <c r="E612" s="91"/>
      <c r="F612" s="91"/>
      <c r="G612" s="91"/>
      <c r="H612" s="91"/>
      <c r="I612" s="91"/>
      <c r="J612" s="91"/>
      <c r="K612" s="91"/>
      <c r="L612" s="91"/>
      <c r="M612" s="91"/>
      <c r="N612" s="91"/>
      <c r="O612" s="91"/>
      <c r="P612" s="91"/>
      <c r="Q612" s="91"/>
      <c r="R612" s="91"/>
      <c r="S612" s="91"/>
      <c r="T612" s="91"/>
      <c r="U612" s="91"/>
      <c r="V612" s="91"/>
      <c r="W612" s="91"/>
      <c r="X612" s="91"/>
      <c r="Y612" s="91"/>
    </row>
    <row r="613" spans="1:25">
      <c r="A613" s="91"/>
      <c r="B613" s="94"/>
      <c r="C613" s="94"/>
      <c r="D613" s="91"/>
      <c r="E613" s="91"/>
      <c r="F613" s="91"/>
      <c r="G613" s="91"/>
      <c r="H613" s="91"/>
      <c r="I613" s="91"/>
      <c r="J613" s="91"/>
      <c r="K613" s="91"/>
      <c r="L613" s="91"/>
      <c r="M613" s="91"/>
      <c r="N613" s="91"/>
      <c r="O613" s="91"/>
      <c r="P613" s="91"/>
      <c r="Q613" s="91"/>
      <c r="R613" s="91"/>
      <c r="S613" s="91"/>
      <c r="T613" s="91"/>
      <c r="U613" s="91"/>
      <c r="V613" s="91"/>
      <c r="W613" s="91"/>
      <c r="X613" s="91"/>
      <c r="Y613" s="91"/>
    </row>
    <row r="614" spans="1:25">
      <c r="A614" s="91"/>
      <c r="B614" s="94"/>
      <c r="C614" s="94"/>
      <c r="D614" s="91"/>
      <c r="E614" s="91"/>
      <c r="F614" s="91"/>
      <c r="G614" s="91"/>
      <c r="H614" s="91"/>
      <c r="I614" s="91"/>
      <c r="J614" s="91"/>
      <c r="K614" s="91"/>
      <c r="L614" s="91"/>
      <c r="M614" s="91"/>
      <c r="N614" s="91"/>
      <c r="O614" s="91"/>
      <c r="P614" s="91"/>
      <c r="Q614" s="91"/>
      <c r="R614" s="91"/>
      <c r="S614" s="91"/>
      <c r="T614" s="91"/>
      <c r="U614" s="91"/>
      <c r="V614" s="91"/>
      <c r="W614" s="91"/>
      <c r="X614" s="91"/>
      <c r="Y614" s="91"/>
    </row>
    <row r="615" spans="1:25">
      <c r="A615" s="91"/>
      <c r="B615" s="94"/>
      <c r="C615" s="94"/>
      <c r="D615" s="91"/>
      <c r="E615" s="91"/>
      <c r="F615" s="91"/>
      <c r="G615" s="91"/>
      <c r="H615" s="91"/>
      <c r="I615" s="91"/>
      <c r="J615" s="91"/>
      <c r="K615" s="91"/>
      <c r="L615" s="91"/>
      <c r="M615" s="91"/>
      <c r="N615" s="91"/>
      <c r="O615" s="91"/>
      <c r="P615" s="91"/>
      <c r="Q615" s="91"/>
      <c r="R615" s="91"/>
      <c r="S615" s="91"/>
      <c r="T615" s="91"/>
      <c r="U615" s="91"/>
      <c r="V615" s="91"/>
      <c r="W615" s="91"/>
      <c r="X615" s="91"/>
      <c r="Y615" s="91"/>
    </row>
    <row r="616" spans="1:25">
      <c r="A616" s="91"/>
      <c r="B616" s="94"/>
      <c r="C616" s="94"/>
      <c r="D616" s="91"/>
      <c r="E616" s="91"/>
      <c r="F616" s="91"/>
      <c r="G616" s="91"/>
      <c r="H616" s="91"/>
      <c r="I616" s="91"/>
      <c r="J616" s="91"/>
      <c r="K616" s="91"/>
      <c r="L616" s="91"/>
      <c r="M616" s="91"/>
      <c r="N616" s="91"/>
      <c r="O616" s="91"/>
      <c r="P616" s="91"/>
      <c r="Q616" s="91"/>
      <c r="R616" s="91"/>
      <c r="S616" s="91"/>
      <c r="T616" s="91"/>
      <c r="U616" s="91"/>
      <c r="V616" s="91"/>
      <c r="W616" s="91"/>
      <c r="X616" s="91"/>
      <c r="Y616" s="91"/>
    </row>
    <row r="617" spans="1:25">
      <c r="A617" s="91"/>
      <c r="B617" s="94"/>
      <c r="C617" s="94"/>
      <c r="D617" s="91"/>
      <c r="E617" s="91"/>
      <c r="F617" s="91"/>
      <c r="G617" s="91"/>
      <c r="H617" s="91"/>
      <c r="I617" s="91"/>
      <c r="J617" s="91"/>
      <c r="K617" s="91"/>
      <c r="L617" s="91"/>
      <c r="M617" s="91"/>
      <c r="N617" s="91"/>
      <c r="O617" s="91"/>
      <c r="P617" s="91"/>
      <c r="Q617" s="91"/>
      <c r="R617" s="91"/>
      <c r="S617" s="91"/>
      <c r="T617" s="91"/>
      <c r="U617" s="91"/>
      <c r="V617" s="91"/>
      <c r="W617" s="91"/>
      <c r="X617" s="91"/>
      <c r="Y617" s="91"/>
    </row>
    <row r="618" spans="1:25">
      <c r="A618" s="91"/>
      <c r="B618" s="94"/>
      <c r="C618" s="94"/>
      <c r="D618" s="91"/>
      <c r="E618" s="91"/>
      <c r="F618" s="91"/>
      <c r="G618" s="91"/>
      <c r="H618" s="91"/>
      <c r="I618" s="91"/>
      <c r="J618" s="91"/>
      <c r="K618" s="91"/>
      <c r="L618" s="91"/>
      <c r="M618" s="91"/>
      <c r="N618" s="91"/>
      <c r="O618" s="91"/>
      <c r="P618" s="91"/>
      <c r="Q618" s="91"/>
      <c r="R618" s="91"/>
      <c r="S618" s="91"/>
      <c r="T618" s="91"/>
      <c r="U618" s="91"/>
      <c r="V618" s="91"/>
      <c r="W618" s="91"/>
      <c r="X618" s="91"/>
      <c r="Y618" s="91"/>
    </row>
    <row r="619" spans="1:25">
      <c r="A619" s="91"/>
      <c r="B619" s="94"/>
      <c r="C619" s="94"/>
      <c r="D619" s="91"/>
      <c r="E619" s="91"/>
      <c r="F619" s="91"/>
      <c r="G619" s="91"/>
      <c r="H619" s="91"/>
      <c r="I619" s="91"/>
      <c r="J619" s="91"/>
      <c r="K619" s="91"/>
      <c r="L619" s="91"/>
      <c r="M619" s="91"/>
      <c r="N619" s="91"/>
      <c r="O619" s="91"/>
      <c r="P619" s="91"/>
      <c r="Q619" s="91"/>
      <c r="R619" s="91"/>
      <c r="S619" s="91"/>
      <c r="T619" s="91"/>
      <c r="U619" s="91"/>
      <c r="V619" s="91"/>
      <c r="W619" s="91"/>
      <c r="X619" s="91"/>
      <c r="Y619" s="91"/>
    </row>
    <row r="620" spans="1:25">
      <c r="A620" s="91"/>
      <c r="B620" s="94"/>
      <c r="C620" s="94"/>
      <c r="D620" s="91"/>
      <c r="E620" s="91"/>
      <c r="F620" s="91"/>
      <c r="G620" s="91"/>
      <c r="H620" s="91"/>
      <c r="I620" s="91"/>
      <c r="J620" s="91"/>
      <c r="K620" s="91"/>
      <c r="L620" s="91"/>
      <c r="M620" s="91"/>
      <c r="N620" s="91"/>
      <c r="O620" s="91"/>
      <c r="P620" s="91"/>
      <c r="Q620" s="91"/>
      <c r="R620" s="91"/>
      <c r="S620" s="91"/>
      <c r="T620" s="91"/>
      <c r="U620" s="91"/>
      <c r="V620" s="91"/>
      <c r="W620" s="91"/>
      <c r="X620" s="91"/>
      <c r="Y620" s="91"/>
    </row>
    <row r="621" spans="1:25">
      <c r="A621" s="91"/>
      <c r="B621" s="94"/>
      <c r="C621" s="94"/>
      <c r="D621" s="91"/>
      <c r="E621" s="91"/>
      <c r="F621" s="91"/>
      <c r="G621" s="91"/>
      <c r="H621" s="91"/>
      <c r="I621" s="91"/>
      <c r="J621" s="91"/>
      <c r="K621" s="91"/>
      <c r="L621" s="91"/>
      <c r="M621" s="91"/>
      <c r="N621" s="91"/>
      <c r="O621" s="91"/>
      <c r="P621" s="91"/>
      <c r="Q621" s="91"/>
      <c r="R621" s="91"/>
      <c r="S621" s="91"/>
      <c r="T621" s="91"/>
      <c r="U621" s="91"/>
      <c r="V621" s="91"/>
      <c r="W621" s="91"/>
      <c r="X621" s="91"/>
      <c r="Y621" s="91"/>
    </row>
    <row r="622" spans="1:25">
      <c r="A622" s="91"/>
      <c r="B622" s="94"/>
      <c r="C622" s="94"/>
      <c r="D622" s="91"/>
      <c r="E622" s="91"/>
      <c r="F622" s="91"/>
      <c r="G622" s="91"/>
      <c r="H622" s="91"/>
      <c r="I622" s="91"/>
      <c r="J622" s="91"/>
      <c r="K622" s="91"/>
      <c r="L622" s="91"/>
      <c r="M622" s="91"/>
      <c r="N622" s="91"/>
      <c r="O622" s="91"/>
      <c r="P622" s="91"/>
      <c r="Q622" s="91"/>
      <c r="R622" s="91"/>
      <c r="S622" s="91"/>
      <c r="T622" s="91"/>
      <c r="U622" s="91"/>
      <c r="V622" s="91"/>
      <c r="W622" s="91"/>
      <c r="X622" s="91"/>
      <c r="Y622" s="91"/>
    </row>
    <row r="623" spans="1:25">
      <c r="A623" s="91"/>
      <c r="B623" s="94"/>
      <c r="C623" s="94"/>
      <c r="D623" s="91"/>
      <c r="E623" s="91"/>
      <c r="F623" s="91"/>
      <c r="G623" s="91"/>
      <c r="H623" s="91"/>
      <c r="I623" s="91"/>
      <c r="J623" s="91"/>
      <c r="K623" s="91"/>
      <c r="L623" s="91"/>
      <c r="M623" s="91"/>
      <c r="N623" s="91"/>
      <c r="O623" s="91"/>
      <c r="P623" s="91"/>
      <c r="Q623" s="91"/>
      <c r="R623" s="91"/>
      <c r="S623" s="91"/>
      <c r="T623" s="91"/>
      <c r="U623" s="91"/>
      <c r="V623" s="91"/>
      <c r="W623" s="91"/>
      <c r="X623" s="91"/>
      <c r="Y623" s="91"/>
    </row>
    <row r="624" spans="1:25">
      <c r="A624" s="91"/>
      <c r="B624" s="94"/>
      <c r="C624" s="94"/>
      <c r="D624" s="91"/>
      <c r="E624" s="91"/>
      <c r="F624" s="91"/>
      <c r="G624" s="91"/>
      <c r="H624" s="91"/>
      <c r="I624" s="91"/>
      <c r="J624" s="91"/>
      <c r="K624" s="91"/>
      <c r="L624" s="91"/>
      <c r="M624" s="91"/>
      <c r="N624" s="91"/>
      <c r="O624" s="91"/>
      <c r="P624" s="91"/>
      <c r="Q624" s="91"/>
      <c r="R624" s="91"/>
      <c r="S624" s="91"/>
      <c r="T624" s="91"/>
      <c r="U624" s="91"/>
      <c r="V624" s="91"/>
      <c r="W624" s="91"/>
      <c r="X624" s="91"/>
      <c r="Y624" s="91"/>
    </row>
    <row r="625" spans="1:25">
      <c r="A625" s="91"/>
      <c r="B625" s="94"/>
      <c r="C625" s="94"/>
      <c r="D625" s="91"/>
      <c r="E625" s="91"/>
      <c r="F625" s="91"/>
      <c r="G625" s="91"/>
      <c r="H625" s="91"/>
      <c r="I625" s="91"/>
      <c r="J625" s="91"/>
      <c r="K625" s="91"/>
      <c r="L625" s="91"/>
      <c r="M625" s="91"/>
      <c r="N625" s="91"/>
      <c r="O625" s="91"/>
      <c r="P625" s="91"/>
      <c r="Q625" s="91"/>
      <c r="R625" s="91"/>
      <c r="S625" s="91"/>
      <c r="T625" s="91"/>
      <c r="U625" s="91"/>
      <c r="V625" s="91"/>
      <c r="W625" s="91"/>
      <c r="X625" s="91"/>
      <c r="Y625" s="91"/>
    </row>
    <row r="626" spans="1:25">
      <c r="A626" s="91"/>
      <c r="B626" s="94"/>
      <c r="C626" s="94"/>
      <c r="D626" s="91"/>
      <c r="E626" s="91"/>
      <c r="F626" s="91"/>
      <c r="G626" s="91"/>
      <c r="H626" s="91"/>
      <c r="I626" s="91"/>
      <c r="J626" s="91"/>
      <c r="K626" s="91"/>
      <c r="L626" s="91"/>
      <c r="M626" s="91"/>
      <c r="N626" s="91"/>
      <c r="O626" s="91"/>
      <c r="P626" s="91"/>
      <c r="Q626" s="91"/>
      <c r="R626" s="91"/>
      <c r="S626" s="91"/>
      <c r="T626" s="91"/>
      <c r="U626" s="91"/>
      <c r="V626" s="91"/>
      <c r="W626" s="91"/>
      <c r="X626" s="91"/>
      <c r="Y626" s="91"/>
    </row>
    <row r="627" spans="1:25">
      <c r="A627" s="91"/>
      <c r="B627" s="94"/>
      <c r="C627" s="94"/>
      <c r="D627" s="91"/>
      <c r="E627" s="91"/>
      <c r="F627" s="91"/>
      <c r="G627" s="91"/>
      <c r="H627" s="91"/>
      <c r="I627" s="91"/>
      <c r="J627" s="91"/>
      <c r="K627" s="91"/>
      <c r="L627" s="91"/>
      <c r="M627" s="91"/>
      <c r="N627" s="91"/>
      <c r="O627" s="91"/>
      <c r="P627" s="91"/>
      <c r="Q627" s="91"/>
      <c r="R627" s="91"/>
      <c r="S627" s="91"/>
      <c r="T627" s="91"/>
      <c r="U627" s="91"/>
      <c r="V627" s="91"/>
      <c r="W627" s="91"/>
      <c r="X627" s="91"/>
      <c r="Y627" s="91"/>
    </row>
    <row r="628" spans="1:25">
      <c r="A628" s="91"/>
      <c r="B628" s="94"/>
      <c r="C628" s="94"/>
      <c r="D628" s="91"/>
      <c r="E628" s="91"/>
      <c r="F628" s="91"/>
      <c r="G628" s="91"/>
      <c r="H628" s="91"/>
      <c r="I628" s="91"/>
      <c r="J628" s="91"/>
      <c r="K628" s="91"/>
      <c r="L628" s="91"/>
      <c r="M628" s="91"/>
      <c r="N628" s="91"/>
      <c r="O628" s="91"/>
      <c r="P628" s="91"/>
      <c r="Q628" s="91"/>
      <c r="R628" s="91"/>
      <c r="S628" s="91"/>
      <c r="T628" s="91"/>
      <c r="U628" s="91"/>
      <c r="V628" s="91"/>
      <c r="W628" s="91"/>
      <c r="X628" s="91"/>
      <c r="Y628" s="91"/>
    </row>
    <row r="629" spans="1:25">
      <c r="A629" s="91"/>
      <c r="B629" s="94"/>
      <c r="C629" s="94"/>
      <c r="D629" s="91"/>
      <c r="E629" s="91"/>
      <c r="F629" s="91"/>
      <c r="G629" s="91"/>
      <c r="H629" s="91"/>
      <c r="I629" s="91"/>
      <c r="J629" s="91"/>
      <c r="K629" s="91"/>
      <c r="L629" s="91"/>
      <c r="M629" s="91"/>
      <c r="N629" s="91"/>
      <c r="O629" s="91"/>
      <c r="P629" s="91"/>
      <c r="Q629" s="91"/>
      <c r="R629" s="91"/>
      <c r="S629" s="91"/>
      <c r="T629" s="91"/>
      <c r="U629" s="91"/>
      <c r="V629" s="91"/>
      <c r="W629" s="91"/>
      <c r="X629" s="91"/>
      <c r="Y629" s="91"/>
    </row>
    <row r="630" spans="1:25">
      <c r="A630" s="91"/>
      <c r="B630" s="94"/>
      <c r="C630" s="94"/>
      <c r="D630" s="91"/>
      <c r="E630" s="91"/>
      <c r="F630" s="91"/>
      <c r="G630" s="91"/>
      <c r="H630" s="91"/>
      <c r="I630" s="91"/>
      <c r="J630" s="91"/>
      <c r="K630" s="91"/>
      <c r="L630" s="91"/>
      <c r="M630" s="91"/>
      <c r="N630" s="91"/>
      <c r="O630" s="91"/>
      <c r="P630" s="91"/>
      <c r="Q630" s="91"/>
      <c r="R630" s="91"/>
      <c r="S630" s="91"/>
      <c r="T630" s="91"/>
      <c r="U630" s="91"/>
      <c r="V630" s="91"/>
      <c r="W630" s="91"/>
      <c r="X630" s="91"/>
      <c r="Y630" s="91"/>
    </row>
    <row r="631" spans="1:25">
      <c r="A631" s="91"/>
      <c r="B631" s="94"/>
      <c r="C631" s="94"/>
      <c r="D631" s="91"/>
      <c r="E631" s="91"/>
      <c r="F631" s="91"/>
      <c r="G631" s="91"/>
      <c r="H631" s="91"/>
      <c r="I631" s="91"/>
      <c r="J631" s="91"/>
      <c r="K631" s="91"/>
      <c r="L631" s="91"/>
      <c r="M631" s="91"/>
      <c r="N631" s="91"/>
      <c r="O631" s="91"/>
      <c r="P631" s="91"/>
      <c r="Q631" s="91"/>
      <c r="R631" s="91"/>
      <c r="S631" s="91"/>
      <c r="T631" s="91"/>
      <c r="U631" s="91"/>
      <c r="V631" s="91"/>
      <c r="W631" s="91"/>
      <c r="X631" s="91"/>
      <c r="Y631" s="91"/>
    </row>
    <row r="632" spans="1:25">
      <c r="A632" s="91"/>
      <c r="B632" s="94"/>
      <c r="C632" s="94"/>
      <c r="D632" s="91"/>
      <c r="E632" s="91"/>
      <c r="F632" s="91"/>
      <c r="G632" s="91"/>
      <c r="H632" s="91"/>
      <c r="I632" s="91"/>
      <c r="J632" s="91"/>
      <c r="K632" s="91"/>
      <c r="L632" s="91"/>
      <c r="M632" s="91"/>
      <c r="N632" s="91"/>
      <c r="O632" s="91"/>
      <c r="P632" s="91"/>
      <c r="Q632" s="91"/>
      <c r="R632" s="91"/>
      <c r="S632" s="91"/>
      <c r="T632" s="91"/>
      <c r="U632" s="91"/>
      <c r="V632" s="91"/>
      <c r="W632" s="91"/>
      <c r="X632" s="91"/>
      <c r="Y632" s="91"/>
    </row>
    <row r="633" spans="1:25">
      <c r="A633" s="91"/>
      <c r="B633" s="94"/>
      <c r="C633" s="94"/>
      <c r="D633" s="91"/>
      <c r="E633" s="91"/>
      <c r="F633" s="91"/>
      <c r="G633" s="91"/>
      <c r="H633" s="91"/>
      <c r="I633" s="91"/>
      <c r="J633" s="91"/>
      <c r="K633" s="91"/>
      <c r="L633" s="91"/>
      <c r="M633" s="91"/>
      <c r="N633" s="91"/>
      <c r="O633" s="91"/>
      <c r="P633" s="91"/>
      <c r="Q633" s="91"/>
      <c r="R633" s="91"/>
      <c r="S633" s="91"/>
      <c r="T633" s="91"/>
      <c r="U633" s="91"/>
      <c r="V633" s="91"/>
      <c r="W633" s="91"/>
      <c r="X633" s="91"/>
      <c r="Y633" s="91"/>
    </row>
    <row r="634" spans="1:25">
      <c r="A634" s="91"/>
      <c r="B634" s="94"/>
      <c r="C634" s="94"/>
      <c r="D634" s="91"/>
      <c r="E634" s="91"/>
      <c r="F634" s="91"/>
      <c r="G634" s="91"/>
      <c r="H634" s="91"/>
      <c r="I634" s="91"/>
      <c r="J634" s="91"/>
      <c r="K634" s="91"/>
      <c r="L634" s="91"/>
      <c r="M634" s="91"/>
      <c r="N634" s="91"/>
      <c r="O634" s="91"/>
      <c r="P634" s="91"/>
      <c r="Q634" s="91"/>
      <c r="R634" s="91"/>
      <c r="S634" s="91"/>
      <c r="T634" s="91"/>
      <c r="U634" s="91"/>
      <c r="V634" s="91"/>
      <c r="W634" s="91"/>
      <c r="X634" s="91"/>
      <c r="Y634" s="91"/>
    </row>
    <row r="635" spans="1:25">
      <c r="A635" s="91"/>
      <c r="B635" s="94"/>
      <c r="C635" s="94"/>
      <c r="D635" s="91"/>
      <c r="E635" s="91"/>
      <c r="F635" s="91"/>
      <c r="G635" s="91"/>
      <c r="H635" s="91"/>
      <c r="I635" s="91"/>
      <c r="J635" s="91"/>
      <c r="K635" s="91"/>
      <c r="L635" s="91"/>
      <c r="M635" s="91"/>
      <c r="N635" s="91"/>
      <c r="O635" s="91"/>
      <c r="P635" s="91"/>
      <c r="Q635" s="91"/>
      <c r="R635" s="91"/>
      <c r="S635" s="91"/>
      <c r="T635" s="91"/>
      <c r="U635" s="91"/>
      <c r="V635" s="91"/>
      <c r="W635" s="91"/>
      <c r="X635" s="91"/>
      <c r="Y635" s="91"/>
    </row>
    <row r="636" spans="1:25">
      <c r="A636" s="91"/>
      <c r="B636" s="94"/>
      <c r="C636" s="94"/>
      <c r="D636" s="91"/>
      <c r="E636" s="91"/>
      <c r="F636" s="91"/>
      <c r="G636" s="91"/>
      <c r="H636" s="91"/>
      <c r="I636" s="91"/>
      <c r="J636" s="91"/>
      <c r="K636" s="91"/>
      <c r="L636" s="91"/>
      <c r="M636" s="91"/>
      <c r="N636" s="91"/>
      <c r="O636" s="91"/>
      <c r="P636" s="91"/>
      <c r="Q636" s="91"/>
      <c r="R636" s="91"/>
      <c r="S636" s="91"/>
      <c r="T636" s="91"/>
      <c r="U636" s="91"/>
      <c r="V636" s="91"/>
      <c r="W636" s="91"/>
      <c r="X636" s="91"/>
      <c r="Y636" s="91"/>
    </row>
    <row r="637" spans="1:25">
      <c r="A637" s="91"/>
      <c r="B637" s="94"/>
      <c r="C637" s="94"/>
      <c r="D637" s="91"/>
      <c r="E637" s="91"/>
      <c r="F637" s="91"/>
      <c r="G637" s="91"/>
      <c r="H637" s="91"/>
      <c r="I637" s="91"/>
      <c r="J637" s="91"/>
      <c r="K637" s="91"/>
      <c r="L637" s="91"/>
      <c r="M637" s="91"/>
      <c r="N637" s="91"/>
      <c r="O637" s="91"/>
      <c r="P637" s="91"/>
      <c r="Q637" s="91"/>
      <c r="R637" s="91"/>
      <c r="S637" s="91"/>
      <c r="T637" s="91"/>
      <c r="U637" s="91"/>
      <c r="V637" s="91"/>
      <c r="W637" s="91"/>
      <c r="X637" s="91"/>
      <c r="Y637" s="91"/>
    </row>
    <row r="638" spans="1:25">
      <c r="A638" s="91"/>
      <c r="B638" s="94"/>
      <c r="C638" s="94"/>
      <c r="D638" s="91"/>
      <c r="E638" s="91"/>
      <c r="F638" s="91"/>
      <c r="G638" s="91"/>
      <c r="H638" s="91"/>
      <c r="I638" s="91"/>
      <c r="J638" s="91"/>
      <c r="K638" s="91"/>
      <c r="L638" s="91"/>
      <c r="M638" s="91"/>
      <c r="N638" s="91"/>
      <c r="O638" s="91"/>
      <c r="P638" s="91"/>
      <c r="Q638" s="91"/>
      <c r="R638" s="91"/>
      <c r="S638" s="91"/>
      <c r="T638" s="91"/>
      <c r="U638" s="91"/>
      <c r="V638" s="91"/>
      <c r="W638" s="91"/>
      <c r="X638" s="91"/>
      <c r="Y638" s="91"/>
    </row>
    <row r="639" spans="1:25">
      <c r="A639" s="91"/>
      <c r="B639" s="94"/>
      <c r="C639" s="94"/>
      <c r="D639" s="91"/>
      <c r="E639" s="91"/>
      <c r="F639" s="91"/>
      <c r="G639" s="91"/>
      <c r="H639" s="91"/>
      <c r="I639" s="91"/>
      <c r="J639" s="91"/>
      <c r="K639" s="91"/>
      <c r="L639" s="91"/>
      <c r="M639" s="91"/>
      <c r="N639" s="91"/>
      <c r="O639" s="91"/>
      <c r="P639" s="91"/>
      <c r="Q639" s="91"/>
      <c r="R639" s="91"/>
      <c r="S639" s="91"/>
      <c r="T639" s="91"/>
      <c r="U639" s="91"/>
      <c r="V639" s="91"/>
      <c r="W639" s="91"/>
      <c r="X639" s="91"/>
      <c r="Y639" s="91"/>
    </row>
    <row r="640" spans="1:25">
      <c r="A640" s="91"/>
      <c r="B640" s="94"/>
      <c r="C640" s="94"/>
      <c r="D640" s="91"/>
      <c r="E640" s="91"/>
      <c r="F640" s="91"/>
      <c r="G640" s="91"/>
      <c r="H640" s="91"/>
      <c r="I640" s="91"/>
      <c r="J640" s="91"/>
      <c r="K640" s="91"/>
      <c r="L640" s="91"/>
      <c r="M640" s="91"/>
      <c r="N640" s="91"/>
      <c r="O640" s="91"/>
      <c r="P640" s="91"/>
      <c r="Q640" s="91"/>
      <c r="R640" s="91"/>
      <c r="S640" s="91"/>
      <c r="T640" s="91"/>
      <c r="U640" s="91"/>
      <c r="V640" s="91"/>
      <c r="W640" s="91"/>
      <c r="X640" s="91"/>
      <c r="Y640" s="91"/>
    </row>
    <row r="641" spans="1:25">
      <c r="A641" s="91"/>
      <c r="B641" s="94"/>
      <c r="C641" s="94"/>
      <c r="D641" s="91"/>
      <c r="E641" s="91"/>
      <c r="F641" s="91"/>
      <c r="G641" s="91"/>
      <c r="H641" s="91"/>
      <c r="I641" s="91"/>
      <c r="J641" s="91"/>
      <c r="K641" s="91"/>
      <c r="L641" s="91"/>
      <c r="M641" s="91"/>
      <c r="N641" s="91"/>
      <c r="O641" s="91"/>
      <c r="P641" s="91"/>
      <c r="Q641" s="91"/>
      <c r="R641" s="91"/>
      <c r="S641" s="91"/>
      <c r="T641" s="91"/>
      <c r="U641" s="91"/>
      <c r="V641" s="91"/>
      <c r="W641" s="91"/>
      <c r="X641" s="91"/>
      <c r="Y641" s="91"/>
    </row>
    <row r="642" spans="1:25">
      <c r="A642" s="91"/>
      <c r="B642" s="94"/>
      <c r="C642" s="94"/>
      <c r="D642" s="91"/>
      <c r="E642" s="91"/>
      <c r="F642" s="91"/>
      <c r="G642" s="91"/>
      <c r="H642" s="91"/>
      <c r="I642" s="91"/>
      <c r="J642" s="91"/>
      <c r="K642" s="91"/>
      <c r="L642" s="91"/>
      <c r="M642" s="91"/>
      <c r="N642" s="91"/>
      <c r="O642" s="91"/>
      <c r="P642" s="91"/>
      <c r="Q642" s="91"/>
      <c r="R642" s="91"/>
      <c r="S642" s="91"/>
      <c r="T642" s="91"/>
      <c r="U642" s="91"/>
      <c r="V642" s="91"/>
      <c r="W642" s="91"/>
      <c r="X642" s="91"/>
      <c r="Y642" s="91"/>
    </row>
    <row r="643" spans="1:25">
      <c r="A643" s="91"/>
      <c r="B643" s="94"/>
      <c r="C643" s="94"/>
      <c r="D643" s="91"/>
      <c r="E643" s="91"/>
      <c r="F643" s="91"/>
      <c r="G643" s="91"/>
      <c r="H643" s="91"/>
      <c r="I643" s="91"/>
      <c r="J643" s="91"/>
      <c r="K643" s="91"/>
      <c r="L643" s="91"/>
      <c r="M643" s="91"/>
      <c r="N643" s="91"/>
      <c r="O643" s="91"/>
      <c r="P643" s="91"/>
      <c r="Q643" s="91"/>
      <c r="R643" s="91"/>
      <c r="S643" s="91"/>
      <c r="T643" s="91"/>
      <c r="U643" s="91"/>
      <c r="V643" s="91"/>
      <c r="W643" s="91"/>
      <c r="X643" s="91"/>
      <c r="Y643" s="91"/>
    </row>
    <row r="644" spans="1:25">
      <c r="A644" s="91"/>
      <c r="B644" s="94"/>
      <c r="C644" s="94"/>
      <c r="D644" s="91"/>
      <c r="E644" s="91"/>
      <c r="F644" s="91"/>
      <c r="G644" s="91"/>
      <c r="H644" s="91"/>
      <c r="I644" s="91"/>
      <c r="J644" s="91"/>
      <c r="K644" s="91"/>
      <c r="L644" s="91"/>
      <c r="M644" s="91"/>
      <c r="N644" s="91"/>
      <c r="O644" s="91"/>
      <c r="P644" s="91"/>
      <c r="Q644" s="91"/>
      <c r="R644" s="91"/>
      <c r="S644" s="91"/>
      <c r="T644" s="91"/>
      <c r="U644" s="91"/>
      <c r="V644" s="91"/>
      <c r="W644" s="91"/>
      <c r="X644" s="91"/>
      <c r="Y644" s="91"/>
    </row>
    <row r="645" spans="1:25">
      <c r="A645" s="91"/>
      <c r="B645" s="94"/>
      <c r="C645" s="94"/>
      <c r="D645" s="91"/>
      <c r="E645" s="91"/>
      <c r="F645" s="91"/>
      <c r="G645" s="91"/>
      <c r="H645" s="91"/>
      <c r="I645" s="91"/>
      <c r="J645" s="91"/>
      <c r="K645" s="91"/>
      <c r="L645" s="91"/>
      <c r="M645" s="91"/>
      <c r="N645" s="91"/>
      <c r="O645" s="91"/>
      <c r="P645" s="91"/>
      <c r="Q645" s="91"/>
      <c r="R645" s="91"/>
      <c r="S645" s="91"/>
      <c r="T645" s="91"/>
      <c r="U645" s="91"/>
      <c r="V645" s="91"/>
      <c r="W645" s="91"/>
      <c r="X645" s="91"/>
      <c r="Y645" s="91"/>
    </row>
    <row r="646" spans="1:25">
      <c r="A646" s="91"/>
      <c r="B646" s="94"/>
      <c r="C646" s="94"/>
      <c r="D646" s="91"/>
      <c r="E646" s="91"/>
      <c r="F646" s="91"/>
      <c r="G646" s="91"/>
      <c r="H646" s="91"/>
      <c r="I646" s="91"/>
      <c r="J646" s="91"/>
      <c r="K646" s="91"/>
      <c r="L646" s="91"/>
      <c r="M646" s="91"/>
      <c r="N646" s="91"/>
      <c r="O646" s="91"/>
      <c r="P646" s="91"/>
      <c r="Q646" s="91"/>
      <c r="R646" s="91"/>
      <c r="S646" s="91"/>
      <c r="T646" s="91"/>
      <c r="U646" s="91"/>
      <c r="V646" s="91"/>
      <c r="W646" s="91"/>
      <c r="X646" s="91"/>
      <c r="Y646" s="91"/>
    </row>
    <row r="647" spans="1:25">
      <c r="A647" s="91"/>
      <c r="B647" s="94"/>
      <c r="C647" s="94"/>
      <c r="D647" s="91"/>
      <c r="E647" s="91"/>
      <c r="F647" s="91"/>
      <c r="G647" s="91"/>
      <c r="H647" s="91"/>
      <c r="I647" s="91"/>
      <c r="J647" s="91"/>
      <c r="K647" s="91"/>
      <c r="L647" s="91"/>
      <c r="M647" s="91"/>
      <c r="N647" s="91"/>
      <c r="O647" s="91"/>
      <c r="P647" s="91"/>
      <c r="Q647" s="91"/>
      <c r="R647" s="91"/>
      <c r="S647" s="91"/>
      <c r="T647" s="91"/>
      <c r="U647" s="91"/>
      <c r="V647" s="91"/>
      <c r="W647" s="91"/>
      <c r="X647" s="91"/>
      <c r="Y647" s="91"/>
    </row>
    <row r="648" spans="1:25">
      <c r="A648" s="91"/>
      <c r="B648" s="94"/>
      <c r="C648" s="94"/>
      <c r="D648" s="91"/>
      <c r="E648" s="91"/>
      <c r="F648" s="91"/>
      <c r="G648" s="91"/>
      <c r="H648" s="91"/>
      <c r="I648" s="91"/>
      <c r="J648" s="91"/>
      <c r="K648" s="91"/>
      <c r="L648" s="91"/>
      <c r="M648" s="91"/>
      <c r="N648" s="91"/>
      <c r="O648" s="91"/>
      <c r="P648" s="91"/>
      <c r="Q648" s="91"/>
      <c r="R648" s="91"/>
      <c r="S648" s="91"/>
      <c r="T648" s="91"/>
      <c r="U648" s="91"/>
      <c r="V648" s="91"/>
      <c r="W648" s="91"/>
      <c r="X648" s="91"/>
      <c r="Y648" s="91"/>
    </row>
    <row r="649" spans="1:25">
      <c r="A649" s="91"/>
      <c r="B649" s="94"/>
      <c r="C649" s="94"/>
      <c r="D649" s="91"/>
      <c r="E649" s="91"/>
      <c r="F649" s="91"/>
      <c r="G649" s="91"/>
      <c r="H649" s="91"/>
      <c r="I649" s="91"/>
      <c r="J649" s="91"/>
      <c r="K649" s="91"/>
      <c r="L649" s="91"/>
      <c r="M649" s="91"/>
      <c r="N649" s="91"/>
      <c r="O649" s="91"/>
      <c r="P649" s="91"/>
      <c r="Q649" s="91"/>
      <c r="R649" s="91"/>
      <c r="S649" s="91"/>
      <c r="T649" s="91"/>
      <c r="U649" s="91"/>
      <c r="V649" s="91"/>
      <c r="W649" s="91"/>
      <c r="X649" s="91"/>
      <c r="Y649" s="91"/>
    </row>
    <row r="650" spans="1:25">
      <c r="A650" s="91"/>
      <c r="B650" s="94"/>
      <c r="C650" s="94"/>
      <c r="D650" s="91"/>
      <c r="E650" s="91"/>
      <c r="F650" s="91"/>
      <c r="G650" s="91"/>
      <c r="H650" s="91"/>
      <c r="I650" s="91"/>
      <c r="J650" s="91"/>
      <c r="K650" s="91"/>
      <c r="L650" s="91"/>
      <c r="M650" s="91"/>
      <c r="N650" s="91"/>
      <c r="O650" s="91"/>
      <c r="P650" s="91"/>
      <c r="Q650" s="91"/>
      <c r="R650" s="91"/>
      <c r="S650" s="91"/>
      <c r="T650" s="91"/>
      <c r="U650" s="91"/>
      <c r="V650" s="91"/>
      <c r="W650" s="91"/>
      <c r="X650" s="91"/>
      <c r="Y650" s="91"/>
    </row>
    <row r="651" spans="1:25">
      <c r="A651" s="91"/>
      <c r="B651" s="94"/>
      <c r="C651" s="94"/>
      <c r="D651" s="91"/>
      <c r="E651" s="91"/>
      <c r="F651" s="91"/>
      <c r="G651" s="91"/>
      <c r="H651" s="91"/>
      <c r="I651" s="91"/>
      <c r="J651" s="91"/>
      <c r="K651" s="91"/>
      <c r="L651" s="91"/>
      <c r="M651" s="91"/>
      <c r="N651" s="91"/>
      <c r="O651" s="91"/>
      <c r="P651" s="91"/>
      <c r="Q651" s="91"/>
      <c r="R651" s="91"/>
      <c r="S651" s="91"/>
      <c r="T651" s="91"/>
      <c r="U651" s="91"/>
      <c r="V651" s="91"/>
      <c r="W651" s="91"/>
      <c r="X651" s="91"/>
      <c r="Y651" s="91"/>
    </row>
    <row r="652" spans="1:25">
      <c r="A652" s="91"/>
      <c r="B652" s="94"/>
      <c r="C652" s="94"/>
      <c r="D652" s="91"/>
      <c r="E652" s="91"/>
      <c r="F652" s="91"/>
      <c r="G652" s="91"/>
      <c r="H652" s="91"/>
      <c r="I652" s="91"/>
      <c r="J652" s="91"/>
      <c r="K652" s="91"/>
      <c r="L652" s="91"/>
      <c r="M652" s="91"/>
      <c r="N652" s="91"/>
      <c r="O652" s="91"/>
      <c r="P652" s="91"/>
      <c r="Q652" s="91"/>
      <c r="R652" s="91"/>
      <c r="S652" s="91"/>
      <c r="T652" s="91"/>
      <c r="U652" s="91"/>
      <c r="V652" s="91"/>
      <c r="W652" s="91"/>
      <c r="X652" s="91"/>
      <c r="Y652" s="91"/>
    </row>
    <row r="653" spans="1:25">
      <c r="A653" s="91"/>
      <c r="B653" s="94"/>
      <c r="C653" s="94"/>
      <c r="D653" s="91"/>
      <c r="E653" s="91"/>
      <c r="F653" s="91"/>
      <c r="G653" s="91"/>
      <c r="H653" s="91"/>
      <c r="I653" s="91"/>
      <c r="J653" s="91"/>
      <c r="K653" s="91"/>
      <c r="L653" s="91"/>
      <c r="M653" s="91"/>
      <c r="N653" s="91"/>
      <c r="O653" s="91"/>
      <c r="P653" s="91"/>
      <c r="Q653" s="91"/>
      <c r="R653" s="91"/>
      <c r="S653" s="91"/>
      <c r="T653" s="91"/>
      <c r="U653" s="91"/>
      <c r="V653" s="91"/>
      <c r="W653" s="91"/>
      <c r="X653" s="91"/>
      <c r="Y653" s="91"/>
    </row>
    <row r="654" spans="1:25">
      <c r="A654" s="91"/>
      <c r="B654" s="94"/>
      <c r="C654" s="94"/>
      <c r="D654" s="91"/>
      <c r="E654" s="91"/>
      <c r="F654" s="91"/>
      <c r="G654" s="91"/>
      <c r="H654" s="91"/>
      <c r="I654" s="91"/>
      <c r="J654" s="91"/>
      <c r="K654" s="91"/>
      <c r="L654" s="91"/>
      <c r="M654" s="91"/>
      <c r="N654" s="91"/>
      <c r="O654" s="91"/>
      <c r="P654" s="91"/>
      <c r="Q654" s="91"/>
      <c r="R654" s="91"/>
      <c r="S654" s="91"/>
      <c r="T654" s="91"/>
      <c r="U654" s="91"/>
      <c r="V654" s="91"/>
      <c r="W654" s="91"/>
      <c r="X654" s="91"/>
      <c r="Y654" s="91"/>
    </row>
    <row r="655" spans="1:25">
      <c r="A655" s="91"/>
      <c r="B655" s="94"/>
      <c r="C655" s="94"/>
      <c r="D655" s="91"/>
      <c r="E655" s="91"/>
      <c r="F655" s="91"/>
      <c r="G655" s="91"/>
      <c r="H655" s="91"/>
      <c r="I655" s="91"/>
      <c r="J655" s="91"/>
      <c r="K655" s="91"/>
      <c r="L655" s="91"/>
      <c r="M655" s="91"/>
      <c r="N655" s="91"/>
      <c r="O655" s="91"/>
      <c r="P655" s="91"/>
      <c r="Q655" s="91"/>
      <c r="R655" s="91"/>
      <c r="S655" s="91"/>
      <c r="T655" s="91"/>
      <c r="U655" s="91"/>
      <c r="V655" s="91"/>
      <c r="W655" s="91"/>
      <c r="X655" s="91"/>
      <c r="Y655" s="91"/>
    </row>
    <row r="656" spans="1:25">
      <c r="A656" s="91"/>
      <c r="B656" s="94"/>
      <c r="C656" s="94"/>
      <c r="D656" s="91"/>
      <c r="E656" s="91"/>
      <c r="F656" s="91"/>
      <c r="G656" s="91"/>
      <c r="H656" s="91"/>
      <c r="I656" s="91"/>
      <c r="J656" s="91"/>
      <c r="K656" s="91"/>
      <c r="L656" s="91"/>
      <c r="M656" s="91"/>
      <c r="N656" s="91"/>
      <c r="O656" s="91"/>
      <c r="P656" s="91"/>
      <c r="Q656" s="91"/>
      <c r="R656" s="91"/>
      <c r="S656" s="91"/>
      <c r="T656" s="91"/>
      <c r="U656" s="91"/>
      <c r="V656" s="91"/>
      <c r="W656" s="91"/>
      <c r="X656" s="91"/>
      <c r="Y656" s="91"/>
    </row>
    <row r="657" spans="1:25">
      <c r="A657" s="91"/>
      <c r="B657" s="94"/>
      <c r="C657" s="94"/>
      <c r="D657" s="91"/>
      <c r="E657" s="91"/>
      <c r="F657" s="91"/>
      <c r="G657" s="91"/>
      <c r="H657" s="91"/>
      <c r="I657" s="91"/>
      <c r="J657" s="91"/>
      <c r="K657" s="91"/>
      <c r="L657" s="91"/>
      <c r="M657" s="91"/>
      <c r="N657" s="91"/>
      <c r="O657" s="91"/>
      <c r="P657" s="91"/>
      <c r="Q657" s="91"/>
      <c r="R657" s="91"/>
      <c r="S657" s="91"/>
      <c r="T657" s="91"/>
      <c r="U657" s="91"/>
      <c r="V657" s="91"/>
      <c r="W657" s="91"/>
      <c r="X657" s="91"/>
      <c r="Y657" s="91"/>
    </row>
    <row r="658" spans="1:25">
      <c r="A658" s="91"/>
      <c r="B658" s="94"/>
      <c r="C658" s="94"/>
      <c r="D658" s="91"/>
      <c r="E658" s="91"/>
      <c r="F658" s="91"/>
      <c r="G658" s="91"/>
      <c r="H658" s="91"/>
      <c r="I658" s="91"/>
      <c r="J658" s="91"/>
      <c r="K658" s="91"/>
      <c r="L658" s="91"/>
      <c r="M658" s="91"/>
      <c r="N658" s="91"/>
      <c r="O658" s="91"/>
      <c r="P658" s="91"/>
      <c r="Q658" s="91"/>
      <c r="R658" s="91"/>
      <c r="S658" s="91"/>
      <c r="T658" s="91"/>
      <c r="U658" s="91"/>
      <c r="V658" s="91"/>
      <c r="W658" s="91"/>
      <c r="X658" s="91"/>
      <c r="Y658" s="91"/>
    </row>
    <row r="659" spans="1:25">
      <c r="A659" s="91"/>
      <c r="B659" s="94"/>
      <c r="C659" s="94"/>
      <c r="D659" s="91"/>
      <c r="E659" s="91"/>
      <c r="F659" s="91"/>
      <c r="G659" s="91"/>
      <c r="H659" s="91"/>
      <c r="I659" s="91"/>
      <c r="J659" s="91"/>
      <c r="K659" s="91"/>
      <c r="L659" s="91"/>
      <c r="M659" s="91"/>
      <c r="N659" s="91"/>
      <c r="O659" s="91"/>
      <c r="P659" s="91"/>
      <c r="Q659" s="91"/>
      <c r="R659" s="91"/>
      <c r="S659" s="91"/>
      <c r="T659" s="91"/>
      <c r="U659" s="91"/>
      <c r="V659" s="91"/>
      <c r="W659" s="91"/>
      <c r="X659" s="91"/>
      <c r="Y659" s="91"/>
    </row>
    <row r="660" spans="1:25">
      <c r="A660" s="91"/>
      <c r="B660" s="94"/>
      <c r="C660" s="94"/>
      <c r="D660" s="91"/>
      <c r="E660" s="91"/>
      <c r="F660" s="91"/>
      <c r="G660" s="91"/>
      <c r="H660" s="91"/>
      <c r="I660" s="91"/>
      <c r="J660" s="91"/>
      <c r="K660" s="91"/>
      <c r="L660" s="91"/>
      <c r="M660" s="91"/>
      <c r="N660" s="91"/>
      <c r="O660" s="91"/>
      <c r="P660" s="91"/>
      <c r="Q660" s="91"/>
      <c r="R660" s="91"/>
      <c r="S660" s="91"/>
      <c r="T660" s="91"/>
      <c r="U660" s="91"/>
      <c r="V660" s="91"/>
      <c r="W660" s="91"/>
      <c r="X660" s="91"/>
      <c r="Y660" s="91"/>
    </row>
    <row r="661" spans="1:25">
      <c r="A661" s="91"/>
      <c r="B661" s="94"/>
      <c r="C661" s="94"/>
      <c r="D661" s="91"/>
      <c r="E661" s="91"/>
      <c r="F661" s="91"/>
      <c r="G661" s="91"/>
      <c r="H661" s="91"/>
      <c r="I661" s="91"/>
      <c r="J661" s="91"/>
      <c r="K661" s="91"/>
      <c r="L661" s="91"/>
      <c r="M661" s="91"/>
      <c r="N661" s="91"/>
      <c r="O661" s="91"/>
      <c r="P661" s="91"/>
      <c r="Q661" s="91"/>
      <c r="R661" s="91"/>
      <c r="S661" s="91"/>
      <c r="T661" s="91"/>
      <c r="U661" s="91"/>
      <c r="V661" s="91"/>
      <c r="W661" s="91"/>
      <c r="X661" s="91"/>
      <c r="Y661" s="91"/>
    </row>
    <row r="662" spans="1:25">
      <c r="A662" s="91"/>
      <c r="B662" s="94"/>
      <c r="C662" s="94"/>
      <c r="D662" s="91"/>
      <c r="E662" s="91"/>
      <c r="F662" s="91"/>
      <c r="G662" s="91"/>
      <c r="H662" s="91"/>
      <c r="I662" s="91"/>
      <c r="J662" s="91"/>
      <c r="K662" s="91"/>
      <c r="L662" s="91"/>
      <c r="M662" s="91"/>
      <c r="N662" s="91"/>
      <c r="O662" s="91"/>
      <c r="P662" s="91"/>
      <c r="Q662" s="91"/>
      <c r="R662" s="91"/>
      <c r="S662" s="91"/>
      <c r="T662" s="91"/>
      <c r="U662" s="91"/>
      <c r="V662" s="91"/>
      <c r="W662" s="91"/>
      <c r="X662" s="91"/>
      <c r="Y662" s="91"/>
    </row>
    <row r="663" spans="1:25">
      <c r="A663" s="91"/>
      <c r="B663" s="94"/>
      <c r="C663" s="94"/>
      <c r="D663" s="91"/>
      <c r="E663" s="91"/>
      <c r="F663" s="91"/>
      <c r="G663" s="91"/>
      <c r="H663" s="91"/>
      <c r="I663" s="91"/>
      <c r="J663" s="91"/>
      <c r="K663" s="91"/>
      <c r="L663" s="91"/>
      <c r="M663" s="91"/>
      <c r="N663" s="91"/>
      <c r="O663" s="91"/>
      <c r="P663" s="91"/>
      <c r="Q663" s="91"/>
      <c r="R663" s="91"/>
      <c r="S663" s="91"/>
      <c r="T663" s="91"/>
      <c r="U663" s="91"/>
      <c r="V663" s="91"/>
      <c r="W663" s="91"/>
      <c r="X663" s="91"/>
      <c r="Y663" s="91"/>
    </row>
    <row r="664" spans="1:25">
      <c r="A664" s="91"/>
      <c r="B664" s="94"/>
      <c r="C664" s="94"/>
      <c r="D664" s="91"/>
      <c r="E664" s="91"/>
      <c r="F664" s="91"/>
      <c r="G664" s="91"/>
      <c r="H664" s="91"/>
      <c r="I664" s="91"/>
      <c r="J664" s="91"/>
      <c r="K664" s="91"/>
      <c r="L664" s="91"/>
      <c r="M664" s="91"/>
      <c r="N664" s="91"/>
      <c r="O664" s="91"/>
      <c r="P664" s="91"/>
      <c r="Q664" s="91"/>
      <c r="R664" s="91"/>
      <c r="S664" s="91"/>
      <c r="T664" s="91"/>
      <c r="U664" s="91"/>
      <c r="V664" s="91"/>
      <c r="W664" s="91"/>
      <c r="X664" s="91"/>
      <c r="Y664" s="91"/>
    </row>
    <row r="665" spans="1:25">
      <c r="A665" s="91"/>
      <c r="B665" s="94"/>
      <c r="C665" s="94"/>
      <c r="D665" s="91"/>
      <c r="E665" s="91"/>
      <c r="F665" s="91"/>
      <c r="G665" s="91"/>
      <c r="H665" s="91"/>
      <c r="I665" s="91"/>
      <c r="J665" s="91"/>
      <c r="K665" s="91"/>
      <c r="L665" s="91"/>
      <c r="M665" s="91"/>
      <c r="N665" s="91"/>
      <c r="O665" s="91"/>
      <c r="P665" s="91"/>
      <c r="Q665" s="91"/>
      <c r="R665" s="91"/>
      <c r="S665" s="91"/>
      <c r="T665" s="91"/>
      <c r="U665" s="91"/>
      <c r="V665" s="91"/>
      <c r="W665" s="91"/>
      <c r="X665" s="91"/>
      <c r="Y665" s="91"/>
    </row>
    <row r="666" spans="1:25">
      <c r="A666" s="91"/>
      <c r="B666" s="94"/>
      <c r="C666" s="94"/>
      <c r="D666" s="91"/>
      <c r="E666" s="91"/>
      <c r="F666" s="91"/>
      <c r="G666" s="91"/>
      <c r="H666" s="91"/>
      <c r="I666" s="91"/>
      <c r="J666" s="91"/>
      <c r="K666" s="91"/>
      <c r="L666" s="91"/>
      <c r="M666" s="91"/>
      <c r="N666" s="91"/>
      <c r="O666" s="91"/>
      <c r="P666" s="91"/>
      <c r="Q666" s="91"/>
      <c r="R666" s="91"/>
      <c r="S666" s="91"/>
      <c r="T666" s="91"/>
      <c r="U666" s="91"/>
      <c r="V666" s="91"/>
      <c r="W666" s="91"/>
      <c r="X666" s="91"/>
      <c r="Y666" s="91"/>
    </row>
    <row r="667" spans="1:25">
      <c r="A667" s="91"/>
      <c r="B667" s="94"/>
      <c r="C667" s="94"/>
      <c r="D667" s="91"/>
      <c r="E667" s="91"/>
      <c r="F667" s="91"/>
      <c r="G667" s="91"/>
      <c r="H667" s="91"/>
      <c r="I667" s="91"/>
      <c r="J667" s="91"/>
      <c r="K667" s="91"/>
      <c r="L667" s="91"/>
      <c r="M667" s="91"/>
      <c r="N667" s="91"/>
      <c r="O667" s="91"/>
      <c r="P667" s="91"/>
      <c r="Q667" s="91"/>
      <c r="R667" s="91"/>
      <c r="S667" s="91"/>
      <c r="T667" s="91"/>
      <c r="U667" s="91"/>
      <c r="V667" s="91"/>
      <c r="W667" s="91"/>
      <c r="X667" s="91"/>
      <c r="Y667" s="91"/>
    </row>
    <row r="668" spans="1:25">
      <c r="A668" s="91"/>
      <c r="B668" s="94"/>
      <c r="C668" s="94"/>
      <c r="D668" s="91"/>
      <c r="E668" s="91"/>
      <c r="F668" s="91"/>
      <c r="G668" s="91"/>
      <c r="H668" s="91"/>
      <c r="I668" s="91"/>
      <c r="J668" s="91"/>
      <c r="K668" s="91"/>
      <c r="L668" s="91"/>
      <c r="M668" s="91"/>
      <c r="N668" s="91"/>
      <c r="O668" s="91"/>
      <c r="P668" s="91"/>
      <c r="Q668" s="91"/>
      <c r="R668" s="91"/>
      <c r="S668" s="91"/>
      <c r="T668" s="91"/>
      <c r="U668" s="91"/>
      <c r="V668" s="91"/>
      <c r="W668" s="91"/>
      <c r="X668" s="91"/>
      <c r="Y668" s="91"/>
    </row>
    <row r="669" spans="1:25">
      <c r="A669" s="91"/>
      <c r="B669" s="94"/>
      <c r="C669" s="94"/>
      <c r="D669" s="91"/>
      <c r="E669" s="91"/>
      <c r="F669" s="91"/>
      <c r="G669" s="91"/>
      <c r="H669" s="91"/>
      <c r="I669" s="91"/>
      <c r="J669" s="91"/>
      <c r="K669" s="91"/>
      <c r="L669" s="91"/>
      <c r="M669" s="91"/>
      <c r="N669" s="91"/>
      <c r="O669" s="91"/>
      <c r="P669" s="91"/>
      <c r="Q669" s="91"/>
      <c r="R669" s="91"/>
      <c r="S669" s="91"/>
      <c r="T669" s="91"/>
      <c r="U669" s="91"/>
      <c r="V669" s="91"/>
      <c r="W669" s="91"/>
      <c r="X669" s="91"/>
      <c r="Y669" s="91"/>
    </row>
    <row r="670" spans="1:25">
      <c r="A670" s="91"/>
      <c r="B670" s="94"/>
      <c r="C670" s="94"/>
      <c r="D670" s="91"/>
      <c r="E670" s="91"/>
      <c r="F670" s="91"/>
      <c r="G670" s="91"/>
      <c r="H670" s="91"/>
      <c r="I670" s="91"/>
      <c r="J670" s="91"/>
      <c r="K670" s="91"/>
      <c r="L670" s="91"/>
      <c r="M670" s="91"/>
      <c r="N670" s="91"/>
      <c r="O670" s="91"/>
      <c r="P670" s="91"/>
      <c r="Q670" s="91"/>
      <c r="R670" s="91"/>
      <c r="S670" s="91"/>
      <c r="T670" s="91"/>
      <c r="U670" s="91"/>
      <c r="V670" s="91"/>
      <c r="W670" s="91"/>
      <c r="X670" s="91"/>
      <c r="Y670" s="91"/>
    </row>
    <row r="671" spans="1:25">
      <c r="A671" s="91"/>
      <c r="B671" s="94"/>
      <c r="C671" s="94"/>
      <c r="D671" s="91"/>
      <c r="E671" s="91"/>
      <c r="F671" s="91"/>
      <c r="G671" s="91"/>
      <c r="H671" s="91"/>
      <c r="I671" s="91"/>
      <c r="J671" s="91"/>
      <c r="K671" s="91"/>
      <c r="L671" s="91"/>
      <c r="M671" s="91"/>
      <c r="N671" s="91"/>
      <c r="O671" s="91"/>
      <c r="P671" s="91"/>
      <c r="Q671" s="91"/>
      <c r="R671" s="91"/>
      <c r="S671" s="91"/>
      <c r="T671" s="91"/>
      <c r="U671" s="91"/>
      <c r="V671" s="91"/>
      <c r="W671" s="91"/>
      <c r="X671" s="91"/>
      <c r="Y671" s="91"/>
    </row>
    <row r="672" spans="1:25">
      <c r="A672" s="91"/>
      <c r="B672" s="94"/>
      <c r="C672" s="94"/>
      <c r="D672" s="91"/>
      <c r="E672" s="91"/>
      <c r="F672" s="91"/>
      <c r="G672" s="91"/>
      <c r="H672" s="91"/>
      <c r="I672" s="91"/>
      <c r="J672" s="91"/>
      <c r="K672" s="91"/>
      <c r="L672" s="91"/>
      <c r="M672" s="91"/>
      <c r="N672" s="91"/>
      <c r="O672" s="91"/>
      <c r="P672" s="91"/>
      <c r="Q672" s="91"/>
      <c r="R672" s="91"/>
      <c r="S672" s="91"/>
      <c r="T672" s="91"/>
      <c r="U672" s="91"/>
      <c r="V672" s="91"/>
      <c r="W672" s="91"/>
      <c r="X672" s="91"/>
      <c r="Y672" s="91"/>
    </row>
    <row r="673" spans="1:25">
      <c r="A673" s="91"/>
      <c r="B673" s="94"/>
      <c r="C673" s="94"/>
      <c r="D673" s="91"/>
      <c r="E673" s="91"/>
      <c r="F673" s="91"/>
      <c r="G673" s="91"/>
      <c r="H673" s="91"/>
      <c r="I673" s="91"/>
      <c r="J673" s="91"/>
      <c r="K673" s="91"/>
      <c r="L673" s="91"/>
      <c r="M673" s="91"/>
      <c r="N673" s="91"/>
      <c r="O673" s="91"/>
      <c r="P673" s="91"/>
      <c r="Q673" s="91"/>
      <c r="R673" s="91"/>
      <c r="S673" s="91"/>
      <c r="T673" s="91"/>
      <c r="U673" s="91"/>
      <c r="V673" s="91"/>
      <c r="W673" s="91"/>
      <c r="X673" s="91"/>
      <c r="Y673" s="91"/>
    </row>
    <row r="674" spans="1:25">
      <c r="A674" s="91"/>
      <c r="B674" s="94"/>
      <c r="C674" s="94"/>
      <c r="D674" s="91"/>
      <c r="E674" s="91"/>
      <c r="F674" s="91"/>
      <c r="G674" s="91"/>
      <c r="H674" s="91"/>
      <c r="I674" s="91"/>
      <c r="J674" s="91"/>
      <c r="K674" s="91"/>
      <c r="L674" s="91"/>
      <c r="M674" s="91"/>
      <c r="N674" s="91"/>
      <c r="O674" s="91"/>
      <c r="P674" s="91"/>
      <c r="Q674" s="91"/>
      <c r="R674" s="91"/>
      <c r="S674" s="91"/>
      <c r="T674" s="91"/>
      <c r="U674" s="91"/>
      <c r="V674" s="91"/>
      <c r="W674" s="91"/>
      <c r="X674" s="91"/>
      <c r="Y674" s="91"/>
    </row>
    <row r="675" spans="1:25">
      <c r="A675" s="91"/>
      <c r="B675" s="94"/>
      <c r="C675" s="94"/>
      <c r="D675" s="91"/>
      <c r="E675" s="91"/>
      <c r="F675" s="91"/>
      <c r="G675" s="91"/>
      <c r="H675" s="91"/>
      <c r="I675" s="91"/>
      <c r="J675" s="91"/>
      <c r="K675" s="91"/>
      <c r="L675" s="91"/>
      <c r="M675" s="91"/>
      <c r="N675" s="91"/>
      <c r="O675" s="91"/>
      <c r="P675" s="91"/>
      <c r="Q675" s="91"/>
      <c r="R675" s="91"/>
      <c r="S675" s="91"/>
      <c r="T675" s="91"/>
      <c r="U675" s="91"/>
      <c r="V675" s="91"/>
      <c r="W675" s="91"/>
      <c r="X675" s="91"/>
      <c r="Y675" s="91"/>
    </row>
    <row r="676" spans="1:25">
      <c r="A676" s="91"/>
      <c r="B676" s="94"/>
      <c r="C676" s="94"/>
      <c r="D676" s="91"/>
      <c r="E676" s="91"/>
      <c r="F676" s="91"/>
      <c r="G676" s="91"/>
      <c r="H676" s="91"/>
      <c r="I676" s="91"/>
      <c r="J676" s="91"/>
      <c r="K676" s="91"/>
      <c r="L676" s="91"/>
      <c r="M676" s="91"/>
      <c r="N676" s="91"/>
      <c r="O676" s="91"/>
      <c r="P676" s="91"/>
      <c r="Q676" s="91"/>
      <c r="R676" s="91"/>
      <c r="S676" s="91"/>
      <c r="T676" s="91"/>
      <c r="U676" s="91"/>
      <c r="V676" s="91"/>
      <c r="W676" s="91"/>
      <c r="X676" s="91"/>
      <c r="Y676" s="91"/>
    </row>
    <row r="677" spans="1:25">
      <c r="A677" s="91"/>
      <c r="B677" s="94"/>
      <c r="C677" s="94"/>
      <c r="D677" s="91"/>
      <c r="E677" s="91"/>
      <c r="F677" s="91"/>
      <c r="G677" s="91"/>
      <c r="H677" s="91"/>
      <c r="I677" s="91"/>
      <c r="J677" s="91"/>
      <c r="K677" s="91"/>
      <c r="L677" s="91"/>
      <c r="M677" s="91"/>
      <c r="N677" s="91"/>
      <c r="O677" s="91"/>
      <c r="P677" s="91"/>
      <c r="Q677" s="91"/>
      <c r="R677" s="91"/>
      <c r="S677" s="91"/>
      <c r="T677" s="91"/>
      <c r="U677" s="91"/>
      <c r="V677" s="91"/>
      <c r="W677" s="91"/>
      <c r="X677" s="91"/>
      <c r="Y677" s="91"/>
    </row>
    <row r="678" spans="1:25">
      <c r="A678" s="91"/>
      <c r="B678" s="94"/>
      <c r="C678" s="94"/>
      <c r="D678" s="91"/>
      <c r="E678" s="91"/>
      <c r="F678" s="91"/>
      <c r="G678" s="91"/>
      <c r="H678" s="91"/>
      <c r="I678" s="91"/>
      <c r="J678" s="91"/>
      <c r="K678" s="91"/>
      <c r="L678" s="91"/>
      <c r="M678" s="91"/>
      <c r="N678" s="91"/>
      <c r="O678" s="91"/>
      <c r="P678" s="91"/>
      <c r="Q678" s="91"/>
      <c r="R678" s="91"/>
      <c r="S678" s="91"/>
      <c r="T678" s="91"/>
      <c r="U678" s="91"/>
      <c r="V678" s="91"/>
      <c r="W678" s="91"/>
      <c r="X678" s="91"/>
      <c r="Y678" s="91"/>
    </row>
    <row r="679" spans="1:25">
      <c r="A679" s="91"/>
      <c r="B679" s="94"/>
      <c r="C679" s="94"/>
      <c r="D679" s="91"/>
      <c r="E679" s="91"/>
      <c r="F679" s="91"/>
      <c r="G679" s="91"/>
      <c r="H679" s="91"/>
      <c r="I679" s="91"/>
      <c r="J679" s="91"/>
      <c r="K679" s="91"/>
      <c r="L679" s="91"/>
      <c r="M679" s="91"/>
      <c r="N679" s="91"/>
      <c r="O679" s="91"/>
      <c r="P679" s="91"/>
      <c r="Q679" s="91"/>
      <c r="R679" s="91"/>
      <c r="S679" s="91"/>
      <c r="T679" s="91"/>
      <c r="U679" s="91"/>
      <c r="V679" s="91"/>
      <c r="W679" s="91"/>
      <c r="X679" s="91"/>
      <c r="Y679" s="91"/>
    </row>
    <row r="680" spans="1:25">
      <c r="A680" s="91"/>
      <c r="B680" s="94"/>
      <c r="C680" s="94"/>
      <c r="D680" s="91"/>
      <c r="E680" s="91"/>
      <c r="F680" s="91"/>
      <c r="G680" s="91"/>
      <c r="H680" s="91"/>
      <c r="I680" s="91"/>
      <c r="J680" s="91"/>
      <c r="K680" s="91"/>
      <c r="L680" s="91"/>
      <c r="M680" s="91"/>
      <c r="N680" s="91"/>
      <c r="O680" s="91"/>
      <c r="P680" s="91"/>
      <c r="Q680" s="91"/>
      <c r="R680" s="91"/>
      <c r="S680" s="91"/>
      <c r="T680" s="91"/>
      <c r="U680" s="91"/>
      <c r="V680" s="91"/>
      <c r="W680" s="91"/>
      <c r="X680" s="91"/>
      <c r="Y680" s="91"/>
    </row>
    <row r="681" spans="1:25">
      <c r="A681" s="91"/>
      <c r="B681" s="94"/>
      <c r="C681" s="94"/>
      <c r="D681" s="91"/>
      <c r="E681" s="91"/>
      <c r="F681" s="91"/>
      <c r="G681" s="91"/>
      <c r="H681" s="91"/>
      <c r="I681" s="91"/>
      <c r="J681" s="91"/>
      <c r="K681" s="91"/>
      <c r="L681" s="91"/>
      <c r="M681" s="91"/>
      <c r="N681" s="91"/>
      <c r="O681" s="91"/>
      <c r="P681" s="91"/>
      <c r="Q681" s="91"/>
      <c r="R681" s="91"/>
      <c r="S681" s="91"/>
      <c r="T681" s="91"/>
      <c r="U681" s="91"/>
      <c r="V681" s="91"/>
      <c r="W681" s="91"/>
      <c r="X681" s="91"/>
      <c r="Y681" s="91"/>
    </row>
    <row r="682" spans="1:25">
      <c r="A682" s="91"/>
      <c r="B682" s="94"/>
      <c r="C682" s="94"/>
      <c r="D682" s="91"/>
      <c r="E682" s="91"/>
      <c r="F682" s="91"/>
      <c r="G682" s="91"/>
      <c r="H682" s="91"/>
      <c r="I682" s="91"/>
      <c r="J682" s="91"/>
      <c r="K682" s="91"/>
      <c r="L682" s="91"/>
      <c r="M682" s="91"/>
      <c r="N682" s="91"/>
      <c r="O682" s="91"/>
      <c r="P682" s="91"/>
      <c r="Q682" s="91"/>
      <c r="R682" s="91"/>
      <c r="S682" s="91"/>
      <c r="T682" s="91"/>
      <c r="U682" s="91"/>
      <c r="V682" s="91"/>
      <c r="W682" s="91"/>
      <c r="X682" s="91"/>
      <c r="Y682" s="91"/>
    </row>
    <row r="683" spans="1:25">
      <c r="A683" s="91"/>
      <c r="B683" s="94"/>
      <c r="C683" s="94"/>
      <c r="D683" s="91"/>
      <c r="E683" s="91"/>
      <c r="F683" s="91"/>
      <c r="G683" s="91"/>
      <c r="H683" s="91"/>
      <c r="I683" s="91"/>
      <c r="J683" s="91"/>
      <c r="K683" s="91"/>
      <c r="L683" s="91"/>
      <c r="M683" s="91"/>
      <c r="N683" s="91"/>
      <c r="O683" s="91"/>
      <c r="P683" s="91"/>
      <c r="Q683" s="91"/>
      <c r="R683" s="91"/>
      <c r="S683" s="91"/>
      <c r="T683" s="91"/>
      <c r="U683" s="91"/>
      <c r="V683" s="91"/>
      <c r="W683" s="91"/>
      <c r="X683" s="91"/>
      <c r="Y683" s="91"/>
    </row>
    <row r="684" spans="1:25">
      <c r="A684" s="91"/>
      <c r="B684" s="94"/>
      <c r="C684" s="94"/>
      <c r="D684" s="91"/>
      <c r="E684" s="91"/>
      <c r="F684" s="91"/>
      <c r="G684" s="91"/>
      <c r="H684" s="91"/>
      <c r="I684" s="91"/>
      <c r="J684" s="91"/>
      <c r="K684" s="91"/>
      <c r="L684" s="91"/>
      <c r="M684" s="91"/>
      <c r="N684" s="91"/>
      <c r="O684" s="91"/>
      <c r="P684" s="91"/>
      <c r="Q684" s="91"/>
      <c r="R684" s="91"/>
      <c r="S684" s="91"/>
      <c r="T684" s="91"/>
      <c r="U684" s="91"/>
      <c r="V684" s="91"/>
      <c r="W684" s="91"/>
      <c r="X684" s="91"/>
      <c r="Y684" s="91"/>
    </row>
    <row r="685" spans="1:25">
      <c r="A685" s="91"/>
      <c r="B685" s="94"/>
      <c r="C685" s="94"/>
      <c r="D685" s="91"/>
      <c r="E685" s="91"/>
      <c r="F685" s="91"/>
      <c r="G685" s="91"/>
      <c r="H685" s="91"/>
      <c r="I685" s="91"/>
      <c r="J685" s="91"/>
      <c r="K685" s="91"/>
      <c r="L685" s="91"/>
      <c r="M685" s="91"/>
      <c r="N685" s="91"/>
      <c r="O685" s="91"/>
      <c r="P685" s="91"/>
      <c r="Q685" s="91"/>
      <c r="R685" s="91"/>
      <c r="S685" s="91"/>
      <c r="T685" s="91"/>
      <c r="U685" s="91"/>
      <c r="V685" s="91"/>
      <c r="W685" s="91"/>
      <c r="X685" s="91"/>
      <c r="Y685" s="91"/>
    </row>
    <row r="686" spans="1:25">
      <c r="A686" s="91"/>
      <c r="B686" s="94"/>
      <c r="C686" s="94"/>
      <c r="D686" s="91"/>
      <c r="E686" s="91"/>
      <c r="F686" s="91"/>
      <c r="G686" s="91"/>
      <c r="H686" s="91"/>
      <c r="I686" s="91"/>
      <c r="J686" s="91"/>
      <c r="K686" s="91"/>
      <c r="L686" s="91"/>
      <c r="M686" s="91"/>
      <c r="N686" s="91"/>
      <c r="O686" s="91"/>
      <c r="P686" s="91"/>
      <c r="Q686" s="91"/>
      <c r="R686" s="91"/>
      <c r="S686" s="91"/>
      <c r="T686" s="91"/>
      <c r="U686" s="91"/>
      <c r="V686" s="91"/>
      <c r="W686" s="91"/>
      <c r="X686" s="91"/>
      <c r="Y686" s="91"/>
    </row>
    <row r="687" spans="1:25">
      <c r="A687" s="91"/>
      <c r="B687" s="94"/>
      <c r="C687" s="94"/>
      <c r="D687" s="91"/>
      <c r="E687" s="91"/>
      <c r="F687" s="91"/>
      <c r="G687" s="91"/>
      <c r="H687" s="91"/>
      <c r="I687" s="91"/>
      <c r="J687" s="91"/>
      <c r="K687" s="91"/>
      <c r="L687" s="91"/>
      <c r="M687" s="91"/>
      <c r="N687" s="91"/>
      <c r="O687" s="91"/>
      <c r="P687" s="91"/>
      <c r="Q687" s="91"/>
      <c r="R687" s="91"/>
      <c r="S687" s="91"/>
      <c r="T687" s="91"/>
      <c r="U687" s="91"/>
      <c r="V687" s="91"/>
      <c r="W687" s="91"/>
      <c r="X687" s="91"/>
      <c r="Y687" s="91"/>
    </row>
    <row r="688" spans="1:25">
      <c r="A688" s="91"/>
      <c r="B688" s="94"/>
      <c r="C688" s="94"/>
      <c r="D688" s="91"/>
      <c r="E688" s="91"/>
      <c r="F688" s="91"/>
      <c r="G688" s="91"/>
      <c r="H688" s="91"/>
      <c r="I688" s="91"/>
      <c r="J688" s="91"/>
      <c r="K688" s="91"/>
      <c r="L688" s="91"/>
      <c r="M688" s="91"/>
      <c r="N688" s="91"/>
      <c r="O688" s="91"/>
      <c r="P688" s="91"/>
      <c r="Q688" s="91"/>
      <c r="R688" s="91"/>
      <c r="S688" s="91"/>
      <c r="T688" s="91"/>
      <c r="U688" s="91"/>
      <c r="V688" s="91"/>
      <c r="W688" s="91"/>
      <c r="X688" s="91"/>
      <c r="Y688" s="91"/>
    </row>
    <row r="689" spans="1:25">
      <c r="A689" s="91"/>
      <c r="B689" s="94"/>
      <c r="C689" s="94"/>
      <c r="D689" s="91"/>
      <c r="E689" s="91"/>
      <c r="F689" s="91"/>
      <c r="G689" s="91"/>
      <c r="H689" s="91"/>
      <c r="I689" s="91"/>
      <c r="J689" s="91"/>
      <c r="K689" s="91"/>
      <c r="L689" s="91"/>
      <c r="M689" s="91"/>
      <c r="N689" s="91"/>
      <c r="O689" s="91"/>
      <c r="P689" s="91"/>
      <c r="Q689" s="91"/>
      <c r="R689" s="91"/>
      <c r="S689" s="91"/>
      <c r="T689" s="91"/>
      <c r="U689" s="91"/>
      <c r="V689" s="91"/>
      <c r="W689" s="91"/>
      <c r="X689" s="91"/>
      <c r="Y689" s="91"/>
    </row>
    <row r="690" spans="1:25">
      <c r="A690" s="91"/>
      <c r="B690" s="94"/>
      <c r="C690" s="94"/>
      <c r="D690" s="91"/>
      <c r="E690" s="91"/>
      <c r="F690" s="91"/>
      <c r="G690" s="91"/>
      <c r="H690" s="91"/>
      <c r="I690" s="91"/>
      <c r="J690" s="91"/>
      <c r="K690" s="91"/>
      <c r="L690" s="91"/>
      <c r="M690" s="91"/>
      <c r="N690" s="91"/>
      <c r="O690" s="91"/>
      <c r="P690" s="91"/>
      <c r="Q690" s="91"/>
      <c r="R690" s="91"/>
      <c r="S690" s="91"/>
      <c r="T690" s="91"/>
      <c r="U690" s="91"/>
      <c r="V690" s="91"/>
      <c r="W690" s="91"/>
      <c r="X690" s="91"/>
      <c r="Y690" s="91"/>
    </row>
    <row r="691" spans="1:25">
      <c r="A691" s="91"/>
      <c r="B691" s="94"/>
      <c r="C691" s="94"/>
      <c r="D691" s="91"/>
      <c r="E691" s="91"/>
      <c r="F691" s="91"/>
      <c r="G691" s="91"/>
      <c r="H691" s="91"/>
      <c r="I691" s="91"/>
      <c r="J691" s="91"/>
      <c r="K691" s="91"/>
      <c r="L691" s="91"/>
      <c r="M691" s="91"/>
      <c r="N691" s="91"/>
      <c r="O691" s="91"/>
      <c r="P691" s="91"/>
      <c r="Q691" s="91"/>
      <c r="R691" s="91"/>
      <c r="S691" s="91"/>
      <c r="T691" s="91"/>
      <c r="U691" s="91"/>
      <c r="V691" s="91"/>
      <c r="W691" s="91"/>
      <c r="X691" s="91"/>
      <c r="Y691" s="91"/>
    </row>
    <row r="692" spans="1:25">
      <c r="A692" s="91"/>
      <c r="B692" s="94"/>
      <c r="C692" s="94"/>
      <c r="D692" s="91"/>
      <c r="E692" s="91"/>
      <c r="F692" s="91"/>
      <c r="G692" s="91"/>
      <c r="H692" s="91"/>
      <c r="I692" s="91"/>
      <c r="J692" s="91"/>
      <c r="K692" s="91"/>
      <c r="L692" s="91"/>
      <c r="M692" s="91"/>
      <c r="N692" s="91"/>
      <c r="O692" s="91"/>
      <c r="P692" s="91"/>
      <c r="Q692" s="91"/>
      <c r="R692" s="91"/>
      <c r="S692" s="91"/>
      <c r="T692" s="91"/>
      <c r="U692" s="91"/>
      <c r="V692" s="91"/>
      <c r="W692" s="91"/>
      <c r="X692" s="91"/>
      <c r="Y692" s="91"/>
    </row>
    <row r="693" spans="1:25">
      <c r="A693" s="91"/>
      <c r="B693" s="94"/>
      <c r="C693" s="94"/>
      <c r="D693" s="91"/>
      <c r="E693" s="91"/>
      <c r="F693" s="91"/>
      <c r="G693" s="91"/>
      <c r="H693" s="91"/>
      <c r="I693" s="91"/>
      <c r="J693" s="91"/>
      <c r="K693" s="91"/>
      <c r="L693" s="91"/>
      <c r="M693" s="91"/>
      <c r="N693" s="91"/>
      <c r="O693" s="91"/>
      <c r="P693" s="91"/>
      <c r="Q693" s="91"/>
      <c r="R693" s="91"/>
      <c r="S693" s="91"/>
      <c r="T693" s="91"/>
      <c r="U693" s="91"/>
      <c r="V693" s="91"/>
      <c r="W693" s="91"/>
      <c r="X693" s="91"/>
      <c r="Y693" s="91"/>
    </row>
    <row r="694" spans="1:25">
      <c r="A694" s="91"/>
      <c r="B694" s="94"/>
      <c r="C694" s="94"/>
      <c r="D694" s="91"/>
      <c r="E694" s="91"/>
      <c r="F694" s="91"/>
      <c r="G694" s="91"/>
      <c r="H694" s="91"/>
      <c r="I694" s="91"/>
      <c r="J694" s="91"/>
      <c r="K694" s="91"/>
      <c r="L694" s="91"/>
      <c r="M694" s="91"/>
      <c r="N694" s="91"/>
      <c r="O694" s="91"/>
      <c r="P694" s="91"/>
      <c r="Q694" s="91"/>
      <c r="R694" s="91"/>
      <c r="S694" s="91"/>
      <c r="T694" s="91"/>
      <c r="U694" s="91"/>
      <c r="V694" s="91"/>
      <c r="W694" s="91"/>
      <c r="X694" s="91"/>
      <c r="Y694" s="91"/>
    </row>
    <row r="695" spans="1:25">
      <c r="A695" s="91"/>
      <c r="B695" s="94"/>
      <c r="C695" s="94"/>
      <c r="D695" s="91"/>
      <c r="E695" s="91"/>
      <c r="F695" s="91"/>
      <c r="G695" s="91"/>
      <c r="H695" s="91"/>
      <c r="I695" s="91"/>
      <c r="J695" s="91"/>
      <c r="K695" s="91"/>
      <c r="L695" s="91"/>
      <c r="M695" s="91"/>
      <c r="N695" s="91"/>
      <c r="O695" s="91"/>
      <c r="P695" s="91"/>
      <c r="Q695" s="91"/>
      <c r="R695" s="91"/>
      <c r="S695" s="91"/>
      <c r="T695" s="91"/>
      <c r="U695" s="91"/>
      <c r="V695" s="91"/>
      <c r="W695" s="91"/>
      <c r="X695" s="91"/>
      <c r="Y695" s="91"/>
    </row>
    <row r="696" spans="1:25">
      <c r="A696" s="91"/>
      <c r="B696" s="94"/>
      <c r="C696" s="94"/>
      <c r="D696" s="91"/>
      <c r="E696" s="91"/>
      <c r="F696" s="91"/>
      <c r="G696" s="91"/>
      <c r="H696" s="91"/>
      <c r="I696" s="91"/>
      <c r="J696" s="91"/>
      <c r="K696" s="91"/>
      <c r="L696" s="91"/>
      <c r="M696" s="91"/>
      <c r="N696" s="91"/>
      <c r="O696" s="91"/>
      <c r="P696" s="91"/>
      <c r="Q696" s="91"/>
      <c r="R696" s="91"/>
      <c r="S696" s="91"/>
      <c r="T696" s="91"/>
      <c r="U696" s="91"/>
      <c r="V696" s="91"/>
      <c r="W696" s="91"/>
      <c r="X696" s="91"/>
      <c r="Y696" s="91"/>
    </row>
    <row r="697" spans="1:25">
      <c r="A697" s="91"/>
      <c r="B697" s="94"/>
      <c r="C697" s="94"/>
      <c r="D697" s="91"/>
      <c r="E697" s="91"/>
      <c r="F697" s="91"/>
      <c r="G697" s="91"/>
      <c r="H697" s="91"/>
      <c r="I697" s="91"/>
      <c r="J697" s="91"/>
      <c r="K697" s="91"/>
      <c r="L697" s="91"/>
      <c r="M697" s="91"/>
      <c r="N697" s="91"/>
      <c r="O697" s="91"/>
      <c r="P697" s="91"/>
      <c r="Q697" s="91"/>
      <c r="R697" s="91"/>
      <c r="S697" s="91"/>
      <c r="T697" s="91"/>
      <c r="U697" s="91"/>
      <c r="V697" s="91"/>
      <c r="W697" s="91"/>
      <c r="X697" s="91"/>
      <c r="Y697" s="91"/>
    </row>
    <row r="698" spans="1:25">
      <c r="A698" s="91"/>
      <c r="B698" s="94"/>
      <c r="C698" s="94"/>
      <c r="D698" s="91"/>
      <c r="E698" s="91"/>
      <c r="F698" s="91"/>
      <c r="G698" s="91"/>
      <c r="H698" s="91"/>
      <c r="I698" s="91"/>
      <c r="J698" s="91"/>
      <c r="K698" s="91"/>
      <c r="L698" s="91"/>
      <c r="M698" s="91"/>
      <c r="N698" s="91"/>
      <c r="O698" s="91"/>
      <c r="P698" s="91"/>
      <c r="Q698" s="91"/>
      <c r="R698" s="91"/>
      <c r="S698" s="91"/>
      <c r="T698" s="91"/>
      <c r="U698" s="91"/>
      <c r="V698" s="91"/>
      <c r="W698" s="91"/>
      <c r="X698" s="91"/>
      <c r="Y698" s="91"/>
    </row>
    <row r="699" spans="1:25">
      <c r="A699" s="91"/>
      <c r="B699" s="94"/>
      <c r="C699" s="94"/>
      <c r="D699" s="91"/>
      <c r="E699" s="91"/>
      <c r="F699" s="91"/>
      <c r="G699" s="91"/>
      <c r="H699" s="91"/>
      <c r="I699" s="91"/>
      <c r="J699" s="91"/>
      <c r="K699" s="91"/>
      <c r="L699" s="91"/>
      <c r="M699" s="91"/>
      <c r="N699" s="91"/>
      <c r="O699" s="91"/>
      <c r="P699" s="91"/>
      <c r="Q699" s="91"/>
      <c r="R699" s="91"/>
      <c r="S699" s="91"/>
      <c r="T699" s="91"/>
      <c r="U699" s="91"/>
      <c r="V699" s="91"/>
      <c r="W699" s="91"/>
      <c r="X699" s="91"/>
      <c r="Y699" s="91"/>
    </row>
    <row r="700" spans="1:25">
      <c r="A700" s="91"/>
      <c r="B700" s="94"/>
      <c r="C700" s="94"/>
      <c r="D700" s="91"/>
      <c r="E700" s="91"/>
      <c r="F700" s="91"/>
      <c r="G700" s="91"/>
      <c r="H700" s="91"/>
      <c r="I700" s="91"/>
      <c r="J700" s="91"/>
      <c r="K700" s="91"/>
      <c r="L700" s="91"/>
      <c r="M700" s="91"/>
      <c r="N700" s="91"/>
      <c r="O700" s="91"/>
      <c r="P700" s="91"/>
      <c r="Q700" s="91"/>
      <c r="R700" s="91"/>
      <c r="S700" s="91"/>
      <c r="T700" s="91"/>
      <c r="U700" s="91"/>
      <c r="V700" s="91"/>
      <c r="W700" s="91"/>
      <c r="X700" s="91"/>
      <c r="Y700" s="91"/>
    </row>
    <row r="701" spans="1:25">
      <c r="A701" s="91"/>
      <c r="B701" s="94"/>
      <c r="C701" s="94"/>
      <c r="D701" s="91"/>
      <c r="E701" s="91"/>
      <c r="F701" s="91"/>
      <c r="G701" s="91"/>
      <c r="H701" s="91"/>
      <c r="I701" s="91"/>
      <c r="J701" s="91"/>
      <c r="K701" s="91"/>
      <c r="L701" s="91"/>
      <c r="M701" s="91"/>
      <c r="N701" s="91"/>
      <c r="O701" s="91"/>
      <c r="P701" s="91"/>
      <c r="Q701" s="91"/>
      <c r="R701" s="91"/>
      <c r="S701" s="91"/>
      <c r="T701" s="91"/>
      <c r="U701" s="91"/>
      <c r="V701" s="91"/>
      <c r="W701" s="91"/>
      <c r="X701" s="91"/>
      <c r="Y701" s="91"/>
    </row>
    <row r="702" spans="1:25">
      <c r="A702" s="91"/>
      <c r="B702" s="94"/>
      <c r="C702" s="94"/>
      <c r="D702" s="91"/>
      <c r="E702" s="91"/>
      <c r="F702" s="91"/>
      <c r="G702" s="91"/>
      <c r="H702" s="91"/>
      <c r="I702" s="91"/>
      <c r="J702" s="91"/>
      <c r="K702" s="91"/>
      <c r="L702" s="91"/>
      <c r="M702" s="91"/>
      <c r="N702" s="91"/>
      <c r="O702" s="91"/>
      <c r="P702" s="91"/>
      <c r="Q702" s="91"/>
      <c r="R702" s="91"/>
      <c r="S702" s="91"/>
      <c r="T702" s="91"/>
      <c r="U702" s="91"/>
      <c r="V702" s="91"/>
      <c r="W702" s="91"/>
      <c r="X702" s="91"/>
      <c r="Y702" s="91"/>
    </row>
    <row r="703" spans="1:25">
      <c r="A703" s="91"/>
      <c r="B703" s="94"/>
      <c r="C703" s="94"/>
      <c r="D703" s="91"/>
      <c r="E703" s="91"/>
      <c r="F703" s="91"/>
      <c r="G703" s="91"/>
      <c r="H703" s="91"/>
      <c r="I703" s="91"/>
      <c r="J703" s="91"/>
      <c r="K703" s="91"/>
      <c r="L703" s="91"/>
      <c r="M703" s="91"/>
      <c r="N703" s="91"/>
      <c r="O703" s="91"/>
      <c r="P703" s="91"/>
      <c r="Q703" s="91"/>
      <c r="R703" s="91"/>
      <c r="S703" s="91"/>
      <c r="T703" s="91"/>
      <c r="U703" s="91"/>
      <c r="V703" s="91"/>
      <c r="W703" s="91"/>
      <c r="X703" s="91"/>
      <c r="Y703" s="91"/>
    </row>
    <row r="704" spans="1:25">
      <c r="A704" s="91"/>
      <c r="B704" s="94"/>
      <c r="C704" s="94"/>
      <c r="D704" s="91"/>
      <c r="E704" s="91"/>
      <c r="F704" s="91"/>
      <c r="G704" s="91"/>
      <c r="H704" s="91"/>
      <c r="I704" s="91"/>
      <c r="J704" s="91"/>
      <c r="K704" s="91"/>
      <c r="L704" s="91"/>
      <c r="M704" s="91"/>
      <c r="N704" s="91"/>
      <c r="O704" s="91"/>
      <c r="P704" s="91"/>
      <c r="Q704" s="91"/>
      <c r="R704" s="91"/>
      <c r="S704" s="91"/>
      <c r="T704" s="91"/>
      <c r="U704" s="91"/>
      <c r="V704" s="91"/>
      <c r="W704" s="91"/>
      <c r="X704" s="91"/>
      <c r="Y704" s="91"/>
    </row>
    <row r="705" spans="1:25">
      <c r="A705" s="91"/>
      <c r="B705" s="94"/>
      <c r="C705" s="94"/>
      <c r="D705" s="91"/>
      <c r="E705" s="91"/>
      <c r="F705" s="91"/>
      <c r="G705" s="91"/>
      <c r="H705" s="91"/>
      <c r="I705" s="91"/>
      <c r="J705" s="91"/>
      <c r="K705" s="91"/>
      <c r="L705" s="91"/>
      <c r="M705" s="91"/>
      <c r="N705" s="91"/>
      <c r="O705" s="91"/>
      <c r="P705" s="91"/>
      <c r="Q705" s="91"/>
      <c r="R705" s="91"/>
      <c r="S705" s="91"/>
      <c r="T705" s="91"/>
      <c r="U705" s="91"/>
      <c r="V705" s="91"/>
      <c r="W705" s="91"/>
      <c r="X705" s="91"/>
      <c r="Y705" s="91"/>
    </row>
    <row r="706" spans="1:25">
      <c r="A706" s="91"/>
      <c r="B706" s="94"/>
      <c r="C706" s="94"/>
      <c r="D706" s="91"/>
      <c r="E706" s="91"/>
      <c r="F706" s="91"/>
      <c r="G706" s="91"/>
      <c r="H706" s="91"/>
      <c r="I706" s="91"/>
      <c r="J706" s="91"/>
      <c r="K706" s="91"/>
      <c r="L706" s="91"/>
      <c r="M706" s="91"/>
      <c r="N706" s="91"/>
      <c r="O706" s="91"/>
      <c r="P706" s="91"/>
      <c r="Q706" s="91"/>
      <c r="R706" s="91"/>
      <c r="S706" s="91"/>
      <c r="T706" s="91"/>
      <c r="U706" s="91"/>
      <c r="V706" s="91"/>
      <c r="W706" s="91"/>
      <c r="X706" s="91"/>
      <c r="Y706" s="91"/>
    </row>
    <row r="707" spans="1:25">
      <c r="A707" s="91"/>
      <c r="B707" s="94"/>
      <c r="C707" s="94"/>
      <c r="D707" s="91"/>
      <c r="E707" s="91"/>
      <c r="F707" s="91"/>
      <c r="G707" s="91"/>
      <c r="H707" s="91"/>
      <c r="I707" s="91"/>
      <c r="J707" s="91"/>
      <c r="K707" s="91"/>
      <c r="L707" s="91"/>
      <c r="M707" s="91"/>
      <c r="N707" s="91"/>
      <c r="O707" s="91"/>
      <c r="P707" s="91"/>
      <c r="Q707" s="91"/>
      <c r="R707" s="91"/>
      <c r="S707" s="91"/>
      <c r="T707" s="91"/>
      <c r="U707" s="91"/>
      <c r="V707" s="91"/>
      <c r="W707" s="91"/>
      <c r="X707" s="91"/>
      <c r="Y707" s="91"/>
    </row>
    <row r="708" spans="1:25">
      <c r="A708" s="91"/>
      <c r="B708" s="94"/>
      <c r="C708" s="94"/>
      <c r="D708" s="91"/>
      <c r="E708" s="91"/>
      <c r="F708" s="91"/>
      <c r="G708" s="91"/>
      <c r="H708" s="91"/>
      <c r="I708" s="91"/>
      <c r="J708" s="91"/>
      <c r="K708" s="91"/>
      <c r="L708" s="91"/>
      <c r="M708" s="91"/>
      <c r="N708" s="91"/>
      <c r="O708" s="91"/>
      <c r="P708" s="91"/>
      <c r="Q708" s="91"/>
      <c r="R708" s="91"/>
      <c r="S708" s="91"/>
      <c r="T708" s="91"/>
      <c r="U708" s="91"/>
      <c r="V708" s="91"/>
      <c r="W708" s="91"/>
      <c r="X708" s="91"/>
      <c r="Y708" s="91"/>
    </row>
    <row r="709" spans="1:25">
      <c r="A709" s="91"/>
      <c r="B709" s="94"/>
      <c r="C709" s="94"/>
      <c r="D709" s="91"/>
      <c r="E709" s="91"/>
      <c r="F709" s="91"/>
      <c r="G709" s="91"/>
      <c r="H709" s="91"/>
      <c r="I709" s="91"/>
      <c r="J709" s="91"/>
      <c r="K709" s="91"/>
      <c r="L709" s="91"/>
      <c r="M709" s="91"/>
      <c r="N709" s="91"/>
      <c r="O709" s="91"/>
      <c r="P709" s="91"/>
      <c r="Q709" s="91"/>
      <c r="R709" s="91"/>
      <c r="S709" s="91"/>
      <c r="T709" s="91"/>
      <c r="U709" s="91"/>
      <c r="V709" s="91"/>
      <c r="W709" s="91"/>
      <c r="X709" s="91"/>
      <c r="Y709" s="91"/>
    </row>
    <row r="710" spans="1:25">
      <c r="A710" s="91"/>
      <c r="B710" s="94"/>
      <c r="C710" s="94"/>
      <c r="D710" s="91"/>
      <c r="E710" s="91"/>
      <c r="F710" s="91"/>
      <c r="G710" s="91"/>
      <c r="H710" s="91"/>
      <c r="I710" s="91"/>
      <c r="J710" s="91"/>
      <c r="K710" s="91"/>
      <c r="L710" s="91"/>
      <c r="M710" s="91"/>
      <c r="N710" s="91"/>
      <c r="O710" s="91"/>
      <c r="P710" s="91"/>
      <c r="Q710" s="91"/>
      <c r="R710" s="91"/>
      <c r="S710" s="91"/>
      <c r="T710" s="91"/>
      <c r="U710" s="91"/>
      <c r="V710" s="91"/>
      <c r="W710" s="91"/>
      <c r="X710" s="91"/>
      <c r="Y710" s="91"/>
    </row>
    <row r="711" spans="1:25">
      <c r="A711" s="91"/>
      <c r="B711" s="94"/>
      <c r="C711" s="94"/>
      <c r="D711" s="91"/>
      <c r="E711" s="91"/>
      <c r="F711" s="91"/>
      <c r="G711" s="91"/>
      <c r="H711" s="91"/>
      <c r="I711" s="91"/>
      <c r="J711" s="91"/>
      <c r="K711" s="91"/>
      <c r="L711" s="91"/>
      <c r="M711" s="91"/>
      <c r="N711" s="91"/>
      <c r="O711" s="91"/>
      <c r="P711" s="91"/>
      <c r="Q711" s="91"/>
      <c r="R711" s="91"/>
      <c r="S711" s="91"/>
      <c r="T711" s="91"/>
      <c r="U711" s="91"/>
      <c r="V711" s="91"/>
      <c r="W711" s="91"/>
      <c r="X711" s="91"/>
      <c r="Y711" s="91"/>
    </row>
    <row r="712" spans="1:25">
      <c r="A712" s="91"/>
      <c r="B712" s="94"/>
      <c r="C712" s="94"/>
      <c r="D712" s="91"/>
      <c r="E712" s="91"/>
      <c r="F712" s="91"/>
      <c r="G712" s="91"/>
      <c r="H712" s="91"/>
      <c r="I712" s="91"/>
      <c r="J712" s="91"/>
      <c r="K712" s="91"/>
      <c r="L712" s="91"/>
      <c r="M712" s="91"/>
      <c r="N712" s="91"/>
      <c r="O712" s="91"/>
      <c r="P712" s="91"/>
      <c r="Q712" s="91"/>
      <c r="R712" s="91"/>
      <c r="S712" s="91"/>
      <c r="T712" s="91"/>
      <c r="U712" s="91"/>
      <c r="V712" s="91"/>
      <c r="W712" s="91"/>
      <c r="X712" s="91"/>
      <c r="Y712" s="91"/>
    </row>
    <row r="713" spans="1:25">
      <c r="A713" s="91"/>
      <c r="B713" s="94"/>
      <c r="C713" s="94"/>
      <c r="D713" s="91"/>
      <c r="E713" s="91"/>
      <c r="F713" s="91"/>
      <c r="G713" s="91"/>
      <c r="H713" s="91"/>
      <c r="I713" s="91"/>
      <c r="J713" s="91"/>
      <c r="K713" s="91"/>
      <c r="L713" s="91"/>
      <c r="M713" s="91"/>
      <c r="N713" s="91"/>
      <c r="O713" s="91"/>
      <c r="P713" s="91"/>
      <c r="Q713" s="91"/>
      <c r="R713" s="91"/>
      <c r="S713" s="91"/>
      <c r="T713" s="91"/>
      <c r="U713" s="91"/>
      <c r="V713" s="91"/>
      <c r="W713" s="91"/>
      <c r="X713" s="91"/>
      <c r="Y713" s="91"/>
    </row>
    <row r="714" spans="1:25">
      <c r="A714" s="91"/>
      <c r="B714" s="94"/>
      <c r="C714" s="94"/>
      <c r="D714" s="91"/>
      <c r="E714" s="91"/>
      <c r="F714" s="91"/>
      <c r="G714" s="91"/>
      <c r="H714" s="91"/>
      <c r="I714" s="91"/>
      <c r="J714" s="91"/>
      <c r="K714" s="91"/>
      <c r="L714" s="91"/>
      <c r="M714" s="91"/>
      <c r="N714" s="91"/>
      <c r="O714" s="91"/>
      <c r="P714" s="91"/>
      <c r="Q714" s="91"/>
      <c r="R714" s="91"/>
      <c r="S714" s="91"/>
      <c r="T714" s="91"/>
      <c r="U714" s="91"/>
      <c r="V714" s="91"/>
      <c r="W714" s="91"/>
      <c r="X714" s="91"/>
      <c r="Y714" s="91"/>
    </row>
    <row r="715" spans="1:25">
      <c r="A715" s="91"/>
      <c r="B715" s="94"/>
      <c r="C715" s="94"/>
      <c r="D715" s="91"/>
      <c r="E715" s="91"/>
      <c r="F715" s="91"/>
      <c r="G715" s="91"/>
      <c r="H715" s="91"/>
      <c r="I715" s="91"/>
      <c r="J715" s="91"/>
      <c r="K715" s="91"/>
      <c r="L715" s="91"/>
      <c r="M715" s="91"/>
      <c r="N715" s="91"/>
      <c r="O715" s="91"/>
      <c r="P715" s="91"/>
      <c r="Q715" s="91"/>
      <c r="R715" s="91"/>
      <c r="S715" s="91"/>
      <c r="T715" s="91"/>
      <c r="U715" s="91"/>
      <c r="V715" s="91"/>
      <c r="W715" s="91"/>
      <c r="X715" s="91"/>
      <c r="Y715" s="91"/>
    </row>
    <row r="716" spans="1:25">
      <c r="A716" s="91"/>
      <c r="B716" s="94"/>
      <c r="C716" s="94"/>
      <c r="D716" s="91"/>
      <c r="E716" s="91"/>
      <c r="F716" s="91"/>
      <c r="G716" s="91"/>
      <c r="H716" s="91"/>
      <c r="I716" s="91"/>
      <c r="J716" s="91"/>
      <c r="K716" s="91"/>
      <c r="L716" s="91"/>
      <c r="M716" s="91"/>
      <c r="N716" s="91"/>
      <c r="O716" s="91"/>
      <c r="P716" s="91"/>
      <c r="Q716" s="91"/>
      <c r="R716" s="91"/>
      <c r="S716" s="91"/>
      <c r="T716" s="91"/>
      <c r="U716" s="91"/>
      <c r="V716" s="91"/>
      <c r="W716" s="91"/>
      <c r="X716" s="91"/>
      <c r="Y716" s="91"/>
    </row>
    <row r="717" spans="1:25">
      <c r="A717" s="91"/>
      <c r="B717" s="94"/>
      <c r="C717" s="94"/>
      <c r="D717" s="91"/>
      <c r="E717" s="91"/>
      <c r="F717" s="91"/>
      <c r="G717" s="91"/>
      <c r="H717" s="91"/>
      <c r="I717" s="91"/>
      <c r="J717" s="91"/>
      <c r="K717" s="91"/>
      <c r="L717" s="91"/>
      <c r="M717" s="91"/>
      <c r="N717" s="91"/>
      <c r="O717" s="91"/>
      <c r="P717" s="91"/>
      <c r="Q717" s="91"/>
      <c r="R717" s="91"/>
      <c r="S717" s="91"/>
      <c r="T717" s="91"/>
      <c r="U717" s="91"/>
      <c r="V717" s="91"/>
      <c r="W717" s="91"/>
      <c r="X717" s="91"/>
      <c r="Y717" s="91"/>
    </row>
    <row r="718" spans="1:25">
      <c r="A718" s="91"/>
      <c r="B718" s="94"/>
      <c r="C718" s="94"/>
      <c r="D718" s="91"/>
      <c r="E718" s="91"/>
      <c r="F718" s="91"/>
      <c r="G718" s="91"/>
      <c r="H718" s="91"/>
      <c r="I718" s="91"/>
      <c r="J718" s="91"/>
      <c r="K718" s="91"/>
      <c r="L718" s="91"/>
      <c r="M718" s="91"/>
      <c r="N718" s="91"/>
      <c r="O718" s="91"/>
      <c r="P718" s="91"/>
      <c r="Q718" s="91"/>
      <c r="R718" s="91"/>
      <c r="S718" s="91"/>
      <c r="T718" s="91"/>
      <c r="U718" s="91"/>
      <c r="V718" s="91"/>
      <c r="W718" s="91"/>
      <c r="X718" s="91"/>
      <c r="Y718" s="91"/>
    </row>
    <row r="719" spans="1:25">
      <c r="A719" s="91"/>
      <c r="B719" s="94"/>
      <c r="C719" s="94"/>
      <c r="D719" s="91"/>
      <c r="E719" s="91"/>
      <c r="F719" s="91"/>
      <c r="G719" s="91"/>
      <c r="H719" s="91"/>
      <c r="I719" s="91"/>
      <c r="J719" s="91"/>
      <c r="K719" s="91"/>
      <c r="L719" s="91"/>
      <c r="M719" s="91"/>
      <c r="N719" s="91"/>
      <c r="O719" s="91"/>
      <c r="P719" s="91"/>
      <c r="Q719" s="91"/>
      <c r="R719" s="91"/>
      <c r="S719" s="91"/>
      <c r="T719" s="91"/>
      <c r="U719" s="91"/>
      <c r="V719" s="91"/>
      <c r="W719" s="91"/>
      <c r="X719" s="91"/>
      <c r="Y719" s="91"/>
    </row>
    <row r="720" spans="1:25">
      <c r="A720" s="91"/>
      <c r="B720" s="94"/>
      <c r="C720" s="94"/>
      <c r="D720" s="91"/>
      <c r="E720" s="91"/>
      <c r="F720" s="91"/>
      <c r="G720" s="91"/>
      <c r="H720" s="91"/>
      <c r="I720" s="91"/>
      <c r="J720" s="91"/>
      <c r="K720" s="91"/>
      <c r="L720" s="91"/>
      <c r="M720" s="91"/>
      <c r="N720" s="91"/>
      <c r="O720" s="91"/>
      <c r="P720" s="91"/>
      <c r="Q720" s="91"/>
      <c r="R720" s="91"/>
      <c r="S720" s="91"/>
      <c r="T720" s="91"/>
      <c r="U720" s="91"/>
      <c r="V720" s="91"/>
      <c r="W720" s="91"/>
      <c r="X720" s="91"/>
      <c r="Y720" s="91"/>
    </row>
    <row r="721" spans="1:25">
      <c r="A721" s="91"/>
      <c r="B721" s="94"/>
      <c r="C721" s="94"/>
      <c r="D721" s="91"/>
      <c r="E721" s="91"/>
      <c r="F721" s="91"/>
      <c r="G721" s="91"/>
      <c r="H721" s="91"/>
      <c r="I721" s="91"/>
      <c r="J721" s="91"/>
      <c r="K721" s="91"/>
      <c r="L721" s="91"/>
      <c r="M721" s="91"/>
      <c r="N721" s="91"/>
      <c r="O721" s="91"/>
      <c r="P721" s="91"/>
      <c r="Q721" s="91"/>
      <c r="R721" s="91"/>
      <c r="S721" s="91"/>
      <c r="T721" s="91"/>
      <c r="U721" s="91"/>
      <c r="V721" s="91"/>
      <c r="W721" s="91"/>
      <c r="X721" s="91"/>
      <c r="Y721" s="91"/>
    </row>
    <row r="722" spans="1:25">
      <c r="A722" s="91"/>
      <c r="B722" s="94"/>
      <c r="C722" s="94"/>
      <c r="D722" s="91"/>
      <c r="E722" s="91"/>
      <c r="F722" s="91"/>
      <c r="G722" s="91"/>
      <c r="H722" s="91"/>
      <c r="I722" s="91"/>
      <c r="J722" s="91"/>
      <c r="K722" s="91"/>
      <c r="L722" s="91"/>
      <c r="M722" s="91"/>
      <c r="N722" s="91"/>
      <c r="O722" s="91"/>
      <c r="P722" s="91"/>
      <c r="Q722" s="91"/>
      <c r="R722" s="91"/>
      <c r="S722" s="91"/>
      <c r="T722" s="91"/>
      <c r="U722" s="91"/>
      <c r="V722" s="91"/>
      <c r="W722" s="91"/>
      <c r="X722" s="91"/>
      <c r="Y722" s="91"/>
    </row>
    <row r="723" spans="1:25">
      <c r="A723" s="91"/>
      <c r="B723" s="94"/>
      <c r="C723" s="94"/>
      <c r="D723" s="91"/>
      <c r="E723" s="91"/>
      <c r="F723" s="91"/>
      <c r="G723" s="91"/>
      <c r="H723" s="91"/>
      <c r="I723" s="91"/>
      <c r="J723" s="91"/>
      <c r="K723" s="91"/>
      <c r="L723" s="91"/>
      <c r="M723" s="91"/>
      <c r="N723" s="91"/>
      <c r="O723" s="91"/>
      <c r="P723" s="91"/>
      <c r="Q723" s="91"/>
      <c r="R723" s="91"/>
      <c r="S723" s="91"/>
      <c r="T723" s="91"/>
      <c r="U723" s="91"/>
      <c r="V723" s="91"/>
      <c r="W723" s="91"/>
      <c r="X723" s="91"/>
      <c r="Y723" s="91"/>
    </row>
    <row r="724" spans="1:25">
      <c r="A724" s="91"/>
      <c r="B724" s="94"/>
      <c r="C724" s="94"/>
      <c r="D724" s="91"/>
      <c r="E724" s="91"/>
      <c r="F724" s="91"/>
      <c r="G724" s="91"/>
      <c r="H724" s="91"/>
      <c r="I724" s="91"/>
      <c r="J724" s="91"/>
      <c r="K724" s="91"/>
      <c r="L724" s="91"/>
      <c r="M724" s="91"/>
      <c r="N724" s="91"/>
      <c r="O724" s="91"/>
      <c r="P724" s="91"/>
      <c r="Q724" s="91"/>
      <c r="R724" s="91"/>
      <c r="S724" s="91"/>
      <c r="T724" s="91"/>
      <c r="U724" s="91"/>
      <c r="V724" s="91"/>
      <c r="W724" s="91"/>
      <c r="X724" s="91"/>
      <c r="Y724" s="91"/>
    </row>
    <row r="725" spans="1:25">
      <c r="A725" s="91"/>
      <c r="B725" s="94"/>
      <c r="C725" s="94"/>
      <c r="D725" s="91"/>
      <c r="E725" s="91"/>
      <c r="F725" s="91"/>
      <c r="G725" s="91"/>
      <c r="H725" s="91"/>
      <c r="I725" s="91"/>
      <c r="J725" s="91"/>
      <c r="K725" s="91"/>
      <c r="L725" s="91"/>
      <c r="M725" s="91"/>
      <c r="N725" s="91"/>
      <c r="O725" s="91"/>
      <c r="P725" s="91"/>
      <c r="Q725" s="91"/>
      <c r="R725" s="91"/>
      <c r="S725" s="91"/>
      <c r="T725" s="91"/>
      <c r="U725" s="91"/>
      <c r="V725" s="91"/>
      <c r="W725" s="91"/>
      <c r="X725" s="91"/>
      <c r="Y725" s="91"/>
    </row>
    <row r="726" spans="1:25">
      <c r="A726" s="91"/>
      <c r="B726" s="94"/>
      <c r="C726" s="94"/>
      <c r="D726" s="91"/>
      <c r="E726" s="91"/>
      <c r="F726" s="91"/>
      <c r="G726" s="91"/>
      <c r="H726" s="91"/>
      <c r="I726" s="91"/>
      <c r="J726" s="91"/>
      <c r="K726" s="91"/>
      <c r="L726" s="91"/>
      <c r="M726" s="91"/>
      <c r="N726" s="91"/>
      <c r="O726" s="91"/>
      <c r="P726" s="91"/>
      <c r="Q726" s="91"/>
      <c r="R726" s="91"/>
      <c r="S726" s="91"/>
      <c r="T726" s="91"/>
      <c r="U726" s="91"/>
      <c r="V726" s="91"/>
      <c r="W726" s="91"/>
      <c r="X726" s="91"/>
      <c r="Y726" s="91"/>
    </row>
    <row r="727" spans="1:25">
      <c r="A727" s="91"/>
      <c r="B727" s="94"/>
      <c r="C727" s="94"/>
      <c r="D727" s="91"/>
      <c r="E727" s="91"/>
      <c r="F727" s="91"/>
      <c r="G727" s="91"/>
      <c r="H727" s="91"/>
      <c r="I727" s="91"/>
      <c r="J727" s="91"/>
      <c r="K727" s="91"/>
      <c r="L727" s="91"/>
      <c r="M727" s="91"/>
      <c r="N727" s="91"/>
      <c r="O727" s="91"/>
      <c r="P727" s="91"/>
      <c r="Q727" s="91"/>
      <c r="R727" s="91"/>
      <c r="S727" s="91"/>
      <c r="T727" s="91"/>
      <c r="U727" s="91"/>
      <c r="V727" s="91"/>
      <c r="W727" s="91"/>
      <c r="X727" s="91"/>
      <c r="Y727" s="91"/>
    </row>
    <row r="728" spans="1:25">
      <c r="A728" s="91"/>
      <c r="B728" s="94"/>
      <c r="C728" s="94"/>
      <c r="D728" s="91"/>
      <c r="E728" s="91"/>
      <c r="F728" s="91"/>
      <c r="G728" s="91"/>
      <c r="H728" s="91"/>
      <c r="I728" s="91"/>
      <c r="J728" s="91"/>
      <c r="K728" s="91"/>
      <c r="L728" s="91"/>
      <c r="M728" s="91"/>
      <c r="N728" s="91"/>
      <c r="O728" s="91"/>
      <c r="P728" s="91"/>
      <c r="Q728" s="91"/>
      <c r="R728" s="91"/>
      <c r="S728" s="91"/>
      <c r="T728" s="91"/>
      <c r="U728" s="91"/>
      <c r="V728" s="91"/>
      <c r="W728" s="91"/>
      <c r="X728" s="91"/>
      <c r="Y728" s="91"/>
    </row>
    <row r="729" spans="1:25">
      <c r="A729" s="91"/>
      <c r="B729" s="94"/>
      <c r="C729" s="94"/>
      <c r="D729" s="91"/>
      <c r="E729" s="91"/>
      <c r="F729" s="91"/>
      <c r="G729" s="91"/>
      <c r="H729" s="91"/>
      <c r="I729" s="91"/>
      <c r="J729" s="91"/>
      <c r="K729" s="91"/>
      <c r="L729" s="91"/>
      <c r="M729" s="91"/>
      <c r="N729" s="91"/>
      <c r="O729" s="91"/>
      <c r="P729" s="91"/>
      <c r="Q729" s="91"/>
      <c r="R729" s="91"/>
      <c r="S729" s="91"/>
      <c r="T729" s="91"/>
      <c r="U729" s="91"/>
      <c r="V729" s="91"/>
      <c r="W729" s="91"/>
      <c r="X729" s="91"/>
      <c r="Y729" s="91"/>
    </row>
    <row r="730" spans="1:25">
      <c r="A730" s="91"/>
      <c r="B730" s="94"/>
      <c r="C730" s="94"/>
      <c r="D730" s="91"/>
      <c r="E730" s="91"/>
      <c r="F730" s="91"/>
      <c r="G730" s="91"/>
      <c r="H730" s="91"/>
      <c r="I730" s="91"/>
      <c r="J730" s="91"/>
      <c r="K730" s="91"/>
      <c r="L730" s="91"/>
      <c r="M730" s="91"/>
      <c r="N730" s="91"/>
      <c r="O730" s="91"/>
      <c r="P730" s="91"/>
      <c r="Q730" s="91"/>
      <c r="R730" s="91"/>
      <c r="S730" s="91"/>
      <c r="T730" s="91"/>
      <c r="U730" s="91"/>
      <c r="V730" s="91"/>
      <c r="W730" s="91"/>
      <c r="X730" s="91"/>
      <c r="Y730" s="91"/>
    </row>
    <row r="731" spans="1:25">
      <c r="A731" s="91"/>
      <c r="B731" s="94"/>
      <c r="C731" s="94"/>
      <c r="D731" s="91"/>
      <c r="E731" s="91"/>
      <c r="F731" s="91"/>
      <c r="G731" s="91"/>
      <c r="H731" s="91"/>
      <c r="I731" s="91"/>
      <c r="J731" s="91"/>
      <c r="K731" s="91"/>
      <c r="L731" s="91"/>
      <c r="M731" s="91"/>
      <c r="N731" s="91"/>
      <c r="O731" s="91"/>
      <c r="P731" s="91"/>
      <c r="Q731" s="91"/>
      <c r="R731" s="91"/>
      <c r="S731" s="91"/>
      <c r="T731" s="91"/>
      <c r="U731" s="91"/>
      <c r="V731" s="91"/>
      <c r="W731" s="91"/>
      <c r="X731" s="91"/>
      <c r="Y731" s="91"/>
    </row>
    <row r="732" spans="1:25">
      <c r="A732" s="91"/>
      <c r="B732" s="94"/>
      <c r="C732" s="94"/>
      <c r="D732" s="91"/>
      <c r="E732" s="91"/>
      <c r="F732" s="91"/>
      <c r="G732" s="91"/>
      <c r="H732" s="91"/>
      <c r="I732" s="91"/>
      <c r="J732" s="91"/>
      <c r="K732" s="91"/>
      <c r="L732" s="91"/>
      <c r="M732" s="91"/>
      <c r="N732" s="91"/>
      <c r="O732" s="91"/>
      <c r="P732" s="91"/>
      <c r="Q732" s="91"/>
      <c r="R732" s="91"/>
      <c r="S732" s="91"/>
      <c r="T732" s="91"/>
      <c r="U732" s="91"/>
      <c r="V732" s="91"/>
      <c r="W732" s="91"/>
      <c r="X732" s="91"/>
      <c r="Y732" s="91"/>
    </row>
    <row r="733" spans="1:25">
      <c r="A733" s="91"/>
      <c r="B733" s="94"/>
      <c r="C733" s="94"/>
      <c r="D733" s="91"/>
      <c r="E733" s="91"/>
      <c r="F733" s="91"/>
      <c r="G733" s="91"/>
      <c r="H733" s="91"/>
      <c r="I733" s="91"/>
      <c r="J733" s="91"/>
      <c r="K733" s="91"/>
      <c r="L733" s="91"/>
      <c r="M733" s="91"/>
      <c r="N733" s="91"/>
      <c r="O733" s="91"/>
      <c r="P733" s="91"/>
      <c r="Q733" s="91"/>
      <c r="R733" s="91"/>
      <c r="S733" s="91"/>
      <c r="T733" s="91"/>
      <c r="U733" s="91"/>
      <c r="V733" s="91"/>
      <c r="W733" s="91"/>
      <c r="X733" s="91"/>
      <c r="Y733" s="91"/>
    </row>
    <row r="734" spans="1:25">
      <c r="A734" s="91"/>
      <c r="B734" s="94"/>
      <c r="C734" s="94"/>
      <c r="D734" s="91"/>
      <c r="E734" s="91"/>
      <c r="F734" s="91"/>
      <c r="G734" s="91"/>
      <c r="H734" s="91"/>
      <c r="I734" s="91"/>
      <c r="J734" s="91"/>
      <c r="K734" s="91"/>
      <c r="L734" s="91"/>
      <c r="M734" s="91"/>
      <c r="N734" s="91"/>
      <c r="O734" s="91"/>
      <c r="P734" s="91"/>
      <c r="Q734" s="91"/>
      <c r="R734" s="91"/>
      <c r="S734" s="91"/>
      <c r="T734" s="91"/>
      <c r="U734" s="91"/>
      <c r="V734" s="91"/>
      <c r="W734" s="91"/>
      <c r="X734" s="91"/>
      <c r="Y734" s="91"/>
    </row>
    <row r="735" spans="1:25">
      <c r="A735" s="91"/>
      <c r="B735" s="94"/>
      <c r="C735" s="94"/>
      <c r="D735" s="91"/>
      <c r="E735" s="91"/>
      <c r="F735" s="91"/>
      <c r="G735" s="91"/>
      <c r="H735" s="91"/>
      <c r="I735" s="91"/>
      <c r="J735" s="91"/>
      <c r="K735" s="91"/>
      <c r="L735" s="91"/>
      <c r="M735" s="91"/>
      <c r="N735" s="91"/>
      <c r="O735" s="91"/>
      <c r="P735" s="91"/>
      <c r="Q735" s="91"/>
      <c r="R735" s="91"/>
      <c r="S735" s="91"/>
      <c r="T735" s="91"/>
      <c r="U735" s="91"/>
      <c r="V735" s="91"/>
      <c r="W735" s="91"/>
      <c r="X735" s="91"/>
      <c r="Y735" s="91"/>
    </row>
    <row r="736" spans="1:25">
      <c r="A736" s="91"/>
      <c r="B736" s="94"/>
      <c r="C736" s="94"/>
      <c r="D736" s="91"/>
      <c r="E736" s="91"/>
      <c r="F736" s="91"/>
      <c r="G736" s="91"/>
      <c r="H736" s="91"/>
      <c r="I736" s="91"/>
      <c r="J736" s="91"/>
      <c r="K736" s="91"/>
      <c r="L736" s="91"/>
      <c r="M736" s="91"/>
      <c r="N736" s="91"/>
      <c r="O736" s="91"/>
      <c r="P736" s="91"/>
      <c r="Q736" s="91"/>
      <c r="R736" s="91"/>
      <c r="S736" s="91"/>
      <c r="T736" s="91"/>
      <c r="U736" s="91"/>
      <c r="V736" s="91"/>
      <c r="W736" s="91"/>
      <c r="X736" s="91"/>
      <c r="Y736" s="91"/>
    </row>
    <row r="737" spans="1:25">
      <c r="A737" s="91"/>
      <c r="B737" s="94"/>
      <c r="C737" s="94"/>
      <c r="D737" s="91"/>
      <c r="E737" s="91"/>
      <c r="F737" s="91"/>
      <c r="G737" s="91"/>
      <c r="H737" s="91"/>
      <c r="I737" s="91"/>
      <c r="J737" s="91"/>
      <c r="K737" s="91"/>
      <c r="L737" s="91"/>
      <c r="M737" s="91"/>
      <c r="N737" s="91"/>
      <c r="O737" s="91"/>
      <c r="P737" s="91"/>
      <c r="Q737" s="91"/>
      <c r="R737" s="91"/>
      <c r="S737" s="91"/>
      <c r="T737" s="91"/>
      <c r="U737" s="91"/>
      <c r="V737" s="91"/>
      <c r="W737" s="91"/>
      <c r="X737" s="91"/>
      <c r="Y737" s="91"/>
    </row>
    <row r="738" spans="1:25">
      <c r="A738" s="91"/>
      <c r="B738" s="94"/>
      <c r="C738" s="94"/>
      <c r="D738" s="91"/>
      <c r="E738" s="91"/>
      <c r="F738" s="91"/>
      <c r="G738" s="91"/>
      <c r="H738" s="91"/>
      <c r="I738" s="91"/>
      <c r="J738" s="91"/>
      <c r="K738" s="91"/>
      <c r="L738" s="91"/>
      <c r="M738" s="91"/>
      <c r="N738" s="91"/>
      <c r="O738" s="91"/>
      <c r="P738" s="91"/>
      <c r="Q738" s="91"/>
      <c r="R738" s="91"/>
      <c r="S738" s="91"/>
      <c r="T738" s="91"/>
      <c r="U738" s="91"/>
      <c r="V738" s="91"/>
      <c r="W738" s="91"/>
      <c r="X738" s="91"/>
      <c r="Y738" s="91"/>
    </row>
    <row r="739" spans="1:25">
      <c r="A739" s="91"/>
      <c r="B739" s="94"/>
      <c r="C739" s="94"/>
      <c r="D739" s="91"/>
      <c r="E739" s="91"/>
      <c r="F739" s="91"/>
      <c r="G739" s="91"/>
      <c r="H739" s="91"/>
      <c r="I739" s="91"/>
      <c r="J739" s="91"/>
      <c r="K739" s="91"/>
      <c r="L739" s="91"/>
      <c r="M739" s="91"/>
      <c r="N739" s="91"/>
      <c r="O739" s="91"/>
      <c r="P739" s="91"/>
      <c r="Q739" s="91"/>
      <c r="R739" s="91"/>
      <c r="S739" s="91"/>
      <c r="T739" s="91"/>
      <c r="U739" s="91"/>
      <c r="V739" s="91"/>
      <c r="W739" s="91"/>
      <c r="X739" s="91"/>
      <c r="Y739" s="91"/>
    </row>
    <row r="740" spans="1:25">
      <c r="A740" s="91"/>
      <c r="B740" s="94"/>
      <c r="C740" s="94"/>
      <c r="D740" s="91"/>
      <c r="E740" s="91"/>
      <c r="F740" s="91"/>
      <c r="G740" s="91"/>
      <c r="H740" s="91"/>
      <c r="I740" s="91"/>
      <c r="J740" s="91"/>
      <c r="K740" s="91"/>
      <c r="L740" s="91"/>
      <c r="M740" s="91"/>
      <c r="N740" s="91"/>
      <c r="O740" s="91"/>
      <c r="P740" s="91"/>
      <c r="Q740" s="91"/>
      <c r="R740" s="91"/>
      <c r="S740" s="91"/>
      <c r="T740" s="91"/>
      <c r="U740" s="91"/>
      <c r="V740" s="91"/>
      <c r="W740" s="91"/>
      <c r="X740" s="91"/>
      <c r="Y740" s="91"/>
    </row>
    <row r="741" spans="1:25">
      <c r="A741" s="91"/>
      <c r="B741" s="94"/>
      <c r="C741" s="94"/>
      <c r="D741" s="91"/>
      <c r="E741" s="91"/>
      <c r="F741" s="91"/>
      <c r="G741" s="91"/>
      <c r="H741" s="91"/>
      <c r="I741" s="91"/>
      <c r="J741" s="91"/>
      <c r="K741" s="91"/>
      <c r="L741" s="91"/>
      <c r="M741" s="91"/>
      <c r="N741" s="91"/>
      <c r="O741" s="91"/>
      <c r="P741" s="91"/>
      <c r="Q741" s="91"/>
      <c r="R741" s="91"/>
      <c r="S741" s="91"/>
      <c r="T741" s="91"/>
      <c r="U741" s="91"/>
      <c r="V741" s="91"/>
      <c r="W741" s="91"/>
      <c r="X741" s="91"/>
      <c r="Y741" s="91"/>
    </row>
    <row r="742" spans="1:25">
      <c r="A742" s="91"/>
      <c r="B742" s="94"/>
      <c r="C742" s="94"/>
      <c r="D742" s="91"/>
      <c r="E742" s="91"/>
      <c r="F742" s="91"/>
      <c r="G742" s="91"/>
      <c r="H742" s="91"/>
      <c r="I742" s="91"/>
      <c r="J742" s="91"/>
      <c r="K742" s="91"/>
      <c r="L742" s="91"/>
      <c r="M742" s="91"/>
      <c r="N742" s="91"/>
      <c r="O742" s="91"/>
      <c r="P742" s="91"/>
      <c r="Q742" s="91"/>
      <c r="R742" s="91"/>
      <c r="S742" s="91"/>
      <c r="T742" s="91"/>
      <c r="U742" s="91"/>
      <c r="V742" s="91"/>
      <c r="W742" s="91"/>
      <c r="X742" s="91"/>
      <c r="Y742" s="91"/>
    </row>
    <row r="743" spans="1:25">
      <c r="A743" s="91"/>
      <c r="B743" s="94"/>
      <c r="C743" s="94"/>
      <c r="D743" s="91"/>
      <c r="E743" s="91"/>
      <c r="F743" s="91"/>
      <c r="G743" s="91"/>
      <c r="H743" s="91"/>
      <c r="I743" s="91"/>
      <c r="J743" s="91"/>
      <c r="K743" s="91"/>
      <c r="L743" s="91"/>
      <c r="M743" s="91"/>
      <c r="N743" s="91"/>
      <c r="O743" s="91"/>
      <c r="P743" s="91"/>
      <c r="Q743" s="91"/>
      <c r="R743" s="91"/>
      <c r="S743" s="91"/>
      <c r="T743" s="91"/>
      <c r="U743" s="91"/>
      <c r="V743" s="91"/>
      <c r="W743" s="91"/>
      <c r="X743" s="91"/>
      <c r="Y743" s="91"/>
    </row>
    <row r="744" spans="1:25">
      <c r="A744" s="91"/>
      <c r="B744" s="94"/>
      <c r="C744" s="94"/>
      <c r="D744" s="91"/>
      <c r="E744" s="91"/>
      <c r="F744" s="91"/>
      <c r="G744" s="91"/>
      <c r="H744" s="91"/>
      <c r="I744" s="91"/>
      <c r="J744" s="91"/>
      <c r="K744" s="91"/>
      <c r="L744" s="91"/>
      <c r="M744" s="91"/>
      <c r="N744" s="91"/>
      <c r="O744" s="91"/>
      <c r="P744" s="91"/>
      <c r="Q744" s="91"/>
      <c r="R744" s="91"/>
      <c r="S744" s="91"/>
      <c r="T744" s="91"/>
      <c r="U744" s="91"/>
      <c r="V744" s="91"/>
      <c r="W744" s="91"/>
      <c r="X744" s="91"/>
      <c r="Y744" s="91"/>
    </row>
    <row r="745" spans="1:25">
      <c r="A745" s="91"/>
      <c r="B745" s="94"/>
      <c r="C745" s="94"/>
      <c r="D745" s="91"/>
      <c r="E745" s="91"/>
      <c r="F745" s="91"/>
      <c r="G745" s="91"/>
      <c r="H745" s="91"/>
      <c r="I745" s="91"/>
      <c r="J745" s="91"/>
      <c r="K745" s="91"/>
      <c r="L745" s="91"/>
      <c r="M745" s="91"/>
      <c r="N745" s="91"/>
      <c r="O745" s="91"/>
      <c r="P745" s="91"/>
      <c r="Q745" s="91"/>
      <c r="R745" s="91"/>
      <c r="S745" s="91"/>
      <c r="T745" s="91"/>
      <c r="U745" s="91"/>
      <c r="V745" s="91"/>
      <c r="W745" s="91"/>
      <c r="X745" s="91"/>
      <c r="Y745" s="91"/>
    </row>
    <row r="746" spans="1:25">
      <c r="A746" s="91"/>
      <c r="B746" s="94"/>
      <c r="C746" s="94"/>
      <c r="D746" s="91"/>
      <c r="E746" s="91"/>
      <c r="F746" s="91"/>
      <c r="G746" s="91"/>
      <c r="H746" s="91"/>
      <c r="I746" s="91"/>
      <c r="J746" s="91"/>
      <c r="K746" s="91"/>
      <c r="L746" s="91"/>
      <c r="M746" s="91"/>
      <c r="N746" s="91"/>
      <c r="O746" s="91"/>
      <c r="P746" s="91"/>
      <c r="Q746" s="91"/>
      <c r="R746" s="91"/>
      <c r="S746" s="91"/>
      <c r="T746" s="91"/>
      <c r="U746" s="91"/>
      <c r="V746" s="91"/>
      <c r="W746" s="91"/>
      <c r="X746" s="91"/>
      <c r="Y746" s="91"/>
    </row>
    <row r="747" spans="1:25">
      <c r="A747" s="91"/>
      <c r="B747" s="94"/>
      <c r="C747" s="94"/>
      <c r="D747" s="91"/>
      <c r="E747" s="91"/>
      <c r="F747" s="91"/>
      <c r="G747" s="91"/>
      <c r="H747" s="91"/>
      <c r="I747" s="91"/>
      <c r="J747" s="91"/>
      <c r="K747" s="91"/>
      <c r="L747" s="91"/>
      <c r="M747" s="91"/>
      <c r="N747" s="91"/>
      <c r="O747" s="91"/>
      <c r="P747" s="91"/>
      <c r="Q747" s="91"/>
      <c r="R747" s="91"/>
      <c r="S747" s="91"/>
      <c r="T747" s="91"/>
      <c r="U747" s="91"/>
      <c r="V747" s="91"/>
      <c r="W747" s="91"/>
      <c r="X747" s="91"/>
      <c r="Y747" s="91"/>
    </row>
    <row r="748" spans="1:25">
      <c r="A748" s="91"/>
      <c r="B748" s="94"/>
      <c r="C748" s="94"/>
      <c r="D748" s="91"/>
      <c r="E748" s="91"/>
      <c r="F748" s="91"/>
      <c r="G748" s="91"/>
      <c r="H748" s="91"/>
      <c r="I748" s="91"/>
      <c r="J748" s="91"/>
      <c r="K748" s="91"/>
      <c r="L748" s="91"/>
      <c r="M748" s="91"/>
      <c r="N748" s="91"/>
      <c r="O748" s="91"/>
      <c r="P748" s="91"/>
      <c r="Q748" s="91"/>
      <c r="R748" s="91"/>
      <c r="S748" s="91"/>
      <c r="T748" s="91"/>
      <c r="U748" s="91"/>
      <c r="V748" s="91"/>
      <c r="W748" s="91"/>
      <c r="X748" s="91"/>
      <c r="Y748" s="91"/>
    </row>
    <row r="749" spans="1:25">
      <c r="A749" s="91"/>
      <c r="B749" s="94"/>
      <c r="C749" s="94"/>
      <c r="D749" s="91"/>
      <c r="E749" s="91"/>
      <c r="F749" s="91"/>
      <c r="G749" s="91"/>
      <c r="H749" s="91"/>
      <c r="I749" s="91"/>
      <c r="J749" s="91"/>
      <c r="K749" s="91"/>
      <c r="L749" s="91"/>
      <c r="M749" s="91"/>
      <c r="N749" s="91"/>
      <c r="O749" s="91"/>
      <c r="P749" s="91"/>
      <c r="Q749" s="91"/>
      <c r="R749" s="91"/>
      <c r="S749" s="91"/>
      <c r="T749" s="91"/>
      <c r="U749" s="91"/>
      <c r="V749" s="91"/>
      <c r="W749" s="91"/>
      <c r="X749" s="91"/>
      <c r="Y749" s="91"/>
    </row>
    <row r="750" spans="1:25">
      <c r="A750" s="91"/>
      <c r="B750" s="94"/>
      <c r="C750" s="94"/>
      <c r="D750" s="91"/>
      <c r="E750" s="91"/>
      <c r="F750" s="91"/>
      <c r="G750" s="91"/>
      <c r="H750" s="91"/>
      <c r="I750" s="91"/>
      <c r="J750" s="91"/>
      <c r="K750" s="91"/>
      <c r="L750" s="91"/>
      <c r="M750" s="91"/>
      <c r="N750" s="91"/>
      <c r="O750" s="91"/>
      <c r="P750" s="91"/>
      <c r="Q750" s="91"/>
      <c r="R750" s="91"/>
      <c r="S750" s="91"/>
      <c r="T750" s="91"/>
      <c r="U750" s="91"/>
      <c r="V750" s="91"/>
      <c r="W750" s="91"/>
      <c r="X750" s="91"/>
      <c r="Y750" s="91"/>
    </row>
    <row r="751" spans="1:25">
      <c r="A751" s="91"/>
      <c r="B751" s="94"/>
      <c r="C751" s="94"/>
      <c r="D751" s="91"/>
      <c r="E751" s="91"/>
      <c r="F751" s="91"/>
      <c r="G751" s="91"/>
      <c r="H751" s="91"/>
      <c r="I751" s="91"/>
      <c r="J751" s="91"/>
      <c r="K751" s="91"/>
      <c r="L751" s="91"/>
      <c r="M751" s="91"/>
      <c r="N751" s="91"/>
      <c r="O751" s="91"/>
      <c r="P751" s="91"/>
      <c r="Q751" s="91"/>
      <c r="R751" s="91"/>
      <c r="S751" s="91"/>
      <c r="T751" s="91"/>
      <c r="U751" s="91"/>
      <c r="V751" s="91"/>
      <c r="W751" s="91"/>
      <c r="X751" s="91"/>
      <c r="Y751" s="91"/>
    </row>
    <row r="752" spans="1:25">
      <c r="A752" s="91"/>
      <c r="B752" s="94"/>
      <c r="C752" s="94"/>
      <c r="D752" s="91"/>
      <c r="E752" s="91"/>
      <c r="F752" s="91"/>
      <c r="G752" s="91"/>
      <c r="H752" s="91"/>
      <c r="I752" s="91"/>
      <c r="J752" s="91"/>
      <c r="K752" s="91"/>
      <c r="L752" s="91"/>
      <c r="M752" s="91"/>
      <c r="N752" s="91"/>
      <c r="O752" s="91"/>
      <c r="P752" s="91"/>
      <c r="Q752" s="91"/>
      <c r="R752" s="91"/>
      <c r="S752" s="91"/>
      <c r="T752" s="91"/>
      <c r="U752" s="91"/>
      <c r="V752" s="91"/>
      <c r="W752" s="91"/>
      <c r="X752" s="91"/>
      <c r="Y752" s="91"/>
    </row>
    <row r="753" spans="1:25">
      <c r="A753" s="91"/>
      <c r="B753" s="94"/>
      <c r="C753" s="94"/>
      <c r="D753" s="91"/>
      <c r="E753" s="91"/>
      <c r="F753" s="91"/>
      <c r="G753" s="91"/>
      <c r="H753" s="91"/>
      <c r="I753" s="91"/>
      <c r="J753" s="91"/>
      <c r="K753" s="91"/>
      <c r="L753" s="91"/>
      <c r="M753" s="91"/>
      <c r="N753" s="91"/>
      <c r="O753" s="91"/>
      <c r="P753" s="91"/>
      <c r="Q753" s="91"/>
      <c r="R753" s="91"/>
      <c r="S753" s="91"/>
      <c r="T753" s="91"/>
      <c r="U753" s="91"/>
      <c r="V753" s="91"/>
      <c r="W753" s="91"/>
      <c r="X753" s="91"/>
      <c r="Y753" s="91"/>
    </row>
    <row r="754" spans="1:25">
      <c r="A754" s="91"/>
      <c r="B754" s="94"/>
      <c r="C754" s="94"/>
      <c r="D754" s="91"/>
      <c r="E754" s="91"/>
      <c r="F754" s="91"/>
      <c r="G754" s="91"/>
      <c r="H754" s="91"/>
      <c r="I754" s="91"/>
      <c r="J754" s="91"/>
      <c r="K754" s="91"/>
      <c r="L754" s="91"/>
      <c r="M754" s="91"/>
      <c r="N754" s="91"/>
      <c r="O754" s="91"/>
      <c r="P754" s="91"/>
      <c r="Q754" s="91"/>
      <c r="R754" s="91"/>
      <c r="S754" s="91"/>
      <c r="T754" s="91"/>
      <c r="U754" s="91"/>
      <c r="V754" s="91"/>
      <c r="W754" s="91"/>
      <c r="X754" s="91"/>
      <c r="Y754" s="91"/>
    </row>
    <row r="755" spans="1:25">
      <c r="A755" s="91"/>
      <c r="B755" s="94"/>
      <c r="C755" s="94"/>
      <c r="D755" s="91"/>
      <c r="E755" s="91"/>
      <c r="F755" s="91"/>
      <c r="G755" s="91"/>
      <c r="H755" s="91"/>
      <c r="I755" s="91"/>
      <c r="J755" s="91"/>
      <c r="K755" s="91"/>
      <c r="L755" s="91"/>
      <c r="M755" s="91"/>
      <c r="N755" s="91"/>
      <c r="O755" s="91"/>
      <c r="P755" s="91"/>
      <c r="Q755" s="91"/>
      <c r="R755" s="91"/>
      <c r="S755" s="91"/>
      <c r="T755" s="91"/>
      <c r="U755" s="91"/>
      <c r="V755" s="91"/>
      <c r="W755" s="91"/>
      <c r="X755" s="91"/>
      <c r="Y755" s="91"/>
    </row>
    <row r="756" spans="1:25">
      <c r="A756" s="91"/>
      <c r="B756" s="94"/>
      <c r="C756" s="94"/>
      <c r="D756" s="91"/>
      <c r="E756" s="91"/>
      <c r="F756" s="91"/>
      <c r="G756" s="91"/>
      <c r="H756" s="91"/>
      <c r="I756" s="91"/>
      <c r="J756" s="91"/>
      <c r="K756" s="91"/>
      <c r="L756" s="91"/>
      <c r="M756" s="91"/>
      <c r="N756" s="91"/>
      <c r="O756" s="91"/>
      <c r="P756" s="91"/>
      <c r="Q756" s="91"/>
      <c r="R756" s="91"/>
      <c r="S756" s="91"/>
      <c r="T756" s="91"/>
      <c r="U756" s="91"/>
      <c r="V756" s="91"/>
      <c r="W756" s="91"/>
      <c r="X756" s="91"/>
      <c r="Y756" s="91"/>
    </row>
    <row r="757" spans="1:25">
      <c r="A757" s="91"/>
      <c r="B757" s="94"/>
      <c r="C757" s="94"/>
      <c r="D757" s="91"/>
      <c r="E757" s="91"/>
      <c r="F757" s="91"/>
      <c r="G757" s="91"/>
      <c r="H757" s="91"/>
      <c r="I757" s="91"/>
      <c r="J757" s="91"/>
      <c r="K757" s="91"/>
      <c r="L757" s="91"/>
      <c r="M757" s="91"/>
      <c r="N757" s="91"/>
      <c r="O757" s="91"/>
      <c r="P757" s="91"/>
      <c r="Q757" s="91"/>
      <c r="R757" s="91"/>
      <c r="S757" s="91"/>
      <c r="T757" s="91"/>
      <c r="U757" s="91"/>
      <c r="V757" s="91"/>
      <c r="W757" s="91"/>
      <c r="X757" s="91"/>
      <c r="Y757" s="91"/>
    </row>
    <row r="758" spans="1:25">
      <c r="A758" s="91"/>
      <c r="B758" s="94"/>
      <c r="C758" s="94"/>
      <c r="D758" s="91"/>
      <c r="E758" s="91"/>
      <c r="F758" s="91"/>
      <c r="G758" s="91"/>
      <c r="H758" s="91"/>
      <c r="I758" s="91"/>
      <c r="J758" s="91"/>
      <c r="K758" s="91"/>
      <c r="L758" s="91"/>
      <c r="M758" s="91"/>
      <c r="N758" s="91"/>
      <c r="O758" s="91"/>
      <c r="P758" s="91"/>
      <c r="Q758" s="91"/>
      <c r="R758" s="91"/>
      <c r="S758" s="91"/>
      <c r="T758" s="91"/>
      <c r="U758" s="91"/>
      <c r="V758" s="91"/>
      <c r="W758" s="91"/>
      <c r="X758" s="91"/>
      <c r="Y758" s="91"/>
    </row>
    <row r="759" spans="1:25">
      <c r="A759" s="91"/>
      <c r="B759" s="94"/>
      <c r="C759" s="94"/>
      <c r="D759" s="91"/>
      <c r="E759" s="91"/>
      <c r="F759" s="91"/>
      <c r="G759" s="91"/>
      <c r="H759" s="91"/>
      <c r="I759" s="91"/>
      <c r="J759" s="91"/>
      <c r="K759" s="91"/>
      <c r="L759" s="91"/>
      <c r="M759" s="91"/>
      <c r="N759" s="91"/>
      <c r="O759" s="91"/>
      <c r="P759" s="91"/>
      <c r="Q759" s="91"/>
      <c r="R759" s="91"/>
      <c r="S759" s="91"/>
      <c r="T759" s="91"/>
      <c r="U759" s="91"/>
      <c r="V759" s="91"/>
      <c r="W759" s="91"/>
      <c r="X759" s="91"/>
      <c r="Y759" s="91"/>
    </row>
    <row r="760" spans="1:25">
      <c r="A760" s="91"/>
      <c r="B760" s="94"/>
      <c r="C760" s="94"/>
      <c r="D760" s="91"/>
      <c r="E760" s="91"/>
      <c r="F760" s="91"/>
      <c r="G760" s="91"/>
      <c r="H760" s="91"/>
      <c r="I760" s="91"/>
      <c r="J760" s="91"/>
      <c r="K760" s="91"/>
      <c r="L760" s="91"/>
      <c r="M760" s="91"/>
      <c r="N760" s="91"/>
      <c r="O760" s="91"/>
      <c r="P760" s="91"/>
      <c r="Q760" s="91"/>
      <c r="R760" s="91"/>
      <c r="S760" s="91"/>
      <c r="T760" s="91"/>
      <c r="U760" s="91"/>
      <c r="V760" s="91"/>
      <c r="W760" s="91"/>
      <c r="X760" s="91"/>
      <c r="Y760" s="91"/>
    </row>
    <row r="761" spans="1:25">
      <c r="A761" s="91"/>
      <c r="B761" s="94"/>
      <c r="C761" s="94"/>
      <c r="D761" s="91"/>
      <c r="E761" s="91"/>
      <c r="F761" s="91"/>
      <c r="G761" s="91"/>
      <c r="H761" s="91"/>
      <c r="I761" s="91"/>
      <c r="J761" s="91"/>
      <c r="K761" s="91"/>
      <c r="L761" s="91"/>
      <c r="M761" s="91"/>
      <c r="N761" s="91"/>
      <c r="O761" s="91"/>
      <c r="P761" s="91"/>
      <c r="Q761" s="91"/>
      <c r="R761" s="91"/>
      <c r="S761" s="91"/>
      <c r="T761" s="91"/>
      <c r="U761" s="91"/>
      <c r="V761" s="91"/>
      <c r="W761" s="91"/>
      <c r="X761" s="91"/>
      <c r="Y761" s="91"/>
    </row>
    <row r="762" spans="1:25">
      <c r="A762" s="91"/>
      <c r="B762" s="94"/>
      <c r="C762" s="94"/>
      <c r="D762" s="91"/>
      <c r="E762" s="91"/>
      <c r="F762" s="91"/>
      <c r="G762" s="91"/>
      <c r="H762" s="91"/>
      <c r="I762" s="91"/>
      <c r="J762" s="91"/>
      <c r="K762" s="91"/>
      <c r="L762" s="91"/>
      <c r="M762" s="91"/>
      <c r="N762" s="91"/>
      <c r="O762" s="91"/>
      <c r="P762" s="91"/>
      <c r="Q762" s="91"/>
      <c r="R762" s="91"/>
      <c r="S762" s="91"/>
      <c r="T762" s="91"/>
      <c r="U762" s="91"/>
      <c r="V762" s="91"/>
      <c r="W762" s="91"/>
      <c r="X762" s="91"/>
      <c r="Y762" s="91"/>
    </row>
    <row r="763" spans="1:25">
      <c r="A763" s="91"/>
      <c r="B763" s="94"/>
      <c r="C763" s="94"/>
      <c r="D763" s="91"/>
      <c r="E763" s="91"/>
      <c r="F763" s="91"/>
      <c r="G763" s="91"/>
      <c r="H763" s="91"/>
      <c r="I763" s="91"/>
      <c r="J763" s="91"/>
      <c r="K763" s="91"/>
      <c r="L763" s="91"/>
      <c r="M763" s="91"/>
      <c r="N763" s="91"/>
      <c r="O763" s="91"/>
      <c r="P763" s="91"/>
      <c r="Q763" s="91"/>
      <c r="R763" s="91"/>
      <c r="S763" s="91"/>
      <c r="T763" s="91"/>
      <c r="U763" s="91"/>
      <c r="V763" s="91"/>
      <c r="W763" s="91"/>
      <c r="X763" s="91"/>
      <c r="Y763" s="91"/>
    </row>
    <row r="764" spans="1:25">
      <c r="A764" s="91"/>
      <c r="B764" s="94"/>
      <c r="C764" s="94"/>
      <c r="D764" s="91"/>
      <c r="E764" s="91"/>
      <c r="F764" s="91"/>
      <c r="G764" s="91"/>
      <c r="H764" s="91"/>
      <c r="I764" s="91"/>
      <c r="J764" s="91"/>
      <c r="K764" s="91"/>
      <c r="L764" s="91"/>
      <c r="M764" s="91"/>
      <c r="N764" s="91"/>
      <c r="O764" s="91"/>
      <c r="P764" s="91"/>
      <c r="Q764" s="91"/>
      <c r="R764" s="91"/>
      <c r="S764" s="91"/>
      <c r="T764" s="91"/>
      <c r="U764" s="91"/>
      <c r="V764" s="91"/>
      <c r="W764" s="91"/>
      <c r="X764" s="91"/>
      <c r="Y764" s="91"/>
    </row>
    <row r="765" spans="1:25">
      <c r="A765" s="91"/>
      <c r="B765" s="94"/>
      <c r="C765" s="94"/>
      <c r="D765" s="91"/>
      <c r="E765" s="91"/>
      <c r="F765" s="91"/>
      <c r="G765" s="91"/>
      <c r="H765" s="91"/>
      <c r="I765" s="91"/>
      <c r="J765" s="91"/>
      <c r="K765" s="91"/>
      <c r="L765" s="91"/>
      <c r="M765" s="91"/>
      <c r="N765" s="91"/>
      <c r="O765" s="91"/>
      <c r="P765" s="91"/>
      <c r="Q765" s="91"/>
      <c r="R765" s="91"/>
      <c r="S765" s="91"/>
      <c r="T765" s="91"/>
      <c r="U765" s="91"/>
      <c r="V765" s="91"/>
      <c r="W765" s="91"/>
      <c r="X765" s="91"/>
      <c r="Y765" s="91"/>
    </row>
    <row r="766" spans="1:25">
      <c r="A766" s="91"/>
      <c r="B766" s="94"/>
      <c r="C766" s="94"/>
      <c r="D766" s="91"/>
      <c r="E766" s="91"/>
      <c r="F766" s="91"/>
      <c r="G766" s="91"/>
      <c r="H766" s="91"/>
      <c r="I766" s="91"/>
      <c r="J766" s="91"/>
      <c r="K766" s="91"/>
      <c r="L766" s="91"/>
      <c r="M766" s="91"/>
      <c r="N766" s="91"/>
      <c r="O766" s="91"/>
      <c r="P766" s="91"/>
      <c r="Q766" s="91"/>
      <c r="R766" s="91"/>
      <c r="S766" s="91"/>
      <c r="T766" s="91"/>
      <c r="U766" s="91"/>
      <c r="V766" s="91"/>
      <c r="W766" s="91"/>
      <c r="X766" s="91"/>
      <c r="Y766" s="91"/>
    </row>
    <row r="767" spans="1:25">
      <c r="A767" s="91"/>
      <c r="B767" s="94"/>
      <c r="C767" s="94"/>
      <c r="D767" s="91"/>
      <c r="E767" s="91"/>
      <c r="F767" s="91"/>
      <c r="G767" s="91"/>
      <c r="H767" s="91"/>
      <c r="I767" s="91"/>
      <c r="J767" s="91"/>
      <c r="K767" s="91"/>
      <c r="L767" s="91"/>
      <c r="M767" s="91"/>
      <c r="N767" s="91"/>
      <c r="O767" s="91"/>
      <c r="P767" s="91"/>
      <c r="Q767" s="91"/>
      <c r="R767" s="91"/>
      <c r="S767" s="91"/>
      <c r="T767" s="91"/>
      <c r="U767" s="91"/>
      <c r="V767" s="91"/>
      <c r="W767" s="91"/>
      <c r="X767" s="91"/>
      <c r="Y767" s="91"/>
    </row>
    <row r="768" spans="1:25">
      <c r="A768" s="91"/>
      <c r="B768" s="94"/>
      <c r="C768" s="94"/>
      <c r="D768" s="91"/>
      <c r="E768" s="91"/>
      <c r="F768" s="91"/>
      <c r="G768" s="91"/>
      <c r="H768" s="91"/>
      <c r="I768" s="91"/>
      <c r="J768" s="91"/>
      <c r="K768" s="91"/>
      <c r="L768" s="91"/>
      <c r="M768" s="91"/>
      <c r="N768" s="91"/>
      <c r="O768" s="91"/>
      <c r="P768" s="91"/>
      <c r="Q768" s="91"/>
      <c r="R768" s="91"/>
      <c r="S768" s="91"/>
      <c r="T768" s="91"/>
      <c r="U768" s="91"/>
      <c r="V768" s="91"/>
      <c r="W768" s="91"/>
      <c r="X768" s="91"/>
      <c r="Y768" s="91"/>
    </row>
    <row r="769" spans="1:25">
      <c r="A769" s="91"/>
      <c r="B769" s="94"/>
      <c r="C769" s="94"/>
      <c r="D769" s="91"/>
      <c r="E769" s="91"/>
      <c r="F769" s="91"/>
      <c r="G769" s="91"/>
      <c r="H769" s="91"/>
      <c r="I769" s="91"/>
      <c r="J769" s="91"/>
      <c r="K769" s="91"/>
      <c r="L769" s="91"/>
      <c r="M769" s="91"/>
      <c r="N769" s="91"/>
      <c r="O769" s="91"/>
      <c r="P769" s="91"/>
      <c r="Q769" s="91"/>
      <c r="R769" s="91"/>
      <c r="S769" s="91"/>
      <c r="T769" s="91"/>
      <c r="U769" s="91"/>
      <c r="V769" s="91"/>
      <c r="W769" s="91"/>
      <c r="X769" s="91"/>
      <c r="Y769" s="91"/>
    </row>
    <row r="770" spans="1:25">
      <c r="A770" s="91"/>
      <c r="B770" s="94"/>
      <c r="C770" s="94"/>
      <c r="D770" s="91"/>
      <c r="E770" s="91"/>
      <c r="F770" s="91"/>
      <c r="G770" s="91"/>
      <c r="H770" s="91"/>
      <c r="I770" s="91"/>
      <c r="J770" s="91"/>
      <c r="K770" s="91"/>
      <c r="L770" s="91"/>
      <c r="M770" s="91"/>
      <c r="N770" s="91"/>
      <c r="O770" s="91"/>
      <c r="P770" s="91"/>
      <c r="Q770" s="91"/>
      <c r="R770" s="91"/>
      <c r="S770" s="91"/>
      <c r="T770" s="91"/>
      <c r="U770" s="91"/>
      <c r="V770" s="91"/>
      <c r="W770" s="91"/>
      <c r="X770" s="91"/>
      <c r="Y770" s="91"/>
    </row>
    <row r="771" spans="1:25">
      <c r="A771" s="91"/>
      <c r="B771" s="94"/>
      <c r="C771" s="94"/>
      <c r="D771" s="91"/>
      <c r="E771" s="91"/>
      <c r="F771" s="91"/>
      <c r="G771" s="91"/>
      <c r="H771" s="91"/>
      <c r="I771" s="91"/>
      <c r="J771" s="91"/>
      <c r="K771" s="91"/>
      <c r="L771" s="91"/>
      <c r="M771" s="91"/>
      <c r="N771" s="91"/>
      <c r="O771" s="91"/>
      <c r="P771" s="91"/>
      <c r="Q771" s="91"/>
      <c r="R771" s="91"/>
      <c r="S771" s="91"/>
      <c r="T771" s="91"/>
      <c r="U771" s="91"/>
      <c r="V771" s="91"/>
      <c r="W771" s="91"/>
      <c r="X771" s="91"/>
      <c r="Y771" s="91"/>
    </row>
    <row r="772" spans="1:25">
      <c r="A772" s="91"/>
      <c r="B772" s="94"/>
      <c r="C772" s="94"/>
      <c r="D772" s="91"/>
      <c r="E772" s="91"/>
      <c r="F772" s="91"/>
      <c r="G772" s="91"/>
      <c r="H772" s="91"/>
      <c r="I772" s="91"/>
      <c r="J772" s="91"/>
      <c r="K772" s="91"/>
      <c r="L772" s="91"/>
      <c r="M772" s="91"/>
      <c r="N772" s="91"/>
      <c r="O772" s="91"/>
      <c r="P772" s="91"/>
      <c r="Q772" s="91"/>
      <c r="R772" s="91"/>
      <c r="S772" s="91"/>
      <c r="T772" s="91"/>
      <c r="U772" s="91"/>
      <c r="V772" s="91"/>
      <c r="W772" s="91"/>
      <c r="X772" s="91"/>
      <c r="Y772" s="91"/>
    </row>
    <row r="773" spans="1:25">
      <c r="A773" s="91"/>
      <c r="B773" s="94"/>
      <c r="C773" s="94"/>
      <c r="D773" s="91"/>
      <c r="E773" s="91"/>
      <c r="F773" s="91"/>
      <c r="G773" s="91"/>
      <c r="H773" s="91"/>
      <c r="I773" s="91"/>
      <c r="J773" s="91"/>
      <c r="K773" s="91"/>
      <c r="L773" s="91"/>
      <c r="M773" s="91"/>
      <c r="N773" s="91"/>
      <c r="O773" s="91"/>
      <c r="P773" s="91"/>
      <c r="Q773" s="91"/>
      <c r="R773" s="91"/>
      <c r="S773" s="91"/>
      <c r="T773" s="91"/>
      <c r="U773" s="91"/>
      <c r="V773" s="91"/>
      <c r="W773" s="91"/>
      <c r="X773" s="91"/>
      <c r="Y773" s="91"/>
    </row>
    <row r="774" spans="1:25">
      <c r="A774" s="91"/>
      <c r="B774" s="94"/>
      <c r="C774" s="94"/>
      <c r="D774" s="91"/>
      <c r="E774" s="91"/>
      <c r="F774" s="91"/>
      <c r="G774" s="91"/>
      <c r="H774" s="91"/>
      <c r="I774" s="91"/>
      <c r="J774" s="91"/>
      <c r="K774" s="91"/>
      <c r="L774" s="91"/>
      <c r="M774" s="91"/>
      <c r="N774" s="91"/>
      <c r="O774" s="91"/>
      <c r="P774" s="91"/>
      <c r="Q774" s="91"/>
      <c r="R774" s="91"/>
      <c r="S774" s="91"/>
      <c r="T774" s="91"/>
      <c r="U774" s="91"/>
      <c r="V774" s="91"/>
      <c r="W774" s="91"/>
      <c r="X774" s="91"/>
      <c r="Y774" s="91"/>
    </row>
    <row r="775" spans="1:25">
      <c r="A775" s="91"/>
      <c r="B775" s="94"/>
      <c r="C775" s="94"/>
      <c r="D775" s="91"/>
      <c r="E775" s="91"/>
      <c r="F775" s="91"/>
      <c r="G775" s="91"/>
      <c r="H775" s="91"/>
      <c r="I775" s="91"/>
      <c r="J775" s="91"/>
      <c r="K775" s="91"/>
      <c r="L775" s="91"/>
      <c r="M775" s="91"/>
      <c r="N775" s="91"/>
      <c r="O775" s="91"/>
      <c r="P775" s="91"/>
      <c r="Q775" s="91"/>
      <c r="R775" s="91"/>
      <c r="S775" s="91"/>
      <c r="T775" s="91"/>
      <c r="U775" s="91"/>
      <c r="V775" s="91"/>
      <c r="W775" s="91"/>
      <c r="X775" s="91"/>
      <c r="Y775" s="91"/>
    </row>
    <row r="776" spans="1:25">
      <c r="A776" s="91"/>
      <c r="B776" s="94"/>
      <c r="C776" s="94"/>
      <c r="D776" s="91"/>
      <c r="E776" s="91"/>
      <c r="F776" s="91"/>
      <c r="G776" s="91"/>
      <c r="H776" s="91"/>
      <c r="I776" s="91"/>
      <c r="J776" s="91"/>
      <c r="K776" s="91"/>
      <c r="L776" s="91"/>
      <c r="M776" s="91"/>
      <c r="N776" s="91"/>
      <c r="O776" s="91"/>
      <c r="P776" s="91"/>
      <c r="Q776" s="91"/>
      <c r="R776" s="91"/>
      <c r="S776" s="91"/>
      <c r="T776" s="91"/>
      <c r="U776" s="91"/>
      <c r="V776" s="91"/>
      <c r="W776" s="91"/>
      <c r="X776" s="91"/>
      <c r="Y776" s="91"/>
    </row>
    <row r="777" spans="1:25">
      <c r="A777" s="91"/>
      <c r="B777" s="94"/>
      <c r="C777" s="94"/>
      <c r="D777" s="91"/>
      <c r="E777" s="91"/>
      <c r="F777" s="91"/>
      <c r="G777" s="91"/>
      <c r="H777" s="91"/>
      <c r="I777" s="91"/>
      <c r="J777" s="91"/>
      <c r="K777" s="91"/>
      <c r="L777" s="91"/>
      <c r="M777" s="91"/>
      <c r="N777" s="91"/>
      <c r="O777" s="91"/>
      <c r="P777" s="91"/>
      <c r="Q777" s="91"/>
      <c r="R777" s="91"/>
      <c r="S777" s="91"/>
      <c r="T777" s="91"/>
      <c r="U777" s="91"/>
      <c r="V777" s="91"/>
      <c r="W777" s="91"/>
      <c r="X777" s="91"/>
      <c r="Y777" s="91"/>
    </row>
    <row r="778" spans="1:25">
      <c r="A778" s="91"/>
      <c r="B778" s="94"/>
      <c r="C778" s="94"/>
      <c r="D778" s="91"/>
      <c r="E778" s="91"/>
      <c r="F778" s="91"/>
      <c r="G778" s="91"/>
      <c r="H778" s="91"/>
      <c r="I778" s="91"/>
      <c r="J778" s="91"/>
      <c r="K778" s="91"/>
      <c r="L778" s="91"/>
      <c r="M778" s="91"/>
      <c r="N778" s="91"/>
      <c r="O778" s="91"/>
      <c r="P778" s="91"/>
      <c r="Q778" s="91"/>
      <c r="R778" s="91"/>
      <c r="S778" s="91"/>
      <c r="T778" s="91"/>
      <c r="U778" s="91"/>
      <c r="V778" s="91"/>
      <c r="W778" s="91"/>
      <c r="X778" s="91"/>
      <c r="Y778" s="91"/>
    </row>
    <row r="779" spans="1:25">
      <c r="A779" s="91"/>
      <c r="B779" s="94"/>
      <c r="C779" s="94"/>
      <c r="D779" s="91"/>
      <c r="E779" s="91"/>
      <c r="F779" s="91"/>
      <c r="G779" s="91"/>
      <c r="H779" s="91"/>
      <c r="I779" s="91"/>
      <c r="J779" s="91"/>
      <c r="K779" s="91"/>
      <c r="L779" s="91"/>
      <c r="M779" s="91"/>
      <c r="N779" s="91"/>
      <c r="O779" s="91"/>
      <c r="P779" s="91"/>
      <c r="Q779" s="91"/>
      <c r="R779" s="91"/>
      <c r="S779" s="91"/>
      <c r="T779" s="91"/>
      <c r="U779" s="91"/>
      <c r="V779" s="91"/>
      <c r="W779" s="91"/>
      <c r="X779" s="91"/>
      <c r="Y779" s="91"/>
    </row>
    <row r="780" spans="1:25">
      <c r="A780" s="91"/>
      <c r="B780" s="94"/>
      <c r="C780" s="94"/>
      <c r="D780" s="91"/>
      <c r="E780" s="91"/>
      <c r="F780" s="91"/>
      <c r="G780" s="91"/>
      <c r="H780" s="91"/>
      <c r="I780" s="91"/>
      <c r="J780" s="91"/>
      <c r="K780" s="91"/>
      <c r="L780" s="91"/>
      <c r="M780" s="91"/>
      <c r="N780" s="91"/>
      <c r="O780" s="91"/>
      <c r="P780" s="91"/>
      <c r="Q780" s="91"/>
      <c r="R780" s="91"/>
      <c r="S780" s="91"/>
      <c r="T780" s="91"/>
      <c r="U780" s="91"/>
      <c r="V780" s="91"/>
      <c r="W780" s="91"/>
      <c r="X780" s="91"/>
      <c r="Y780" s="91"/>
    </row>
    <row r="781" spans="1:25">
      <c r="A781" s="91"/>
      <c r="B781" s="94"/>
      <c r="C781" s="94"/>
      <c r="D781" s="91"/>
      <c r="E781" s="91"/>
      <c r="F781" s="91"/>
      <c r="G781" s="91"/>
      <c r="H781" s="91"/>
      <c r="I781" s="91"/>
      <c r="J781" s="91"/>
      <c r="K781" s="91"/>
      <c r="L781" s="91"/>
      <c r="M781" s="91"/>
      <c r="N781" s="91"/>
      <c r="O781" s="91"/>
      <c r="P781" s="91"/>
      <c r="Q781" s="91"/>
      <c r="R781" s="91"/>
      <c r="S781" s="91"/>
      <c r="T781" s="91"/>
      <c r="U781" s="91"/>
      <c r="V781" s="91"/>
      <c r="W781" s="91"/>
      <c r="X781" s="91"/>
      <c r="Y781" s="91"/>
    </row>
    <row r="782" spans="1:25">
      <c r="A782" s="91"/>
      <c r="B782" s="94"/>
      <c r="C782" s="94"/>
      <c r="D782" s="91"/>
      <c r="E782" s="91"/>
      <c r="F782" s="91"/>
      <c r="G782" s="91"/>
      <c r="H782" s="91"/>
      <c r="I782" s="91"/>
      <c r="J782" s="91"/>
      <c r="K782" s="91"/>
      <c r="L782" s="91"/>
      <c r="M782" s="91"/>
      <c r="N782" s="91"/>
      <c r="O782" s="91"/>
      <c r="P782" s="91"/>
      <c r="Q782" s="91"/>
      <c r="R782" s="91"/>
      <c r="S782" s="91"/>
      <c r="T782" s="91"/>
      <c r="U782" s="91"/>
      <c r="V782" s="91"/>
      <c r="W782" s="91"/>
      <c r="X782" s="91"/>
      <c r="Y782" s="91"/>
    </row>
    <row r="783" spans="1:25">
      <c r="A783" s="91"/>
      <c r="B783" s="94"/>
      <c r="C783" s="94"/>
      <c r="D783" s="91"/>
      <c r="E783" s="91"/>
      <c r="F783" s="91"/>
      <c r="G783" s="91"/>
      <c r="H783" s="91"/>
      <c r="I783" s="91"/>
      <c r="J783" s="91"/>
      <c r="K783" s="91"/>
      <c r="L783" s="91"/>
      <c r="M783" s="91"/>
      <c r="N783" s="91"/>
      <c r="O783" s="91"/>
      <c r="P783" s="91"/>
      <c r="Q783" s="91"/>
      <c r="R783" s="91"/>
      <c r="S783" s="91"/>
      <c r="T783" s="91"/>
      <c r="U783" s="91"/>
      <c r="V783" s="91"/>
      <c r="W783" s="91"/>
      <c r="X783" s="91"/>
      <c r="Y783" s="91"/>
    </row>
    <row r="784" spans="1:25">
      <c r="A784" s="91"/>
      <c r="B784" s="94"/>
      <c r="C784" s="94"/>
      <c r="D784" s="91"/>
      <c r="E784" s="91"/>
      <c r="F784" s="91"/>
      <c r="G784" s="91"/>
      <c r="H784" s="91"/>
      <c r="I784" s="91"/>
      <c r="J784" s="91"/>
      <c r="K784" s="91"/>
      <c r="L784" s="91"/>
      <c r="M784" s="91"/>
      <c r="N784" s="91"/>
      <c r="O784" s="91"/>
      <c r="P784" s="91"/>
      <c r="Q784" s="91"/>
      <c r="R784" s="91"/>
      <c r="S784" s="91"/>
      <c r="T784" s="91"/>
      <c r="U784" s="91"/>
      <c r="V784" s="91"/>
      <c r="W784" s="91"/>
      <c r="X784" s="91"/>
      <c r="Y784" s="91"/>
    </row>
    <row r="785" spans="1:25">
      <c r="A785" s="91"/>
      <c r="B785" s="94"/>
      <c r="C785" s="94"/>
      <c r="D785" s="91"/>
      <c r="E785" s="91"/>
      <c r="F785" s="91"/>
      <c r="G785" s="91"/>
      <c r="H785" s="91"/>
      <c r="I785" s="91"/>
      <c r="J785" s="91"/>
      <c r="K785" s="91"/>
      <c r="L785" s="91"/>
      <c r="M785" s="91"/>
      <c r="N785" s="91"/>
      <c r="O785" s="91"/>
      <c r="P785" s="91"/>
      <c r="Q785" s="91"/>
      <c r="R785" s="91"/>
      <c r="S785" s="91"/>
      <c r="T785" s="91"/>
      <c r="U785" s="91"/>
      <c r="V785" s="91"/>
      <c r="W785" s="91"/>
      <c r="X785" s="91"/>
      <c r="Y785" s="91"/>
    </row>
    <row r="786" spans="1:25">
      <c r="A786" s="91"/>
      <c r="B786" s="94"/>
      <c r="C786" s="94"/>
      <c r="D786" s="91"/>
      <c r="E786" s="91"/>
      <c r="F786" s="91"/>
      <c r="G786" s="91"/>
      <c r="H786" s="91"/>
      <c r="I786" s="91"/>
      <c r="J786" s="91"/>
      <c r="K786" s="91"/>
      <c r="L786" s="91"/>
      <c r="M786" s="91"/>
      <c r="N786" s="91"/>
      <c r="O786" s="91"/>
      <c r="P786" s="91"/>
      <c r="Q786" s="91"/>
      <c r="R786" s="91"/>
      <c r="S786" s="91"/>
      <c r="T786" s="91"/>
      <c r="U786" s="91"/>
      <c r="V786" s="91"/>
      <c r="W786" s="91"/>
      <c r="X786" s="91"/>
      <c r="Y786" s="91"/>
    </row>
    <row r="787" spans="1:25">
      <c r="A787" s="91"/>
      <c r="B787" s="94"/>
      <c r="C787" s="94"/>
      <c r="D787" s="91"/>
      <c r="E787" s="91"/>
      <c r="F787" s="91"/>
      <c r="G787" s="91"/>
      <c r="H787" s="91"/>
      <c r="I787" s="91"/>
      <c r="J787" s="91"/>
      <c r="K787" s="91"/>
      <c r="L787" s="91"/>
      <c r="M787" s="91"/>
      <c r="N787" s="91"/>
      <c r="O787" s="91"/>
      <c r="P787" s="91"/>
      <c r="Q787" s="91"/>
      <c r="R787" s="91"/>
      <c r="S787" s="91"/>
      <c r="T787" s="91"/>
      <c r="U787" s="91"/>
      <c r="V787" s="91"/>
      <c r="W787" s="91"/>
      <c r="X787" s="91"/>
      <c r="Y787" s="91"/>
    </row>
    <row r="788" spans="1:25">
      <c r="A788" s="91"/>
      <c r="B788" s="94"/>
      <c r="C788" s="94"/>
      <c r="D788" s="91"/>
      <c r="E788" s="91"/>
      <c r="F788" s="91"/>
      <c r="G788" s="91"/>
      <c r="H788" s="91"/>
      <c r="I788" s="91"/>
      <c r="J788" s="91"/>
      <c r="K788" s="91"/>
      <c r="L788" s="91"/>
      <c r="M788" s="91"/>
      <c r="N788" s="91"/>
      <c r="O788" s="91"/>
      <c r="P788" s="91"/>
      <c r="Q788" s="91"/>
      <c r="R788" s="91"/>
      <c r="S788" s="91"/>
      <c r="T788" s="91"/>
      <c r="U788" s="91"/>
      <c r="V788" s="91"/>
      <c r="W788" s="91"/>
      <c r="X788" s="91"/>
      <c r="Y788" s="91"/>
    </row>
    <row r="789" spans="1:25">
      <c r="A789" s="91"/>
      <c r="B789" s="94"/>
      <c r="C789" s="94"/>
      <c r="D789" s="91"/>
      <c r="E789" s="91"/>
      <c r="F789" s="91"/>
      <c r="G789" s="91"/>
      <c r="H789" s="91"/>
      <c r="I789" s="91"/>
      <c r="J789" s="91"/>
      <c r="K789" s="91"/>
      <c r="L789" s="91"/>
      <c r="M789" s="91"/>
      <c r="N789" s="91"/>
      <c r="O789" s="91"/>
      <c r="P789" s="91"/>
      <c r="Q789" s="91"/>
      <c r="R789" s="91"/>
      <c r="S789" s="91"/>
      <c r="T789" s="91"/>
      <c r="U789" s="91"/>
      <c r="V789" s="91"/>
      <c r="W789" s="91"/>
      <c r="X789" s="91"/>
      <c r="Y789" s="91"/>
    </row>
    <row r="790" spans="1:25">
      <c r="A790" s="91"/>
      <c r="B790" s="94"/>
      <c r="C790" s="94"/>
      <c r="D790" s="91"/>
      <c r="E790" s="91"/>
      <c r="F790" s="91"/>
      <c r="G790" s="91"/>
      <c r="H790" s="91"/>
      <c r="I790" s="91"/>
      <c r="J790" s="91"/>
      <c r="K790" s="91"/>
      <c r="L790" s="91"/>
      <c r="M790" s="91"/>
      <c r="N790" s="91"/>
      <c r="O790" s="91"/>
      <c r="P790" s="91"/>
      <c r="Q790" s="91"/>
      <c r="R790" s="91"/>
      <c r="S790" s="91"/>
      <c r="T790" s="91"/>
      <c r="U790" s="91"/>
      <c r="V790" s="91"/>
      <c r="W790" s="91"/>
      <c r="X790" s="91"/>
      <c r="Y790" s="91"/>
    </row>
    <row r="791" spans="1:25">
      <c r="A791" s="91"/>
      <c r="B791" s="94"/>
      <c r="C791" s="94"/>
      <c r="D791" s="91"/>
      <c r="E791" s="91"/>
      <c r="F791" s="91"/>
      <c r="G791" s="91"/>
      <c r="H791" s="91"/>
      <c r="I791" s="91"/>
      <c r="J791" s="91"/>
      <c r="K791" s="91"/>
      <c r="L791" s="91"/>
      <c r="M791" s="91"/>
      <c r="N791" s="91"/>
      <c r="O791" s="91"/>
      <c r="P791" s="91"/>
      <c r="Q791" s="91"/>
      <c r="R791" s="91"/>
      <c r="S791" s="91"/>
      <c r="T791" s="91"/>
      <c r="U791" s="91"/>
      <c r="V791" s="91"/>
      <c r="W791" s="91"/>
      <c r="X791" s="91"/>
      <c r="Y791" s="91"/>
    </row>
    <row r="792" spans="1:25">
      <c r="A792" s="91"/>
      <c r="B792" s="94"/>
      <c r="C792" s="94"/>
      <c r="D792" s="91"/>
      <c r="E792" s="91"/>
      <c r="F792" s="91"/>
      <c r="G792" s="91"/>
      <c r="H792" s="91"/>
      <c r="I792" s="91"/>
      <c r="J792" s="91"/>
      <c r="K792" s="91"/>
      <c r="L792" s="91"/>
      <c r="M792" s="91"/>
      <c r="N792" s="91"/>
      <c r="O792" s="91"/>
      <c r="P792" s="91"/>
      <c r="Q792" s="91"/>
      <c r="R792" s="91"/>
      <c r="S792" s="91"/>
      <c r="T792" s="91"/>
      <c r="U792" s="91"/>
      <c r="V792" s="91"/>
      <c r="W792" s="91"/>
      <c r="X792" s="91"/>
      <c r="Y792" s="91"/>
    </row>
    <row r="793" spans="1:25">
      <c r="A793" s="91"/>
      <c r="B793" s="94"/>
      <c r="C793" s="94"/>
      <c r="D793" s="91"/>
      <c r="E793" s="91"/>
      <c r="F793" s="91"/>
      <c r="G793" s="91"/>
      <c r="H793" s="91"/>
      <c r="I793" s="91"/>
      <c r="J793" s="91"/>
      <c r="K793" s="91"/>
      <c r="L793" s="91"/>
      <c r="M793" s="91"/>
      <c r="N793" s="91"/>
      <c r="O793" s="91"/>
      <c r="P793" s="91"/>
      <c r="Q793" s="91"/>
      <c r="R793" s="91"/>
      <c r="S793" s="91"/>
      <c r="T793" s="91"/>
      <c r="U793" s="91"/>
      <c r="V793" s="91"/>
      <c r="W793" s="91"/>
      <c r="X793" s="91"/>
      <c r="Y793" s="91"/>
    </row>
    <row r="794" spans="1:25">
      <c r="A794" s="91"/>
      <c r="B794" s="94"/>
      <c r="C794" s="94"/>
      <c r="D794" s="91"/>
      <c r="E794" s="91"/>
      <c r="F794" s="91"/>
      <c r="G794" s="91"/>
      <c r="H794" s="91"/>
      <c r="I794" s="91"/>
      <c r="J794" s="91"/>
      <c r="K794" s="91"/>
      <c r="L794" s="91"/>
      <c r="M794" s="91"/>
      <c r="N794" s="91"/>
      <c r="O794" s="91"/>
      <c r="P794" s="91"/>
      <c r="Q794" s="91"/>
      <c r="R794" s="91"/>
      <c r="S794" s="91"/>
      <c r="T794" s="91"/>
      <c r="U794" s="91"/>
      <c r="V794" s="91"/>
      <c r="W794" s="91"/>
      <c r="X794" s="91"/>
      <c r="Y794" s="91"/>
    </row>
    <row r="795" spans="1:25">
      <c r="A795" s="91"/>
      <c r="B795" s="94"/>
      <c r="C795" s="94"/>
      <c r="D795" s="91"/>
      <c r="E795" s="91"/>
      <c r="F795" s="91"/>
      <c r="G795" s="91"/>
      <c r="H795" s="91"/>
      <c r="I795" s="91"/>
      <c r="J795" s="91"/>
      <c r="K795" s="91"/>
      <c r="L795" s="91"/>
      <c r="M795" s="91"/>
      <c r="N795" s="91"/>
      <c r="O795" s="91"/>
      <c r="P795" s="91"/>
      <c r="Q795" s="91"/>
      <c r="R795" s="91"/>
      <c r="S795" s="91"/>
      <c r="T795" s="91"/>
      <c r="U795" s="91"/>
      <c r="V795" s="91"/>
      <c r="W795" s="91"/>
      <c r="X795" s="91"/>
      <c r="Y795" s="91"/>
    </row>
    <row r="796" spans="1:25">
      <c r="A796" s="91"/>
      <c r="B796" s="94"/>
      <c r="C796" s="94"/>
      <c r="D796" s="91"/>
      <c r="E796" s="91"/>
      <c r="F796" s="91"/>
      <c r="G796" s="91"/>
      <c r="H796" s="91"/>
      <c r="I796" s="91"/>
      <c r="J796" s="91"/>
      <c r="K796" s="91"/>
      <c r="L796" s="91"/>
      <c r="M796" s="91"/>
      <c r="N796" s="91"/>
      <c r="O796" s="91"/>
      <c r="P796" s="91"/>
      <c r="Q796" s="91"/>
      <c r="R796" s="91"/>
      <c r="S796" s="91"/>
      <c r="T796" s="91"/>
      <c r="U796" s="91"/>
      <c r="V796" s="91"/>
      <c r="W796" s="91"/>
      <c r="X796" s="91"/>
      <c r="Y796" s="91"/>
    </row>
    <row r="797" spans="1:25">
      <c r="A797" s="91"/>
      <c r="B797" s="94"/>
      <c r="C797" s="94"/>
      <c r="D797" s="91"/>
      <c r="E797" s="91"/>
      <c r="F797" s="91"/>
      <c r="G797" s="91"/>
      <c r="H797" s="91"/>
      <c r="I797" s="91"/>
      <c r="J797" s="91"/>
      <c r="K797" s="91"/>
      <c r="L797" s="91"/>
      <c r="M797" s="91"/>
      <c r="N797" s="91"/>
      <c r="O797" s="91"/>
      <c r="P797" s="91"/>
      <c r="Q797" s="91"/>
      <c r="R797" s="91"/>
      <c r="S797" s="91"/>
      <c r="T797" s="91"/>
      <c r="U797" s="91"/>
      <c r="V797" s="91"/>
      <c r="W797" s="91"/>
      <c r="X797" s="91"/>
      <c r="Y797" s="91"/>
    </row>
    <row r="798" spans="1:25">
      <c r="A798" s="91"/>
      <c r="B798" s="94"/>
      <c r="C798" s="94"/>
      <c r="D798" s="91"/>
      <c r="E798" s="91"/>
      <c r="F798" s="91"/>
      <c r="G798" s="91"/>
      <c r="H798" s="91"/>
      <c r="I798" s="91"/>
      <c r="J798" s="91"/>
      <c r="K798" s="91"/>
      <c r="L798" s="91"/>
      <c r="M798" s="91"/>
      <c r="N798" s="91"/>
      <c r="O798" s="91"/>
      <c r="P798" s="91"/>
      <c r="Q798" s="91"/>
      <c r="R798" s="91"/>
      <c r="S798" s="91"/>
      <c r="T798" s="91"/>
      <c r="U798" s="91"/>
      <c r="V798" s="91"/>
      <c r="W798" s="91"/>
      <c r="X798" s="91"/>
      <c r="Y798" s="91"/>
    </row>
    <row r="799" spans="1:25">
      <c r="A799" s="91"/>
      <c r="B799" s="94"/>
      <c r="C799" s="94"/>
      <c r="D799" s="91"/>
      <c r="E799" s="91"/>
      <c r="F799" s="91"/>
      <c r="G799" s="91"/>
      <c r="H799" s="91"/>
      <c r="I799" s="91"/>
      <c r="J799" s="91"/>
      <c r="K799" s="91"/>
      <c r="L799" s="91"/>
      <c r="M799" s="91"/>
      <c r="N799" s="91"/>
      <c r="O799" s="91"/>
      <c r="P799" s="91"/>
      <c r="Q799" s="91"/>
      <c r="R799" s="91"/>
      <c r="S799" s="91"/>
      <c r="T799" s="91"/>
      <c r="U799" s="91"/>
      <c r="V799" s="91"/>
      <c r="W799" s="91"/>
      <c r="X799" s="91"/>
      <c r="Y799" s="91"/>
    </row>
    <row r="800" spans="1:25">
      <c r="A800" s="91"/>
      <c r="B800" s="94"/>
      <c r="C800" s="94"/>
      <c r="D800" s="91"/>
      <c r="E800" s="91"/>
      <c r="F800" s="91"/>
      <c r="G800" s="91"/>
      <c r="H800" s="91"/>
      <c r="I800" s="91"/>
      <c r="J800" s="91"/>
      <c r="K800" s="91"/>
      <c r="L800" s="91"/>
      <c r="M800" s="91"/>
      <c r="N800" s="91"/>
      <c r="O800" s="91"/>
      <c r="P800" s="91"/>
      <c r="Q800" s="91"/>
      <c r="R800" s="91"/>
      <c r="S800" s="91"/>
      <c r="T800" s="91"/>
      <c r="U800" s="91"/>
      <c r="V800" s="91"/>
      <c r="W800" s="91"/>
      <c r="X800" s="91"/>
      <c r="Y800" s="91"/>
    </row>
    <row r="801" spans="1:25">
      <c r="A801" s="91"/>
      <c r="B801" s="94"/>
      <c r="C801" s="94"/>
      <c r="D801" s="91"/>
      <c r="E801" s="91"/>
      <c r="F801" s="91"/>
      <c r="G801" s="91"/>
      <c r="H801" s="91"/>
      <c r="I801" s="91"/>
      <c r="J801" s="91"/>
      <c r="K801" s="91"/>
      <c r="L801" s="91"/>
      <c r="M801" s="91"/>
      <c r="N801" s="91"/>
      <c r="O801" s="91"/>
      <c r="P801" s="91"/>
      <c r="Q801" s="91"/>
      <c r="R801" s="91"/>
      <c r="S801" s="91"/>
      <c r="T801" s="91"/>
      <c r="U801" s="91"/>
      <c r="V801" s="91"/>
      <c r="W801" s="91"/>
      <c r="X801" s="91"/>
      <c r="Y801" s="91"/>
    </row>
    <row r="802" spans="1:25">
      <c r="A802" s="91"/>
      <c r="B802" s="94"/>
      <c r="C802" s="94"/>
      <c r="D802" s="91"/>
      <c r="E802" s="91"/>
      <c r="F802" s="91"/>
      <c r="G802" s="91"/>
      <c r="H802" s="91"/>
      <c r="I802" s="91"/>
      <c r="J802" s="91"/>
      <c r="K802" s="91"/>
      <c r="L802" s="91"/>
      <c r="M802" s="91"/>
      <c r="N802" s="91"/>
      <c r="O802" s="91"/>
      <c r="P802" s="91"/>
      <c r="Q802" s="91"/>
      <c r="R802" s="91"/>
      <c r="S802" s="91"/>
      <c r="T802" s="91"/>
      <c r="U802" s="91"/>
      <c r="V802" s="91"/>
      <c r="W802" s="91"/>
      <c r="X802" s="91"/>
      <c r="Y802" s="91"/>
    </row>
    <row r="803" spans="1:25">
      <c r="A803" s="91"/>
      <c r="B803" s="94"/>
      <c r="C803" s="94"/>
      <c r="D803" s="91"/>
      <c r="E803" s="91"/>
      <c r="F803" s="91"/>
      <c r="G803" s="91"/>
      <c r="H803" s="91"/>
      <c r="I803" s="91"/>
      <c r="J803" s="91"/>
      <c r="K803" s="91"/>
      <c r="L803" s="91"/>
      <c r="M803" s="91"/>
      <c r="N803" s="91"/>
      <c r="O803" s="91"/>
      <c r="P803" s="91"/>
      <c r="Q803" s="91"/>
      <c r="R803" s="91"/>
      <c r="S803" s="91"/>
      <c r="T803" s="91"/>
      <c r="U803" s="91"/>
      <c r="V803" s="91"/>
      <c r="W803" s="91"/>
      <c r="X803" s="91"/>
      <c r="Y803" s="91"/>
    </row>
    <row r="804" spans="1:25">
      <c r="A804" s="91"/>
      <c r="B804" s="94"/>
      <c r="C804" s="94"/>
      <c r="D804" s="91"/>
      <c r="E804" s="91"/>
      <c r="F804" s="91"/>
      <c r="G804" s="91"/>
      <c r="H804" s="91"/>
      <c r="I804" s="91"/>
      <c r="J804" s="91"/>
      <c r="K804" s="91"/>
      <c r="L804" s="91"/>
      <c r="M804" s="91"/>
      <c r="N804" s="91"/>
      <c r="O804" s="91"/>
      <c r="P804" s="91"/>
      <c r="Q804" s="91"/>
      <c r="R804" s="91"/>
      <c r="S804" s="91"/>
      <c r="T804" s="91"/>
      <c r="U804" s="91"/>
      <c r="V804" s="91"/>
      <c r="W804" s="91"/>
      <c r="X804" s="91"/>
      <c r="Y804" s="91"/>
    </row>
    <row r="805" spans="1:25">
      <c r="A805" s="91"/>
      <c r="B805" s="94"/>
      <c r="C805" s="94"/>
      <c r="D805" s="91"/>
      <c r="E805" s="91"/>
      <c r="F805" s="91"/>
      <c r="G805" s="91"/>
      <c r="H805" s="91"/>
      <c r="I805" s="91"/>
      <c r="J805" s="91"/>
      <c r="K805" s="91"/>
      <c r="L805" s="91"/>
      <c r="M805" s="91"/>
      <c r="N805" s="91"/>
      <c r="O805" s="91"/>
      <c r="P805" s="91"/>
      <c r="Q805" s="91"/>
      <c r="R805" s="91"/>
      <c r="S805" s="91"/>
      <c r="T805" s="91"/>
      <c r="U805" s="91"/>
      <c r="V805" s="91"/>
      <c r="W805" s="91"/>
      <c r="X805" s="91"/>
      <c r="Y805" s="91"/>
    </row>
    <row r="806" spans="1:25">
      <c r="A806" s="91"/>
      <c r="B806" s="94"/>
      <c r="C806" s="94"/>
      <c r="D806" s="91"/>
      <c r="E806" s="91"/>
      <c r="F806" s="91"/>
      <c r="G806" s="91"/>
      <c r="H806" s="91"/>
      <c r="I806" s="91"/>
      <c r="J806" s="91"/>
      <c r="K806" s="91"/>
      <c r="L806" s="91"/>
      <c r="M806" s="91"/>
      <c r="N806" s="91"/>
      <c r="O806" s="91"/>
      <c r="P806" s="91"/>
      <c r="Q806" s="91"/>
      <c r="R806" s="91"/>
      <c r="S806" s="91"/>
      <c r="T806" s="91"/>
      <c r="U806" s="91"/>
      <c r="V806" s="91"/>
      <c r="W806" s="91"/>
      <c r="X806" s="91"/>
      <c r="Y806" s="91"/>
    </row>
    <row r="807" spans="1:25">
      <c r="A807" s="91"/>
      <c r="B807" s="94"/>
      <c r="C807" s="94"/>
      <c r="D807" s="91"/>
      <c r="E807" s="91"/>
      <c r="F807" s="91"/>
      <c r="G807" s="91"/>
      <c r="H807" s="91"/>
      <c r="I807" s="91"/>
      <c r="J807" s="91"/>
      <c r="K807" s="91"/>
      <c r="L807" s="91"/>
      <c r="M807" s="91"/>
      <c r="N807" s="91"/>
      <c r="O807" s="91"/>
      <c r="P807" s="91"/>
      <c r="Q807" s="91"/>
      <c r="R807" s="91"/>
      <c r="S807" s="91"/>
      <c r="T807" s="91"/>
      <c r="U807" s="91"/>
      <c r="V807" s="91"/>
      <c r="W807" s="91"/>
      <c r="X807" s="91"/>
      <c r="Y807" s="91"/>
    </row>
    <row r="808" spans="1:25">
      <c r="A808" s="91"/>
      <c r="B808" s="94"/>
      <c r="C808" s="94"/>
      <c r="D808" s="91"/>
      <c r="E808" s="91"/>
      <c r="F808" s="91"/>
      <c r="G808" s="91"/>
      <c r="H808" s="91"/>
      <c r="I808" s="91"/>
      <c r="J808" s="91"/>
      <c r="K808" s="91"/>
      <c r="L808" s="91"/>
      <c r="M808" s="91"/>
      <c r="N808" s="91"/>
      <c r="O808" s="91"/>
      <c r="P808" s="91"/>
      <c r="Q808" s="91"/>
      <c r="R808" s="91"/>
      <c r="S808" s="91"/>
      <c r="T808" s="91"/>
      <c r="U808" s="91"/>
      <c r="V808" s="91"/>
      <c r="W808" s="91"/>
      <c r="X808" s="91"/>
      <c r="Y808" s="91"/>
    </row>
    <row r="809" spans="1:25">
      <c r="A809" s="91"/>
      <c r="B809" s="94"/>
      <c r="C809" s="94"/>
      <c r="D809" s="91"/>
      <c r="E809" s="91"/>
      <c r="F809" s="91"/>
      <c r="G809" s="91"/>
      <c r="H809" s="91"/>
      <c r="I809" s="91"/>
      <c r="J809" s="91"/>
      <c r="K809" s="91"/>
      <c r="L809" s="91"/>
      <c r="M809" s="91"/>
      <c r="N809" s="91"/>
      <c r="O809" s="91"/>
      <c r="P809" s="91"/>
      <c r="Q809" s="91"/>
      <c r="R809" s="91"/>
      <c r="S809" s="91"/>
      <c r="T809" s="91"/>
      <c r="U809" s="91"/>
      <c r="V809" s="91"/>
      <c r="W809" s="91"/>
      <c r="X809" s="91"/>
      <c r="Y809" s="91"/>
    </row>
    <row r="810" spans="1:25">
      <c r="A810" s="91"/>
      <c r="B810" s="94"/>
      <c r="C810" s="94"/>
      <c r="D810" s="91"/>
      <c r="E810" s="91"/>
      <c r="F810" s="91"/>
      <c r="G810" s="91"/>
      <c r="H810" s="91"/>
      <c r="I810" s="91"/>
      <c r="J810" s="91"/>
      <c r="K810" s="91"/>
      <c r="L810" s="91"/>
      <c r="M810" s="91"/>
      <c r="N810" s="91"/>
      <c r="O810" s="91"/>
      <c r="P810" s="91"/>
      <c r="Q810" s="91"/>
      <c r="R810" s="91"/>
      <c r="S810" s="91"/>
      <c r="T810" s="91"/>
      <c r="U810" s="91"/>
      <c r="V810" s="91"/>
      <c r="W810" s="91"/>
      <c r="X810" s="91"/>
      <c r="Y810" s="91"/>
    </row>
    <row r="811" spans="1:25">
      <c r="A811" s="91"/>
      <c r="B811" s="94"/>
      <c r="C811" s="94"/>
      <c r="D811" s="91"/>
      <c r="E811" s="91"/>
      <c r="F811" s="91"/>
      <c r="G811" s="91"/>
      <c r="H811" s="91"/>
      <c r="I811" s="91"/>
      <c r="J811" s="91"/>
      <c r="K811" s="91"/>
      <c r="L811" s="91"/>
      <c r="M811" s="91"/>
      <c r="N811" s="91"/>
      <c r="O811" s="91"/>
      <c r="P811" s="91"/>
      <c r="Q811" s="91"/>
      <c r="R811" s="91"/>
      <c r="S811" s="91"/>
      <c r="T811" s="91"/>
      <c r="U811" s="91"/>
      <c r="V811" s="91"/>
      <c r="W811" s="91"/>
      <c r="X811" s="91"/>
      <c r="Y811" s="91"/>
    </row>
    <row r="812" spans="1:25">
      <c r="A812" s="91"/>
      <c r="B812" s="94"/>
      <c r="C812" s="94"/>
      <c r="D812" s="91"/>
      <c r="E812" s="91"/>
      <c r="F812" s="91"/>
      <c r="G812" s="91"/>
      <c r="H812" s="91"/>
      <c r="I812" s="91"/>
      <c r="J812" s="91"/>
      <c r="K812" s="91"/>
      <c r="L812" s="91"/>
      <c r="M812" s="91"/>
      <c r="N812" s="91"/>
      <c r="O812" s="91"/>
      <c r="P812" s="91"/>
      <c r="Q812" s="91"/>
      <c r="R812" s="91"/>
      <c r="S812" s="91"/>
      <c r="T812" s="91"/>
      <c r="U812" s="91"/>
      <c r="V812" s="91"/>
      <c r="W812" s="91"/>
      <c r="X812" s="91"/>
      <c r="Y812" s="91"/>
    </row>
    <row r="813" spans="1:25">
      <c r="A813" s="91"/>
      <c r="B813" s="94"/>
      <c r="C813" s="94"/>
      <c r="D813" s="91"/>
      <c r="E813" s="91"/>
      <c r="F813" s="91"/>
      <c r="G813" s="91"/>
      <c r="H813" s="91"/>
      <c r="I813" s="91"/>
      <c r="J813" s="91"/>
      <c r="K813" s="91"/>
      <c r="L813" s="91"/>
      <c r="M813" s="91"/>
      <c r="N813" s="91"/>
      <c r="O813" s="91"/>
      <c r="P813" s="91"/>
      <c r="Q813" s="91"/>
      <c r="R813" s="91"/>
      <c r="S813" s="91"/>
      <c r="T813" s="91"/>
      <c r="U813" s="91"/>
      <c r="V813" s="91"/>
      <c r="W813" s="91"/>
      <c r="X813" s="91"/>
      <c r="Y813" s="91"/>
    </row>
    <row r="814" spans="1:25">
      <c r="A814" s="91"/>
      <c r="B814" s="94"/>
      <c r="C814" s="94"/>
      <c r="D814" s="91"/>
      <c r="E814" s="91"/>
      <c r="F814" s="91"/>
      <c r="G814" s="91"/>
      <c r="H814" s="91"/>
      <c r="I814" s="91"/>
      <c r="J814" s="91"/>
      <c r="K814" s="91"/>
      <c r="L814" s="91"/>
      <c r="M814" s="91"/>
      <c r="N814" s="91"/>
      <c r="O814" s="91"/>
      <c r="P814" s="91"/>
      <c r="Q814" s="91"/>
      <c r="R814" s="91"/>
      <c r="S814" s="91"/>
      <c r="T814" s="91"/>
      <c r="U814" s="91"/>
      <c r="V814" s="91"/>
      <c r="W814" s="91"/>
      <c r="X814" s="91"/>
      <c r="Y814" s="91"/>
    </row>
    <row r="815" spans="1:25">
      <c r="A815" s="91"/>
      <c r="B815" s="94"/>
      <c r="C815" s="94"/>
      <c r="D815" s="91"/>
      <c r="E815" s="91"/>
      <c r="F815" s="91"/>
      <c r="G815" s="91"/>
      <c r="H815" s="91"/>
      <c r="I815" s="91"/>
      <c r="J815" s="91"/>
      <c r="K815" s="91"/>
      <c r="L815" s="91"/>
      <c r="M815" s="91"/>
      <c r="N815" s="91"/>
      <c r="O815" s="91"/>
      <c r="P815" s="91"/>
      <c r="Q815" s="91"/>
      <c r="R815" s="91"/>
      <c r="S815" s="91"/>
      <c r="T815" s="91"/>
      <c r="U815" s="91"/>
      <c r="V815" s="91"/>
      <c r="W815" s="91"/>
      <c r="X815" s="91"/>
      <c r="Y815" s="91"/>
    </row>
    <row r="816" spans="1:25">
      <c r="A816" s="91"/>
      <c r="B816" s="94"/>
      <c r="C816" s="94"/>
      <c r="D816" s="91"/>
      <c r="E816" s="91"/>
      <c r="F816" s="91"/>
      <c r="G816" s="91"/>
      <c r="H816" s="91"/>
      <c r="I816" s="91"/>
      <c r="J816" s="91"/>
      <c r="K816" s="91"/>
      <c r="L816" s="91"/>
      <c r="M816" s="91"/>
      <c r="N816" s="91"/>
      <c r="O816" s="91"/>
      <c r="P816" s="91"/>
      <c r="Q816" s="91"/>
      <c r="R816" s="91"/>
      <c r="S816" s="91"/>
      <c r="T816" s="91"/>
      <c r="U816" s="91"/>
      <c r="V816" s="91"/>
      <c r="W816" s="91"/>
      <c r="X816" s="91"/>
      <c r="Y816" s="91"/>
    </row>
    <row r="817" spans="1:25">
      <c r="A817" s="91"/>
      <c r="B817" s="94"/>
      <c r="C817" s="94"/>
      <c r="D817" s="91"/>
      <c r="E817" s="91"/>
      <c r="F817" s="91"/>
      <c r="G817" s="91"/>
      <c r="H817" s="91"/>
      <c r="I817" s="91"/>
      <c r="J817" s="91"/>
      <c r="K817" s="91"/>
      <c r="L817" s="91"/>
      <c r="M817" s="91"/>
      <c r="N817" s="91"/>
      <c r="O817" s="91"/>
      <c r="P817" s="91"/>
      <c r="Q817" s="91"/>
      <c r="R817" s="91"/>
      <c r="S817" s="91"/>
      <c r="T817" s="91"/>
      <c r="U817" s="91"/>
      <c r="V817" s="91"/>
      <c r="W817" s="91"/>
      <c r="X817" s="91"/>
      <c r="Y817" s="91"/>
    </row>
    <row r="818" spans="1:25">
      <c r="A818" s="91"/>
      <c r="B818" s="94"/>
      <c r="C818" s="94"/>
      <c r="D818" s="91"/>
      <c r="E818" s="91"/>
      <c r="F818" s="91"/>
      <c r="G818" s="91"/>
      <c r="H818" s="91"/>
      <c r="I818" s="91"/>
      <c r="J818" s="91"/>
      <c r="K818" s="91"/>
      <c r="L818" s="91"/>
      <c r="M818" s="91"/>
      <c r="N818" s="91"/>
      <c r="O818" s="91"/>
      <c r="P818" s="91"/>
      <c r="Q818" s="91"/>
      <c r="R818" s="91"/>
      <c r="S818" s="91"/>
      <c r="T818" s="91"/>
      <c r="U818" s="91"/>
      <c r="V818" s="91"/>
      <c r="W818" s="91"/>
      <c r="X818" s="91"/>
      <c r="Y818" s="91"/>
    </row>
    <row r="819" spans="1:25">
      <c r="A819" s="91"/>
      <c r="B819" s="94"/>
      <c r="C819" s="94"/>
      <c r="D819" s="91"/>
      <c r="E819" s="91"/>
      <c r="F819" s="91"/>
      <c r="G819" s="91"/>
      <c r="H819" s="91"/>
      <c r="I819" s="91"/>
      <c r="J819" s="91"/>
      <c r="K819" s="91"/>
      <c r="L819" s="91"/>
      <c r="M819" s="91"/>
      <c r="N819" s="91"/>
      <c r="O819" s="91"/>
      <c r="P819" s="91"/>
      <c r="Q819" s="91"/>
      <c r="R819" s="91"/>
      <c r="S819" s="91"/>
      <c r="T819" s="91"/>
      <c r="U819" s="91"/>
      <c r="V819" s="91"/>
      <c r="W819" s="91"/>
      <c r="X819" s="91"/>
      <c r="Y819" s="91"/>
    </row>
    <row r="820" spans="1:25">
      <c r="A820" s="91"/>
      <c r="B820" s="94"/>
      <c r="C820" s="94"/>
      <c r="D820" s="91"/>
      <c r="E820" s="91"/>
      <c r="F820" s="91"/>
      <c r="G820" s="91"/>
      <c r="H820" s="91"/>
      <c r="I820" s="91"/>
      <c r="J820" s="91"/>
      <c r="K820" s="91"/>
      <c r="L820" s="91"/>
      <c r="M820" s="91"/>
      <c r="N820" s="91"/>
      <c r="O820" s="91"/>
      <c r="P820" s="91"/>
      <c r="Q820" s="91"/>
      <c r="R820" s="91"/>
      <c r="S820" s="91"/>
      <c r="T820" s="91"/>
      <c r="U820" s="91"/>
      <c r="V820" s="91"/>
      <c r="W820" s="91"/>
      <c r="X820" s="91"/>
      <c r="Y820" s="91"/>
    </row>
    <row r="821" spans="1:25">
      <c r="A821" s="91"/>
      <c r="B821" s="94"/>
      <c r="C821" s="94"/>
      <c r="D821" s="91"/>
      <c r="E821" s="91"/>
      <c r="F821" s="91"/>
      <c r="G821" s="91"/>
      <c r="H821" s="91"/>
      <c r="I821" s="91"/>
      <c r="J821" s="91"/>
      <c r="K821" s="91"/>
      <c r="L821" s="91"/>
      <c r="M821" s="91"/>
      <c r="N821" s="91"/>
      <c r="O821" s="91"/>
      <c r="P821" s="91"/>
      <c r="Q821" s="91"/>
      <c r="R821" s="91"/>
      <c r="S821" s="91"/>
      <c r="T821" s="91"/>
      <c r="U821" s="91"/>
      <c r="V821" s="91"/>
      <c r="W821" s="91"/>
      <c r="X821" s="91"/>
      <c r="Y821" s="91"/>
    </row>
    <row r="822" spans="1:25">
      <c r="A822" s="91"/>
      <c r="B822" s="94"/>
      <c r="C822" s="94"/>
      <c r="D822" s="91"/>
      <c r="E822" s="91"/>
      <c r="F822" s="91"/>
      <c r="G822" s="91"/>
      <c r="H822" s="91"/>
      <c r="I822" s="91"/>
      <c r="J822" s="91"/>
      <c r="K822" s="91"/>
      <c r="L822" s="91"/>
      <c r="M822" s="91"/>
      <c r="N822" s="91"/>
      <c r="O822" s="91"/>
      <c r="P822" s="91"/>
      <c r="Q822" s="91"/>
      <c r="R822" s="91"/>
      <c r="S822" s="91"/>
      <c r="T822" s="91"/>
      <c r="U822" s="91"/>
      <c r="V822" s="91"/>
      <c r="W822" s="91"/>
      <c r="X822" s="91"/>
      <c r="Y822" s="91"/>
    </row>
    <row r="823" spans="1:25">
      <c r="A823" s="91"/>
      <c r="B823" s="94"/>
      <c r="C823" s="94"/>
      <c r="D823" s="91"/>
      <c r="E823" s="91"/>
      <c r="F823" s="91"/>
      <c r="G823" s="91"/>
      <c r="H823" s="91"/>
      <c r="I823" s="91"/>
      <c r="J823" s="91"/>
      <c r="K823" s="91"/>
      <c r="L823" s="91"/>
      <c r="M823" s="91"/>
      <c r="N823" s="91"/>
      <c r="O823" s="91"/>
      <c r="P823" s="91"/>
      <c r="Q823" s="91"/>
      <c r="R823" s="91"/>
      <c r="S823" s="91"/>
      <c r="T823" s="91"/>
      <c r="U823" s="91"/>
      <c r="V823" s="91"/>
      <c r="W823" s="91"/>
      <c r="X823" s="91"/>
      <c r="Y823" s="91"/>
    </row>
    <row r="824" spans="1:25">
      <c r="A824" s="91"/>
      <c r="B824" s="94"/>
      <c r="C824" s="94"/>
      <c r="D824" s="91"/>
      <c r="E824" s="91"/>
      <c r="F824" s="91"/>
      <c r="G824" s="91"/>
      <c r="H824" s="91"/>
      <c r="I824" s="91"/>
      <c r="J824" s="91"/>
      <c r="K824" s="91"/>
      <c r="L824" s="91"/>
      <c r="M824" s="91"/>
      <c r="N824" s="91"/>
      <c r="O824" s="91"/>
      <c r="P824" s="91"/>
      <c r="Q824" s="91"/>
      <c r="R824" s="91"/>
      <c r="S824" s="91"/>
      <c r="T824" s="91"/>
      <c r="U824" s="91"/>
      <c r="V824" s="91"/>
      <c r="W824" s="91"/>
      <c r="X824" s="91"/>
      <c r="Y824" s="91"/>
    </row>
    <row r="825" spans="1:25">
      <c r="A825" s="91"/>
      <c r="B825" s="94"/>
      <c r="C825" s="94"/>
      <c r="D825" s="91"/>
      <c r="E825" s="91"/>
      <c r="F825" s="91"/>
      <c r="G825" s="91"/>
      <c r="H825" s="91"/>
      <c r="I825" s="91"/>
      <c r="J825" s="91"/>
      <c r="K825" s="91"/>
      <c r="L825" s="91"/>
      <c r="M825" s="91"/>
      <c r="N825" s="91"/>
      <c r="O825" s="91"/>
      <c r="P825" s="91"/>
      <c r="Q825" s="91"/>
      <c r="R825" s="91"/>
      <c r="S825" s="91"/>
      <c r="T825" s="91"/>
      <c r="U825" s="91"/>
      <c r="V825" s="91"/>
      <c r="W825" s="91"/>
      <c r="X825" s="91"/>
      <c r="Y825" s="91"/>
    </row>
    <row r="826" spans="1:25">
      <c r="A826" s="91"/>
      <c r="B826" s="94"/>
      <c r="C826" s="94"/>
      <c r="D826" s="91"/>
      <c r="E826" s="91"/>
      <c r="F826" s="91"/>
      <c r="G826" s="91"/>
      <c r="H826" s="91"/>
      <c r="I826" s="91"/>
      <c r="J826" s="91"/>
      <c r="K826" s="91"/>
      <c r="L826" s="91"/>
      <c r="M826" s="91"/>
      <c r="N826" s="91"/>
      <c r="O826" s="91"/>
      <c r="P826" s="91"/>
      <c r="Q826" s="91"/>
      <c r="R826" s="91"/>
      <c r="S826" s="91"/>
      <c r="T826" s="91"/>
      <c r="U826" s="91"/>
      <c r="V826" s="91"/>
      <c r="W826" s="91"/>
      <c r="X826" s="91"/>
      <c r="Y826" s="91"/>
    </row>
    <row r="827" spans="1:25">
      <c r="A827" s="91"/>
      <c r="B827" s="94"/>
      <c r="C827" s="94"/>
      <c r="D827" s="91"/>
      <c r="E827" s="91"/>
      <c r="F827" s="91"/>
      <c r="G827" s="91"/>
      <c r="H827" s="91"/>
      <c r="I827" s="91"/>
      <c r="J827" s="91"/>
      <c r="K827" s="91"/>
      <c r="L827" s="91"/>
      <c r="M827" s="91"/>
      <c r="N827" s="91"/>
      <c r="O827" s="91"/>
      <c r="P827" s="91"/>
      <c r="Q827" s="91"/>
      <c r="R827" s="91"/>
      <c r="S827" s="91"/>
      <c r="T827" s="91"/>
      <c r="U827" s="91"/>
      <c r="V827" s="91"/>
      <c r="W827" s="91"/>
      <c r="X827" s="91"/>
      <c r="Y827" s="91"/>
    </row>
    <row r="828" spans="1:25">
      <c r="A828" s="91"/>
      <c r="B828" s="94"/>
      <c r="C828" s="94"/>
      <c r="D828" s="91"/>
      <c r="E828" s="91"/>
      <c r="F828" s="91"/>
      <c r="G828" s="91"/>
      <c r="H828" s="91"/>
      <c r="I828" s="91"/>
      <c r="J828" s="91"/>
      <c r="K828" s="91"/>
      <c r="L828" s="91"/>
      <c r="M828" s="91"/>
      <c r="N828" s="91"/>
      <c r="O828" s="91"/>
      <c r="P828" s="91"/>
      <c r="Q828" s="91"/>
      <c r="R828" s="91"/>
      <c r="S828" s="91"/>
      <c r="T828" s="91"/>
      <c r="U828" s="91"/>
      <c r="V828" s="91"/>
      <c r="W828" s="91"/>
      <c r="X828" s="91"/>
      <c r="Y828" s="91"/>
    </row>
    <row r="829" spans="1:25">
      <c r="A829" s="91"/>
      <c r="B829" s="94"/>
      <c r="C829" s="94"/>
      <c r="D829" s="91"/>
      <c r="E829" s="91"/>
      <c r="F829" s="91"/>
      <c r="G829" s="91"/>
      <c r="H829" s="91"/>
      <c r="I829" s="91"/>
      <c r="J829" s="91"/>
      <c r="K829" s="91"/>
      <c r="L829" s="91"/>
      <c r="M829" s="91"/>
      <c r="N829" s="91"/>
      <c r="O829" s="91"/>
      <c r="P829" s="91"/>
      <c r="Q829" s="91"/>
      <c r="R829" s="91"/>
      <c r="S829" s="91"/>
      <c r="T829" s="91"/>
      <c r="U829" s="91"/>
      <c r="V829" s="91"/>
      <c r="W829" s="91"/>
      <c r="X829" s="91"/>
      <c r="Y829" s="91"/>
    </row>
    <row r="830" spans="1:25">
      <c r="A830" s="91"/>
      <c r="B830" s="94"/>
      <c r="C830" s="94"/>
      <c r="D830" s="91"/>
      <c r="E830" s="91"/>
      <c r="F830" s="91"/>
      <c r="G830" s="91"/>
      <c r="H830" s="91"/>
      <c r="I830" s="91"/>
      <c r="J830" s="91"/>
      <c r="K830" s="91"/>
      <c r="L830" s="91"/>
      <c r="M830" s="91"/>
      <c r="N830" s="91"/>
      <c r="O830" s="91"/>
      <c r="P830" s="91"/>
      <c r="Q830" s="91"/>
      <c r="R830" s="91"/>
      <c r="S830" s="91"/>
      <c r="T830" s="91"/>
      <c r="U830" s="91"/>
      <c r="V830" s="91"/>
      <c r="W830" s="91"/>
      <c r="X830" s="91"/>
      <c r="Y830" s="91"/>
    </row>
    <row r="831" spans="1:25">
      <c r="A831" s="91"/>
      <c r="B831" s="94"/>
      <c r="C831" s="94"/>
      <c r="D831" s="91"/>
      <c r="E831" s="91"/>
      <c r="F831" s="91"/>
      <c r="G831" s="91"/>
      <c r="H831" s="91"/>
      <c r="I831" s="91"/>
      <c r="J831" s="91"/>
      <c r="K831" s="91"/>
      <c r="L831" s="91"/>
      <c r="M831" s="91"/>
      <c r="N831" s="91"/>
      <c r="O831" s="91"/>
      <c r="P831" s="91"/>
      <c r="Q831" s="91"/>
      <c r="R831" s="91"/>
      <c r="S831" s="91"/>
      <c r="T831" s="91"/>
      <c r="U831" s="91"/>
      <c r="V831" s="91"/>
      <c r="W831" s="91"/>
      <c r="X831" s="91"/>
      <c r="Y831" s="91"/>
    </row>
    <row r="832" spans="1:25">
      <c r="A832" s="91"/>
      <c r="B832" s="94"/>
      <c r="C832" s="94"/>
      <c r="D832" s="91"/>
      <c r="E832" s="91"/>
      <c r="F832" s="91"/>
      <c r="G832" s="91"/>
      <c r="H832" s="91"/>
      <c r="I832" s="91"/>
      <c r="J832" s="91"/>
      <c r="K832" s="91"/>
      <c r="L832" s="91"/>
      <c r="M832" s="91"/>
      <c r="N832" s="91"/>
      <c r="O832" s="91"/>
      <c r="P832" s="91"/>
      <c r="Q832" s="91"/>
      <c r="R832" s="91"/>
      <c r="S832" s="91"/>
      <c r="T832" s="91"/>
      <c r="U832" s="91"/>
      <c r="V832" s="91"/>
      <c r="W832" s="91"/>
      <c r="X832" s="91"/>
      <c r="Y832" s="91"/>
    </row>
    <row r="833" spans="1:25">
      <c r="A833" s="91"/>
      <c r="B833" s="94"/>
      <c r="C833" s="94"/>
      <c r="D833" s="91"/>
      <c r="E833" s="91"/>
      <c r="F833" s="91"/>
      <c r="G833" s="91"/>
      <c r="H833" s="91"/>
      <c r="I833" s="91"/>
      <c r="J833" s="91"/>
      <c r="K833" s="91"/>
      <c r="L833" s="91"/>
      <c r="M833" s="91"/>
      <c r="N833" s="91"/>
      <c r="O833" s="91"/>
      <c r="P833" s="91"/>
      <c r="Q833" s="91"/>
      <c r="R833" s="91"/>
      <c r="S833" s="91"/>
      <c r="T833" s="91"/>
      <c r="U833" s="91"/>
      <c r="V833" s="91"/>
      <c r="W833" s="91"/>
      <c r="X833" s="91"/>
      <c r="Y833" s="91"/>
    </row>
    <row r="834" spans="1:25">
      <c r="A834" s="91"/>
      <c r="B834" s="94"/>
      <c r="C834" s="94"/>
      <c r="D834" s="91"/>
      <c r="E834" s="91"/>
      <c r="F834" s="91"/>
      <c r="G834" s="91"/>
      <c r="H834" s="91"/>
      <c r="I834" s="91"/>
      <c r="J834" s="91"/>
      <c r="K834" s="91"/>
      <c r="L834" s="91"/>
      <c r="M834" s="91"/>
      <c r="N834" s="91"/>
      <c r="O834" s="91"/>
      <c r="P834" s="91"/>
      <c r="Q834" s="91"/>
      <c r="R834" s="91"/>
      <c r="S834" s="91"/>
      <c r="T834" s="91"/>
      <c r="U834" s="91"/>
      <c r="V834" s="91"/>
      <c r="W834" s="91"/>
      <c r="X834" s="91"/>
      <c r="Y834" s="91"/>
    </row>
    <row r="835" spans="1:25">
      <c r="A835" s="91"/>
      <c r="B835" s="94"/>
      <c r="C835" s="94"/>
      <c r="D835" s="91"/>
      <c r="E835" s="91"/>
      <c r="F835" s="91"/>
      <c r="G835" s="91"/>
      <c r="H835" s="91"/>
      <c r="I835" s="91"/>
      <c r="J835" s="91"/>
      <c r="K835" s="91"/>
      <c r="L835" s="91"/>
      <c r="M835" s="91"/>
      <c r="N835" s="91"/>
      <c r="O835" s="91"/>
      <c r="P835" s="91"/>
      <c r="Q835" s="91"/>
      <c r="R835" s="91"/>
      <c r="S835" s="91"/>
      <c r="T835" s="91"/>
      <c r="U835" s="91"/>
      <c r="V835" s="91"/>
      <c r="W835" s="91"/>
      <c r="X835" s="91"/>
      <c r="Y835" s="91"/>
    </row>
    <row r="836" spans="1:25">
      <c r="A836" s="91"/>
      <c r="B836" s="94"/>
      <c r="C836" s="94"/>
      <c r="D836" s="91"/>
      <c r="E836" s="91"/>
      <c r="F836" s="91"/>
      <c r="G836" s="91"/>
      <c r="H836" s="91"/>
      <c r="I836" s="91"/>
      <c r="J836" s="91"/>
      <c r="K836" s="91"/>
      <c r="L836" s="91"/>
      <c r="M836" s="91"/>
      <c r="N836" s="91"/>
      <c r="O836" s="91"/>
      <c r="P836" s="91"/>
      <c r="Q836" s="91"/>
      <c r="R836" s="91"/>
      <c r="S836" s="91"/>
      <c r="T836" s="91"/>
      <c r="U836" s="91"/>
      <c r="V836" s="91"/>
      <c r="W836" s="91"/>
      <c r="X836" s="91"/>
      <c r="Y836" s="91"/>
    </row>
    <row r="837" spans="1:25">
      <c r="A837" s="91"/>
      <c r="B837" s="94"/>
      <c r="C837" s="94"/>
      <c r="D837" s="91"/>
      <c r="E837" s="91"/>
      <c r="F837" s="91"/>
      <c r="G837" s="91"/>
      <c r="H837" s="91"/>
      <c r="I837" s="91"/>
      <c r="J837" s="91"/>
      <c r="K837" s="91"/>
      <c r="L837" s="91"/>
      <c r="M837" s="91"/>
      <c r="N837" s="91"/>
      <c r="O837" s="91"/>
      <c r="P837" s="91"/>
      <c r="Q837" s="91"/>
      <c r="R837" s="91"/>
      <c r="S837" s="91"/>
      <c r="T837" s="91"/>
      <c r="U837" s="91"/>
      <c r="V837" s="91"/>
      <c r="W837" s="91"/>
      <c r="X837" s="91"/>
      <c r="Y837" s="91"/>
    </row>
    <row r="838" spans="1:25">
      <c r="A838" s="91"/>
      <c r="B838" s="94"/>
      <c r="C838" s="94"/>
      <c r="D838" s="91"/>
      <c r="E838" s="91"/>
      <c r="F838" s="91"/>
      <c r="G838" s="91"/>
      <c r="H838" s="91"/>
      <c r="I838" s="91"/>
      <c r="J838" s="91"/>
      <c r="K838" s="91"/>
      <c r="L838" s="91"/>
      <c r="M838" s="91"/>
      <c r="N838" s="91"/>
      <c r="O838" s="91"/>
      <c r="P838" s="91"/>
      <c r="Q838" s="91"/>
      <c r="R838" s="91"/>
      <c r="S838" s="91"/>
      <c r="T838" s="91"/>
      <c r="U838" s="91"/>
      <c r="V838" s="91"/>
      <c r="W838" s="91"/>
      <c r="X838" s="91"/>
      <c r="Y838" s="91"/>
    </row>
    <row r="839" spans="1:25">
      <c r="A839" s="91"/>
      <c r="B839" s="94"/>
      <c r="C839" s="94"/>
      <c r="D839" s="91"/>
      <c r="E839" s="91"/>
      <c r="F839" s="91"/>
      <c r="G839" s="91"/>
      <c r="H839" s="91"/>
      <c r="I839" s="91"/>
      <c r="J839" s="91"/>
      <c r="K839" s="91"/>
      <c r="L839" s="91"/>
      <c r="M839" s="91"/>
      <c r="N839" s="91"/>
      <c r="O839" s="91"/>
      <c r="P839" s="91"/>
      <c r="Q839" s="91"/>
      <c r="R839" s="91"/>
      <c r="S839" s="91"/>
      <c r="T839" s="91"/>
      <c r="U839" s="91"/>
      <c r="V839" s="91"/>
      <c r="W839" s="91"/>
      <c r="X839" s="91"/>
      <c r="Y839" s="91"/>
    </row>
    <row r="840" spans="1:25">
      <c r="A840" s="91"/>
      <c r="B840" s="94"/>
      <c r="C840" s="94"/>
      <c r="D840" s="91"/>
      <c r="E840" s="91"/>
      <c r="F840" s="91"/>
      <c r="G840" s="91"/>
      <c r="H840" s="91"/>
      <c r="I840" s="91"/>
      <c r="J840" s="91"/>
      <c r="K840" s="91"/>
      <c r="L840" s="91"/>
      <c r="M840" s="91"/>
      <c r="N840" s="91"/>
      <c r="O840" s="91"/>
      <c r="P840" s="91"/>
      <c r="Q840" s="91"/>
      <c r="R840" s="91"/>
      <c r="S840" s="91"/>
      <c r="T840" s="91"/>
      <c r="U840" s="91"/>
      <c r="V840" s="91"/>
      <c r="W840" s="91"/>
      <c r="X840" s="91"/>
      <c r="Y840" s="91"/>
    </row>
    <row r="841" spans="1:25">
      <c r="A841" s="91"/>
      <c r="B841" s="94"/>
      <c r="C841" s="94"/>
      <c r="D841" s="91"/>
      <c r="E841" s="91"/>
      <c r="F841" s="91"/>
      <c r="G841" s="91"/>
      <c r="H841" s="91"/>
      <c r="I841" s="91"/>
      <c r="J841" s="91"/>
      <c r="K841" s="91"/>
      <c r="L841" s="91"/>
      <c r="M841" s="91"/>
      <c r="N841" s="91"/>
      <c r="O841" s="91"/>
      <c r="P841" s="91"/>
      <c r="Q841" s="91"/>
      <c r="R841" s="91"/>
      <c r="S841" s="91"/>
      <c r="T841" s="91"/>
      <c r="U841" s="91"/>
      <c r="V841" s="91"/>
      <c r="W841" s="91"/>
      <c r="X841" s="91"/>
      <c r="Y841" s="91"/>
    </row>
    <row r="842" spans="1:25">
      <c r="A842" s="91"/>
      <c r="B842" s="94"/>
      <c r="C842" s="94"/>
      <c r="D842" s="91"/>
      <c r="E842" s="91"/>
      <c r="F842" s="91"/>
      <c r="G842" s="91"/>
      <c r="H842" s="91"/>
      <c r="I842" s="91"/>
      <c r="J842" s="91"/>
      <c r="K842" s="91"/>
      <c r="L842" s="91"/>
      <c r="M842" s="91"/>
      <c r="N842" s="91"/>
      <c r="O842" s="91"/>
      <c r="P842" s="91"/>
      <c r="Q842" s="91"/>
      <c r="R842" s="91"/>
      <c r="S842" s="91"/>
      <c r="T842" s="91"/>
      <c r="U842" s="91"/>
      <c r="V842" s="91"/>
      <c r="W842" s="91"/>
      <c r="X842" s="91"/>
      <c r="Y842" s="91"/>
    </row>
    <row r="843" spans="1:25">
      <c r="A843" s="91"/>
      <c r="B843" s="94"/>
      <c r="C843" s="94"/>
      <c r="D843" s="91"/>
      <c r="E843" s="91"/>
      <c r="F843" s="91"/>
      <c r="G843" s="91"/>
      <c r="H843" s="91"/>
      <c r="I843" s="91"/>
      <c r="J843" s="91"/>
      <c r="K843" s="91"/>
      <c r="L843" s="91"/>
      <c r="M843" s="91"/>
      <c r="N843" s="91"/>
      <c r="O843" s="91"/>
      <c r="P843" s="91"/>
      <c r="Q843" s="91"/>
      <c r="R843" s="91"/>
      <c r="S843" s="91"/>
      <c r="T843" s="91"/>
      <c r="U843" s="91"/>
      <c r="V843" s="91"/>
      <c r="W843" s="91"/>
      <c r="X843" s="91"/>
      <c r="Y843" s="91"/>
    </row>
    <row r="844" spans="1:25">
      <c r="A844" s="91"/>
      <c r="B844" s="94"/>
      <c r="C844" s="94"/>
      <c r="D844" s="91"/>
      <c r="E844" s="91"/>
      <c r="F844" s="91"/>
      <c r="G844" s="91"/>
      <c r="H844" s="91"/>
      <c r="I844" s="91"/>
      <c r="J844" s="91"/>
      <c r="K844" s="91"/>
      <c r="L844" s="91"/>
      <c r="M844" s="91"/>
      <c r="N844" s="91"/>
      <c r="O844" s="91"/>
      <c r="P844" s="91"/>
      <c r="Q844" s="91"/>
      <c r="R844" s="91"/>
      <c r="S844" s="91"/>
      <c r="T844" s="91"/>
      <c r="U844" s="91"/>
      <c r="V844" s="91"/>
      <c r="W844" s="91"/>
      <c r="X844" s="91"/>
      <c r="Y844" s="91"/>
    </row>
    <row r="845" spans="1:25">
      <c r="A845" s="91"/>
      <c r="B845" s="94"/>
      <c r="C845" s="94"/>
      <c r="D845" s="91"/>
      <c r="E845" s="91"/>
      <c r="F845" s="91"/>
      <c r="G845" s="91"/>
      <c r="H845" s="91"/>
      <c r="I845" s="91"/>
      <c r="J845" s="91"/>
      <c r="K845" s="91"/>
      <c r="L845" s="91"/>
      <c r="M845" s="91"/>
      <c r="N845" s="91"/>
      <c r="O845" s="91"/>
      <c r="P845" s="91"/>
      <c r="Q845" s="91"/>
      <c r="R845" s="91"/>
      <c r="S845" s="91"/>
      <c r="T845" s="91"/>
      <c r="U845" s="91"/>
      <c r="V845" s="91"/>
      <c r="W845" s="91"/>
      <c r="X845" s="91"/>
      <c r="Y845" s="91"/>
    </row>
    <row r="846" spans="1:25">
      <c r="A846" s="91"/>
      <c r="B846" s="94"/>
      <c r="C846" s="94"/>
      <c r="D846" s="91"/>
      <c r="E846" s="91"/>
      <c r="F846" s="91"/>
      <c r="G846" s="91"/>
      <c r="H846" s="91"/>
      <c r="I846" s="91"/>
      <c r="J846" s="91"/>
      <c r="K846" s="91"/>
      <c r="L846" s="91"/>
      <c r="M846" s="91"/>
      <c r="N846" s="91"/>
      <c r="O846" s="91"/>
      <c r="P846" s="91"/>
      <c r="Q846" s="91"/>
      <c r="R846" s="91"/>
      <c r="S846" s="91"/>
      <c r="T846" s="91"/>
      <c r="U846" s="91"/>
      <c r="V846" s="91"/>
      <c r="W846" s="91"/>
      <c r="X846" s="91"/>
      <c r="Y846" s="91"/>
    </row>
    <row r="847" spans="1:25">
      <c r="A847" s="91"/>
      <c r="B847" s="94"/>
      <c r="C847" s="94"/>
      <c r="D847" s="91"/>
      <c r="E847" s="91"/>
      <c r="F847" s="91"/>
      <c r="G847" s="91"/>
      <c r="H847" s="91"/>
      <c r="I847" s="91"/>
      <c r="J847" s="91"/>
      <c r="K847" s="91"/>
      <c r="L847" s="91"/>
      <c r="M847" s="91"/>
      <c r="N847" s="91"/>
      <c r="O847" s="91"/>
      <c r="P847" s="91"/>
      <c r="Q847" s="91"/>
      <c r="R847" s="91"/>
      <c r="S847" s="91"/>
      <c r="T847" s="91"/>
      <c r="U847" s="91"/>
      <c r="V847" s="91"/>
      <c r="W847" s="91"/>
      <c r="X847" s="91"/>
      <c r="Y847" s="91"/>
    </row>
    <row r="848" spans="1:25">
      <c r="A848" s="91"/>
      <c r="B848" s="94"/>
      <c r="C848" s="94"/>
      <c r="D848" s="91"/>
      <c r="E848" s="91"/>
      <c r="F848" s="91"/>
      <c r="G848" s="91"/>
      <c r="H848" s="91"/>
      <c r="I848" s="91"/>
      <c r="J848" s="91"/>
      <c r="K848" s="91"/>
      <c r="L848" s="91"/>
      <c r="M848" s="91"/>
      <c r="N848" s="91"/>
      <c r="O848" s="91"/>
      <c r="P848" s="91"/>
      <c r="Q848" s="91"/>
      <c r="R848" s="91"/>
      <c r="S848" s="91"/>
      <c r="T848" s="91"/>
      <c r="U848" s="91"/>
      <c r="V848" s="91"/>
      <c r="W848" s="91"/>
      <c r="X848" s="91"/>
      <c r="Y848" s="91"/>
    </row>
    <row r="849" spans="1:25">
      <c r="A849" s="91"/>
      <c r="B849" s="94"/>
      <c r="C849" s="94"/>
      <c r="D849" s="91"/>
      <c r="E849" s="91"/>
      <c r="F849" s="91"/>
      <c r="G849" s="91"/>
      <c r="H849" s="91"/>
      <c r="I849" s="91"/>
      <c r="J849" s="91"/>
      <c r="K849" s="91"/>
      <c r="L849" s="91"/>
      <c r="M849" s="91"/>
      <c r="N849" s="91"/>
      <c r="O849" s="91"/>
      <c r="P849" s="91"/>
      <c r="Q849" s="91"/>
      <c r="R849" s="91"/>
      <c r="S849" s="91"/>
      <c r="T849" s="91"/>
      <c r="U849" s="91"/>
      <c r="V849" s="91"/>
      <c r="W849" s="91"/>
      <c r="X849" s="91"/>
      <c r="Y849" s="91"/>
    </row>
    <row r="850" spans="1:25">
      <c r="A850" s="91"/>
      <c r="B850" s="94"/>
      <c r="C850" s="94"/>
      <c r="D850" s="91"/>
      <c r="E850" s="91"/>
      <c r="F850" s="91"/>
      <c r="G850" s="91"/>
      <c r="H850" s="91"/>
      <c r="I850" s="91"/>
      <c r="J850" s="91"/>
      <c r="K850" s="91"/>
      <c r="L850" s="91"/>
      <c r="M850" s="91"/>
      <c r="N850" s="91"/>
      <c r="O850" s="91"/>
      <c r="P850" s="91"/>
      <c r="Q850" s="91"/>
      <c r="R850" s="91"/>
      <c r="S850" s="91"/>
      <c r="T850" s="91"/>
      <c r="U850" s="91"/>
      <c r="V850" s="91"/>
      <c r="W850" s="91"/>
      <c r="X850" s="91"/>
      <c r="Y850" s="91"/>
    </row>
    <row r="851" spans="1:25">
      <c r="A851" s="91"/>
      <c r="B851" s="94"/>
      <c r="C851" s="94"/>
      <c r="D851" s="91"/>
      <c r="E851" s="91"/>
      <c r="F851" s="91"/>
      <c r="G851" s="91"/>
      <c r="H851" s="91"/>
      <c r="I851" s="91"/>
      <c r="J851" s="91"/>
      <c r="K851" s="91"/>
      <c r="L851" s="91"/>
      <c r="M851" s="91"/>
      <c r="N851" s="91"/>
      <c r="O851" s="91"/>
      <c r="P851" s="91"/>
      <c r="Q851" s="91"/>
      <c r="R851" s="91"/>
      <c r="S851" s="91"/>
      <c r="T851" s="91"/>
      <c r="U851" s="91"/>
      <c r="V851" s="91"/>
      <c r="W851" s="91"/>
      <c r="X851" s="91"/>
      <c r="Y851" s="91"/>
    </row>
    <row r="852" spans="1:25">
      <c r="A852" s="91"/>
      <c r="B852" s="94"/>
      <c r="C852" s="94"/>
      <c r="D852" s="91"/>
      <c r="E852" s="91"/>
      <c r="F852" s="91"/>
      <c r="G852" s="91"/>
      <c r="H852" s="91"/>
      <c r="I852" s="91"/>
      <c r="J852" s="91"/>
      <c r="K852" s="91"/>
      <c r="L852" s="91"/>
      <c r="M852" s="91"/>
      <c r="N852" s="91"/>
      <c r="O852" s="91"/>
      <c r="P852" s="91"/>
      <c r="Q852" s="91"/>
      <c r="R852" s="91"/>
      <c r="S852" s="91"/>
      <c r="T852" s="91"/>
      <c r="U852" s="91"/>
      <c r="V852" s="91"/>
      <c r="W852" s="91"/>
      <c r="X852" s="91"/>
      <c r="Y852" s="91"/>
    </row>
    <row r="853" spans="1:25">
      <c r="A853" s="91"/>
      <c r="B853" s="94"/>
      <c r="C853" s="94"/>
      <c r="D853" s="91"/>
      <c r="E853" s="91"/>
      <c r="F853" s="91"/>
      <c r="G853" s="91"/>
      <c r="H853" s="91"/>
      <c r="I853" s="91"/>
      <c r="J853" s="91"/>
      <c r="K853" s="91"/>
      <c r="L853" s="91"/>
      <c r="M853" s="91"/>
      <c r="N853" s="91"/>
      <c r="O853" s="91"/>
      <c r="P853" s="91"/>
      <c r="Q853" s="91"/>
      <c r="R853" s="91"/>
      <c r="S853" s="91"/>
      <c r="T853" s="91"/>
      <c r="U853" s="91"/>
      <c r="V853" s="91"/>
      <c r="W853" s="91"/>
      <c r="X853" s="91"/>
      <c r="Y853" s="91"/>
    </row>
    <row r="854" spans="1:25">
      <c r="A854" s="91"/>
      <c r="B854" s="94"/>
      <c r="C854" s="94"/>
      <c r="D854" s="91"/>
      <c r="E854" s="91"/>
      <c r="F854" s="91"/>
      <c r="G854" s="91"/>
      <c r="H854" s="91"/>
      <c r="I854" s="91"/>
      <c r="J854" s="91"/>
      <c r="K854" s="91"/>
      <c r="L854" s="91"/>
      <c r="M854" s="91"/>
      <c r="N854" s="91"/>
      <c r="O854" s="91"/>
      <c r="P854" s="91"/>
      <c r="Q854" s="91"/>
      <c r="R854" s="91"/>
      <c r="S854" s="91"/>
      <c r="T854" s="91"/>
      <c r="U854" s="91"/>
      <c r="V854" s="91"/>
      <c r="W854" s="91"/>
      <c r="X854" s="91"/>
      <c r="Y854" s="91"/>
    </row>
    <row r="855" spans="1:25">
      <c r="A855" s="91"/>
      <c r="B855" s="94"/>
      <c r="C855" s="94"/>
      <c r="D855" s="91"/>
      <c r="E855" s="91"/>
      <c r="F855" s="91"/>
      <c r="G855" s="91"/>
      <c r="H855" s="91"/>
      <c r="I855" s="91"/>
      <c r="J855" s="91"/>
      <c r="K855" s="91"/>
      <c r="L855" s="91"/>
      <c r="M855" s="91"/>
      <c r="N855" s="91"/>
      <c r="O855" s="91"/>
      <c r="P855" s="91"/>
      <c r="Q855" s="91"/>
      <c r="R855" s="91"/>
      <c r="S855" s="91"/>
      <c r="T855" s="91"/>
      <c r="U855" s="91"/>
      <c r="V855" s="91"/>
      <c r="W855" s="91"/>
      <c r="X855" s="91"/>
      <c r="Y855" s="91"/>
    </row>
    <row r="856" spans="1:25">
      <c r="A856" s="91"/>
      <c r="B856" s="94"/>
      <c r="C856" s="94"/>
      <c r="D856" s="91"/>
      <c r="E856" s="91"/>
      <c r="F856" s="91"/>
      <c r="G856" s="91"/>
      <c r="H856" s="91"/>
      <c r="I856" s="91"/>
      <c r="J856" s="91"/>
      <c r="K856" s="91"/>
      <c r="L856" s="91"/>
      <c r="M856" s="91"/>
      <c r="N856" s="91"/>
      <c r="O856" s="91"/>
      <c r="P856" s="91"/>
      <c r="Q856" s="91"/>
      <c r="R856" s="91"/>
      <c r="S856" s="91"/>
      <c r="T856" s="91"/>
      <c r="U856" s="91"/>
      <c r="V856" s="91"/>
      <c r="W856" s="91"/>
      <c r="X856" s="91"/>
      <c r="Y856" s="91"/>
    </row>
    <row r="857" spans="1:25">
      <c r="A857" s="91"/>
      <c r="B857" s="94"/>
      <c r="C857" s="94"/>
      <c r="D857" s="91"/>
      <c r="E857" s="91"/>
      <c r="F857" s="91"/>
      <c r="G857" s="91"/>
      <c r="H857" s="91"/>
      <c r="I857" s="91"/>
      <c r="J857" s="91"/>
      <c r="K857" s="91"/>
      <c r="L857" s="91"/>
      <c r="M857" s="91"/>
      <c r="N857" s="91"/>
      <c r="O857" s="91"/>
      <c r="P857" s="91"/>
      <c r="Q857" s="91"/>
      <c r="R857" s="91"/>
      <c r="S857" s="91"/>
      <c r="T857" s="91"/>
      <c r="U857" s="91"/>
      <c r="V857" s="91"/>
      <c r="W857" s="91"/>
      <c r="X857" s="91"/>
      <c r="Y857" s="91"/>
    </row>
    <row r="858" spans="1:25">
      <c r="A858" s="91"/>
      <c r="B858" s="94"/>
      <c r="C858" s="94"/>
      <c r="D858" s="91"/>
      <c r="E858" s="91"/>
      <c r="F858" s="91"/>
      <c r="G858" s="91"/>
      <c r="H858" s="91"/>
      <c r="I858" s="91"/>
      <c r="J858" s="91"/>
      <c r="K858" s="91"/>
      <c r="L858" s="91"/>
      <c r="M858" s="91"/>
      <c r="N858" s="91"/>
      <c r="O858" s="91"/>
      <c r="P858" s="91"/>
      <c r="Q858" s="91"/>
      <c r="R858" s="91"/>
      <c r="S858" s="91"/>
      <c r="T858" s="91"/>
      <c r="U858" s="91"/>
      <c r="V858" s="91"/>
      <c r="W858" s="91"/>
      <c r="X858" s="91"/>
      <c r="Y858" s="91"/>
    </row>
    <row r="859" spans="1:25">
      <c r="A859" s="91"/>
      <c r="B859" s="94"/>
      <c r="C859" s="94"/>
      <c r="D859" s="91"/>
      <c r="E859" s="91"/>
      <c r="F859" s="91"/>
      <c r="G859" s="91"/>
      <c r="H859" s="91"/>
      <c r="I859" s="91"/>
      <c r="J859" s="91"/>
      <c r="K859" s="91"/>
      <c r="L859" s="91"/>
      <c r="M859" s="91"/>
      <c r="N859" s="91"/>
      <c r="O859" s="91"/>
      <c r="P859" s="91"/>
      <c r="Q859" s="91"/>
      <c r="R859" s="91"/>
      <c r="S859" s="91"/>
      <c r="T859" s="91"/>
      <c r="U859" s="91"/>
      <c r="V859" s="91"/>
      <c r="W859" s="91"/>
      <c r="X859" s="91"/>
      <c r="Y859" s="91"/>
    </row>
    <row r="860" spans="1:25">
      <c r="A860" s="91"/>
      <c r="B860" s="94"/>
      <c r="C860" s="94"/>
      <c r="D860" s="91"/>
      <c r="E860" s="91"/>
      <c r="F860" s="91"/>
      <c r="G860" s="91"/>
      <c r="H860" s="91"/>
      <c r="I860" s="91"/>
      <c r="J860" s="91"/>
      <c r="K860" s="91"/>
      <c r="L860" s="91"/>
      <c r="M860" s="91"/>
      <c r="N860" s="91"/>
      <c r="O860" s="91"/>
      <c r="P860" s="91"/>
      <c r="Q860" s="91"/>
      <c r="R860" s="91"/>
      <c r="S860" s="91"/>
      <c r="T860" s="91"/>
      <c r="U860" s="91"/>
      <c r="V860" s="91"/>
      <c r="W860" s="91"/>
      <c r="X860" s="91"/>
      <c r="Y860" s="91"/>
    </row>
    <row r="861" spans="1:25">
      <c r="A861" s="91"/>
      <c r="B861" s="94"/>
      <c r="C861" s="94"/>
      <c r="D861" s="91"/>
      <c r="E861" s="91"/>
      <c r="F861" s="91"/>
      <c r="G861" s="91"/>
      <c r="H861" s="91"/>
      <c r="I861" s="91"/>
      <c r="J861" s="91"/>
      <c r="K861" s="91"/>
      <c r="L861" s="91"/>
      <c r="M861" s="91"/>
      <c r="N861" s="91"/>
      <c r="O861" s="91"/>
      <c r="P861" s="91"/>
      <c r="Q861" s="91"/>
      <c r="R861" s="91"/>
      <c r="S861" s="91"/>
      <c r="T861" s="91"/>
      <c r="U861" s="91"/>
      <c r="V861" s="91"/>
      <c r="W861" s="91"/>
      <c r="X861" s="91"/>
      <c r="Y861" s="91"/>
    </row>
    <row r="862" spans="1:25">
      <c r="A862" s="91"/>
      <c r="B862" s="94"/>
      <c r="C862" s="94"/>
      <c r="D862" s="91"/>
      <c r="E862" s="91"/>
      <c r="F862" s="91"/>
      <c r="G862" s="91"/>
      <c r="H862" s="91"/>
      <c r="I862" s="91"/>
      <c r="J862" s="91"/>
      <c r="K862" s="91"/>
      <c r="L862" s="91"/>
      <c r="M862" s="91"/>
      <c r="N862" s="91"/>
      <c r="O862" s="91"/>
      <c r="P862" s="91"/>
      <c r="Q862" s="91"/>
      <c r="R862" s="91"/>
      <c r="S862" s="91"/>
      <c r="T862" s="91"/>
      <c r="U862" s="91"/>
      <c r="V862" s="91"/>
      <c r="W862" s="91"/>
      <c r="X862" s="91"/>
      <c r="Y862" s="91"/>
    </row>
    <row r="863" spans="1:25">
      <c r="A863" s="91"/>
      <c r="B863" s="94"/>
      <c r="C863" s="94"/>
      <c r="D863" s="91"/>
      <c r="E863" s="91"/>
      <c r="F863" s="91"/>
      <c r="G863" s="91"/>
      <c r="H863" s="91"/>
      <c r="I863" s="91"/>
      <c r="J863" s="91"/>
      <c r="K863" s="91"/>
      <c r="L863" s="91"/>
      <c r="M863" s="91"/>
      <c r="N863" s="91"/>
      <c r="O863" s="91"/>
      <c r="P863" s="91"/>
      <c r="Q863" s="91"/>
      <c r="R863" s="91"/>
      <c r="S863" s="91"/>
      <c r="T863" s="91"/>
      <c r="U863" s="91"/>
      <c r="V863" s="91"/>
      <c r="W863" s="91"/>
      <c r="X863" s="91"/>
      <c r="Y863" s="91"/>
    </row>
    <row r="864" spans="1:25">
      <c r="A864" s="91"/>
      <c r="B864" s="94"/>
      <c r="C864" s="94"/>
      <c r="D864" s="91"/>
      <c r="E864" s="91"/>
      <c r="F864" s="91"/>
      <c r="G864" s="91"/>
      <c r="H864" s="91"/>
      <c r="I864" s="91"/>
      <c r="J864" s="91"/>
      <c r="K864" s="91"/>
      <c r="L864" s="91"/>
      <c r="M864" s="91"/>
      <c r="N864" s="91"/>
      <c r="O864" s="91"/>
      <c r="P864" s="91"/>
      <c r="Q864" s="91"/>
      <c r="R864" s="91"/>
      <c r="S864" s="91"/>
      <c r="T864" s="91"/>
      <c r="U864" s="91"/>
      <c r="V864" s="91"/>
      <c r="W864" s="91"/>
      <c r="X864" s="91"/>
      <c r="Y864" s="91"/>
    </row>
    <row r="865" spans="1:25">
      <c r="A865" s="91"/>
      <c r="B865" s="94"/>
      <c r="C865" s="94"/>
      <c r="D865" s="91"/>
      <c r="E865" s="91"/>
      <c r="F865" s="91"/>
      <c r="G865" s="91"/>
      <c r="H865" s="91"/>
      <c r="I865" s="91"/>
      <c r="J865" s="91"/>
      <c r="K865" s="91"/>
      <c r="L865" s="91"/>
      <c r="M865" s="91"/>
      <c r="N865" s="91"/>
      <c r="O865" s="91"/>
      <c r="P865" s="91"/>
      <c r="Q865" s="91"/>
      <c r="R865" s="91"/>
      <c r="S865" s="91"/>
      <c r="T865" s="91"/>
      <c r="U865" s="91"/>
      <c r="V865" s="91"/>
      <c r="W865" s="91"/>
      <c r="X865" s="91"/>
      <c r="Y865" s="91"/>
    </row>
    <row r="866" spans="1:25">
      <c r="A866" s="91"/>
      <c r="B866" s="94"/>
      <c r="C866" s="94"/>
      <c r="D866" s="91"/>
      <c r="E866" s="91"/>
      <c r="F866" s="91"/>
      <c r="G866" s="91"/>
      <c r="H866" s="91"/>
      <c r="I866" s="91"/>
      <c r="J866" s="91"/>
      <c r="K866" s="91"/>
      <c r="L866" s="91"/>
      <c r="M866" s="91"/>
      <c r="N866" s="91"/>
      <c r="O866" s="91"/>
      <c r="P866" s="91"/>
      <c r="Q866" s="91"/>
      <c r="R866" s="91"/>
      <c r="S866" s="91"/>
      <c r="T866" s="91"/>
      <c r="U866" s="91"/>
      <c r="V866" s="91"/>
      <c r="W866" s="91"/>
      <c r="X866" s="91"/>
      <c r="Y866" s="91"/>
    </row>
    <row r="867" spans="1:25">
      <c r="A867" s="91"/>
      <c r="B867" s="94"/>
      <c r="C867" s="94"/>
      <c r="D867" s="91"/>
      <c r="E867" s="91"/>
      <c r="F867" s="91"/>
      <c r="G867" s="91"/>
      <c r="H867" s="91"/>
      <c r="I867" s="91"/>
      <c r="J867" s="91"/>
      <c r="K867" s="91"/>
      <c r="L867" s="91"/>
      <c r="M867" s="91"/>
      <c r="N867" s="91"/>
      <c r="O867" s="91"/>
      <c r="P867" s="91"/>
      <c r="Q867" s="91"/>
      <c r="R867" s="91"/>
      <c r="S867" s="91"/>
      <c r="T867" s="91"/>
      <c r="U867" s="91"/>
      <c r="V867" s="91"/>
      <c r="W867" s="91"/>
      <c r="X867" s="91"/>
      <c r="Y867" s="91"/>
    </row>
    <row r="868" spans="1:25">
      <c r="A868" s="91"/>
      <c r="B868" s="94"/>
      <c r="C868" s="94"/>
      <c r="D868" s="91"/>
      <c r="E868" s="91"/>
      <c r="F868" s="91"/>
      <c r="G868" s="91"/>
      <c r="H868" s="91"/>
      <c r="I868" s="91"/>
      <c r="J868" s="91"/>
      <c r="K868" s="91"/>
      <c r="L868" s="91"/>
      <c r="M868" s="91"/>
      <c r="N868" s="91"/>
      <c r="O868" s="91"/>
      <c r="P868" s="91"/>
      <c r="Q868" s="91"/>
      <c r="R868" s="91"/>
      <c r="S868" s="91"/>
      <c r="T868" s="91"/>
      <c r="U868" s="91"/>
      <c r="V868" s="91"/>
      <c r="W868" s="91"/>
      <c r="X868" s="91"/>
      <c r="Y868" s="91"/>
    </row>
    <row r="869" spans="1:25">
      <c r="A869" s="91"/>
      <c r="B869" s="94"/>
      <c r="C869" s="94"/>
      <c r="D869" s="91"/>
      <c r="E869" s="91"/>
      <c r="F869" s="91"/>
      <c r="G869" s="91"/>
      <c r="H869" s="91"/>
      <c r="I869" s="91"/>
      <c r="J869" s="91"/>
      <c r="K869" s="91"/>
      <c r="L869" s="91"/>
      <c r="M869" s="91"/>
      <c r="N869" s="91"/>
      <c r="O869" s="91"/>
      <c r="P869" s="91"/>
      <c r="Q869" s="91"/>
      <c r="R869" s="91"/>
      <c r="S869" s="91"/>
      <c r="T869" s="91"/>
      <c r="U869" s="91"/>
      <c r="V869" s="91"/>
      <c r="W869" s="91"/>
      <c r="X869" s="91"/>
      <c r="Y869" s="91"/>
    </row>
    <row r="870" spans="1:25">
      <c r="A870" s="91"/>
      <c r="B870" s="94"/>
      <c r="C870" s="94"/>
      <c r="D870" s="91"/>
      <c r="E870" s="91"/>
      <c r="F870" s="91"/>
      <c r="G870" s="91"/>
      <c r="H870" s="91"/>
      <c r="I870" s="91"/>
      <c r="J870" s="91"/>
      <c r="K870" s="91"/>
      <c r="L870" s="91"/>
      <c r="M870" s="91"/>
      <c r="N870" s="91"/>
      <c r="O870" s="91"/>
      <c r="P870" s="91"/>
      <c r="Q870" s="91"/>
      <c r="R870" s="91"/>
      <c r="S870" s="91"/>
      <c r="T870" s="91"/>
      <c r="U870" s="91"/>
      <c r="V870" s="91"/>
      <c r="W870" s="91"/>
      <c r="X870" s="91"/>
      <c r="Y870" s="91"/>
    </row>
    <row r="871" spans="1:25">
      <c r="A871" s="91"/>
      <c r="B871" s="94"/>
      <c r="C871" s="94"/>
      <c r="D871" s="91"/>
      <c r="E871" s="91"/>
      <c r="F871" s="91"/>
      <c r="G871" s="91"/>
      <c r="H871" s="91"/>
      <c r="I871" s="91"/>
      <c r="J871" s="91"/>
      <c r="K871" s="91"/>
      <c r="L871" s="91"/>
      <c r="M871" s="91"/>
      <c r="N871" s="91"/>
      <c r="O871" s="91"/>
      <c r="P871" s="91"/>
      <c r="Q871" s="91"/>
      <c r="R871" s="91"/>
      <c r="S871" s="91"/>
      <c r="T871" s="91"/>
      <c r="U871" s="91"/>
      <c r="V871" s="91"/>
      <c r="W871" s="91"/>
      <c r="X871" s="91"/>
      <c r="Y871" s="91"/>
    </row>
    <row r="872" spans="1:25">
      <c r="A872" s="91"/>
      <c r="B872" s="94"/>
      <c r="C872" s="94"/>
      <c r="D872" s="91"/>
      <c r="E872" s="91"/>
      <c r="F872" s="91"/>
      <c r="G872" s="91"/>
      <c r="H872" s="91"/>
      <c r="I872" s="91"/>
      <c r="J872" s="91"/>
      <c r="K872" s="91"/>
      <c r="L872" s="91"/>
      <c r="M872" s="91"/>
      <c r="N872" s="91"/>
      <c r="O872" s="91"/>
      <c r="P872" s="91"/>
      <c r="Q872" s="91"/>
      <c r="R872" s="91"/>
      <c r="S872" s="91"/>
      <c r="T872" s="91"/>
      <c r="U872" s="91"/>
      <c r="V872" s="91"/>
      <c r="W872" s="91"/>
      <c r="X872" s="91"/>
      <c r="Y872" s="91"/>
    </row>
    <row r="873" spans="1:25">
      <c r="A873" s="91"/>
      <c r="B873" s="94"/>
      <c r="C873" s="94"/>
      <c r="D873" s="91"/>
      <c r="E873" s="91"/>
      <c r="F873" s="91"/>
      <c r="G873" s="91"/>
      <c r="H873" s="91"/>
      <c r="I873" s="91"/>
      <c r="J873" s="91"/>
      <c r="K873" s="91"/>
      <c r="L873" s="91"/>
      <c r="M873" s="91"/>
      <c r="N873" s="91"/>
      <c r="O873" s="91"/>
      <c r="P873" s="91"/>
      <c r="Q873" s="91"/>
      <c r="R873" s="91"/>
      <c r="S873" s="91"/>
      <c r="T873" s="91"/>
      <c r="U873" s="91"/>
      <c r="V873" s="91"/>
      <c r="W873" s="91"/>
      <c r="X873" s="91"/>
      <c r="Y873" s="91"/>
    </row>
    <row r="874" spans="1:25">
      <c r="A874" s="91"/>
      <c r="B874" s="94"/>
      <c r="C874" s="94"/>
      <c r="D874" s="91"/>
      <c r="E874" s="91"/>
      <c r="F874" s="91"/>
      <c r="G874" s="91"/>
      <c r="H874" s="91"/>
      <c r="I874" s="91"/>
      <c r="J874" s="91"/>
      <c r="K874" s="91"/>
      <c r="L874" s="91"/>
      <c r="M874" s="91"/>
      <c r="N874" s="91"/>
      <c r="O874" s="91"/>
      <c r="P874" s="91"/>
      <c r="Q874" s="91"/>
      <c r="R874" s="91"/>
      <c r="S874" s="91"/>
      <c r="T874" s="91"/>
      <c r="U874" s="91"/>
      <c r="V874" s="91"/>
      <c r="W874" s="91"/>
      <c r="X874" s="91"/>
      <c r="Y874" s="91"/>
    </row>
    <row r="875" spans="1:25">
      <c r="A875" s="91"/>
      <c r="B875" s="94"/>
      <c r="C875" s="94"/>
      <c r="D875" s="91"/>
      <c r="E875" s="91"/>
      <c r="F875" s="91"/>
      <c r="G875" s="91"/>
      <c r="H875" s="91"/>
      <c r="I875" s="91"/>
      <c r="J875" s="91"/>
      <c r="K875" s="91"/>
      <c r="L875" s="91"/>
      <c r="M875" s="91"/>
      <c r="N875" s="91"/>
      <c r="O875" s="91"/>
      <c r="P875" s="91"/>
      <c r="Q875" s="91"/>
      <c r="R875" s="91"/>
      <c r="S875" s="91"/>
      <c r="T875" s="91"/>
      <c r="U875" s="91"/>
      <c r="V875" s="91"/>
      <c r="W875" s="91"/>
      <c r="X875" s="91"/>
      <c r="Y875" s="91"/>
    </row>
    <row r="876" spans="1:25">
      <c r="A876" s="91"/>
      <c r="B876" s="94"/>
      <c r="C876" s="94"/>
      <c r="D876" s="91"/>
      <c r="E876" s="91"/>
      <c r="F876" s="91"/>
      <c r="G876" s="91"/>
      <c r="H876" s="91"/>
      <c r="I876" s="91"/>
      <c r="J876" s="91"/>
      <c r="K876" s="91"/>
      <c r="L876" s="91"/>
      <c r="M876" s="91"/>
      <c r="N876" s="91"/>
      <c r="O876" s="91"/>
      <c r="P876" s="91"/>
      <c r="Q876" s="91"/>
      <c r="R876" s="91"/>
      <c r="S876" s="91"/>
      <c r="T876" s="91"/>
      <c r="U876" s="91"/>
      <c r="V876" s="91"/>
      <c r="W876" s="91"/>
      <c r="X876" s="91"/>
      <c r="Y876" s="91"/>
    </row>
    <row r="877" spans="1:25">
      <c r="A877" s="91"/>
      <c r="B877" s="94"/>
      <c r="C877" s="94"/>
      <c r="D877" s="91"/>
      <c r="E877" s="91"/>
      <c r="F877" s="91"/>
      <c r="G877" s="91"/>
      <c r="H877" s="91"/>
      <c r="I877" s="91"/>
      <c r="J877" s="91"/>
      <c r="K877" s="91"/>
      <c r="L877" s="91"/>
      <c r="M877" s="91"/>
      <c r="N877" s="91"/>
      <c r="O877" s="91"/>
      <c r="P877" s="91"/>
      <c r="Q877" s="91"/>
      <c r="R877" s="91"/>
      <c r="S877" s="91"/>
      <c r="T877" s="91"/>
      <c r="U877" s="91"/>
      <c r="V877" s="91"/>
      <c r="W877" s="91"/>
      <c r="X877" s="91"/>
      <c r="Y877" s="91"/>
    </row>
    <row r="878" spans="1:25">
      <c r="A878" s="91"/>
      <c r="B878" s="94"/>
      <c r="C878" s="94"/>
      <c r="D878" s="91"/>
      <c r="E878" s="91"/>
      <c r="F878" s="91"/>
      <c r="G878" s="91"/>
      <c r="H878" s="91"/>
      <c r="I878" s="91"/>
      <c r="J878" s="91"/>
      <c r="K878" s="91"/>
      <c r="L878" s="91"/>
      <c r="M878" s="91"/>
      <c r="N878" s="91"/>
      <c r="O878" s="91"/>
      <c r="P878" s="91"/>
      <c r="Q878" s="91"/>
      <c r="R878" s="91"/>
      <c r="S878" s="91"/>
      <c r="T878" s="91"/>
      <c r="U878" s="91"/>
      <c r="V878" s="91"/>
      <c r="W878" s="91"/>
      <c r="X878" s="91"/>
      <c r="Y878" s="91"/>
    </row>
    <row r="879" spans="1:25">
      <c r="A879" s="91"/>
      <c r="B879" s="94"/>
      <c r="C879" s="94"/>
      <c r="D879" s="91"/>
      <c r="E879" s="91"/>
      <c r="F879" s="91"/>
      <c r="G879" s="91"/>
      <c r="H879" s="91"/>
      <c r="I879" s="91"/>
      <c r="J879" s="91"/>
      <c r="K879" s="91"/>
      <c r="L879" s="91"/>
      <c r="M879" s="91"/>
      <c r="N879" s="91"/>
      <c r="O879" s="91"/>
      <c r="P879" s="91"/>
      <c r="Q879" s="91"/>
      <c r="R879" s="91"/>
      <c r="S879" s="91"/>
      <c r="T879" s="91"/>
      <c r="U879" s="91"/>
      <c r="V879" s="91"/>
      <c r="W879" s="91"/>
      <c r="X879" s="91"/>
      <c r="Y879" s="91"/>
    </row>
    <row r="880" spans="1:25">
      <c r="A880" s="91"/>
      <c r="B880" s="94"/>
      <c r="C880" s="94"/>
      <c r="D880" s="91"/>
      <c r="E880" s="91"/>
      <c r="F880" s="91"/>
      <c r="G880" s="91"/>
      <c r="H880" s="91"/>
      <c r="I880" s="91"/>
      <c r="J880" s="91"/>
      <c r="K880" s="91"/>
      <c r="L880" s="91"/>
      <c r="M880" s="91"/>
      <c r="N880" s="91"/>
      <c r="O880" s="91"/>
      <c r="P880" s="91"/>
      <c r="Q880" s="91"/>
      <c r="R880" s="91"/>
      <c r="S880" s="91"/>
      <c r="T880" s="91"/>
      <c r="U880" s="91"/>
      <c r="V880" s="91"/>
      <c r="W880" s="91"/>
      <c r="X880" s="91"/>
      <c r="Y880" s="91"/>
    </row>
    <row r="881" spans="1:25">
      <c r="A881" s="91"/>
      <c r="B881" s="94"/>
      <c r="C881" s="94"/>
      <c r="D881" s="91"/>
      <c r="E881" s="91"/>
      <c r="F881" s="91"/>
      <c r="G881" s="91"/>
      <c r="H881" s="91"/>
      <c r="I881" s="91"/>
      <c r="J881" s="91"/>
      <c r="K881" s="91"/>
      <c r="L881" s="91"/>
      <c r="M881" s="91"/>
      <c r="N881" s="91"/>
      <c r="O881" s="91"/>
      <c r="P881" s="91"/>
      <c r="Q881" s="91"/>
      <c r="R881" s="91"/>
      <c r="S881" s="91"/>
      <c r="T881" s="91"/>
      <c r="U881" s="91"/>
      <c r="V881" s="91"/>
      <c r="W881" s="91"/>
      <c r="X881" s="91"/>
      <c r="Y881" s="91"/>
    </row>
    <row r="882" spans="1:25">
      <c r="A882" s="91"/>
      <c r="B882" s="94"/>
      <c r="C882" s="94"/>
      <c r="D882" s="91"/>
      <c r="E882" s="91"/>
      <c r="F882" s="91"/>
      <c r="G882" s="91"/>
      <c r="H882" s="91"/>
      <c r="I882" s="91"/>
      <c r="J882" s="91"/>
      <c r="K882" s="91"/>
      <c r="L882" s="91"/>
      <c r="M882" s="91"/>
      <c r="N882" s="91"/>
      <c r="O882" s="91"/>
      <c r="P882" s="91"/>
      <c r="Q882" s="91"/>
      <c r="R882" s="91"/>
      <c r="S882" s="91"/>
      <c r="T882" s="91"/>
      <c r="U882" s="91"/>
      <c r="V882" s="91"/>
      <c r="W882" s="91"/>
      <c r="X882" s="91"/>
      <c r="Y882" s="91"/>
    </row>
    <row r="883" spans="1:25">
      <c r="A883" s="91"/>
      <c r="B883" s="94"/>
      <c r="C883" s="94"/>
      <c r="D883" s="91"/>
      <c r="E883" s="91"/>
      <c r="F883" s="91"/>
      <c r="G883" s="91"/>
      <c r="H883" s="91"/>
      <c r="I883" s="91"/>
      <c r="J883" s="91"/>
      <c r="K883" s="91"/>
      <c r="L883" s="91"/>
      <c r="M883" s="91"/>
      <c r="N883" s="91"/>
      <c r="O883" s="91"/>
      <c r="P883" s="91"/>
      <c r="Q883" s="91"/>
      <c r="R883" s="91"/>
      <c r="S883" s="91"/>
      <c r="T883" s="91"/>
      <c r="U883" s="91"/>
      <c r="V883" s="91"/>
      <c r="W883" s="91"/>
      <c r="X883" s="91"/>
      <c r="Y883" s="91"/>
    </row>
    <row r="884" spans="1:25">
      <c r="A884" s="91"/>
      <c r="B884" s="94"/>
      <c r="C884" s="94"/>
      <c r="D884" s="91"/>
      <c r="E884" s="91"/>
      <c r="F884" s="91"/>
      <c r="G884" s="91"/>
      <c r="H884" s="91"/>
      <c r="I884" s="91"/>
      <c r="J884" s="91"/>
      <c r="K884" s="91"/>
      <c r="L884" s="91"/>
      <c r="M884" s="91"/>
      <c r="N884" s="91"/>
      <c r="O884" s="91"/>
      <c r="P884" s="91"/>
      <c r="Q884" s="91"/>
      <c r="R884" s="91"/>
      <c r="S884" s="91"/>
      <c r="T884" s="91"/>
      <c r="U884" s="91"/>
      <c r="V884" s="91"/>
      <c r="W884" s="91"/>
      <c r="X884" s="91"/>
      <c r="Y884" s="91"/>
    </row>
    <row r="885" spans="1:25">
      <c r="A885" s="91"/>
      <c r="B885" s="94"/>
      <c r="C885" s="94"/>
      <c r="D885" s="91"/>
      <c r="E885" s="91"/>
      <c r="F885" s="91"/>
      <c r="G885" s="91"/>
      <c r="H885" s="91"/>
      <c r="I885" s="91"/>
      <c r="J885" s="91"/>
      <c r="K885" s="91"/>
      <c r="L885" s="91"/>
      <c r="M885" s="91"/>
      <c r="N885" s="91"/>
      <c r="O885" s="91"/>
      <c r="P885" s="91"/>
      <c r="Q885" s="91"/>
      <c r="R885" s="91"/>
      <c r="S885" s="91"/>
      <c r="T885" s="91"/>
      <c r="U885" s="91"/>
      <c r="V885" s="91"/>
      <c r="W885" s="91"/>
      <c r="X885" s="91"/>
      <c r="Y885" s="91"/>
    </row>
    <row r="886" spans="1:25">
      <c r="A886" s="91"/>
      <c r="B886" s="94"/>
      <c r="C886" s="94"/>
      <c r="D886" s="91"/>
      <c r="E886" s="91"/>
      <c r="F886" s="91"/>
      <c r="G886" s="91"/>
      <c r="H886" s="91"/>
      <c r="I886" s="91"/>
      <c r="J886" s="91"/>
      <c r="K886" s="91"/>
      <c r="L886" s="91"/>
      <c r="M886" s="91"/>
      <c r="N886" s="91"/>
      <c r="O886" s="91"/>
      <c r="P886" s="91"/>
      <c r="Q886" s="91"/>
      <c r="R886" s="91"/>
      <c r="S886" s="91"/>
      <c r="T886" s="91"/>
      <c r="U886" s="91"/>
      <c r="V886" s="91"/>
      <c r="W886" s="91"/>
      <c r="X886" s="91"/>
      <c r="Y886" s="91"/>
    </row>
    <row r="887" spans="1:25">
      <c r="A887" s="91"/>
      <c r="B887" s="94"/>
      <c r="C887" s="94"/>
      <c r="D887" s="91"/>
      <c r="E887" s="91"/>
      <c r="F887" s="91"/>
      <c r="G887" s="91"/>
      <c r="H887" s="91"/>
      <c r="I887" s="91"/>
      <c r="J887" s="91"/>
      <c r="K887" s="91"/>
      <c r="L887" s="91"/>
      <c r="M887" s="91"/>
      <c r="N887" s="91"/>
      <c r="O887" s="91"/>
      <c r="P887" s="91"/>
      <c r="Q887" s="91"/>
      <c r="R887" s="91"/>
      <c r="S887" s="91"/>
      <c r="T887" s="91"/>
      <c r="U887" s="91"/>
      <c r="V887" s="91"/>
      <c r="W887" s="91"/>
      <c r="X887" s="91"/>
      <c r="Y887" s="91"/>
    </row>
    <row r="888" spans="1:25">
      <c r="A888" s="91"/>
      <c r="B888" s="94"/>
      <c r="C888" s="94"/>
      <c r="D888" s="91"/>
      <c r="E888" s="91"/>
      <c r="F888" s="91"/>
      <c r="G888" s="91"/>
      <c r="H888" s="91"/>
      <c r="I888" s="91"/>
      <c r="J888" s="91"/>
      <c r="K888" s="91"/>
      <c r="L888" s="91"/>
      <c r="M888" s="91"/>
      <c r="N888" s="91"/>
      <c r="O888" s="91"/>
      <c r="P888" s="91"/>
      <c r="Q888" s="91"/>
      <c r="R888" s="91"/>
      <c r="S888" s="91"/>
      <c r="T888" s="91"/>
      <c r="U888" s="91"/>
      <c r="V888" s="91"/>
      <c r="W888" s="91"/>
      <c r="X888" s="91"/>
      <c r="Y888" s="91"/>
    </row>
    <row r="889" spans="1:25">
      <c r="A889" s="91"/>
      <c r="B889" s="94"/>
      <c r="C889" s="94"/>
      <c r="D889" s="91"/>
      <c r="E889" s="91"/>
      <c r="F889" s="91"/>
      <c r="G889" s="91"/>
      <c r="H889" s="91"/>
      <c r="I889" s="91"/>
      <c r="J889" s="91"/>
      <c r="K889" s="91"/>
      <c r="L889" s="91"/>
      <c r="M889" s="91"/>
      <c r="N889" s="91"/>
      <c r="O889" s="91"/>
      <c r="P889" s="91"/>
      <c r="Q889" s="91"/>
      <c r="R889" s="91"/>
      <c r="S889" s="91"/>
      <c r="T889" s="91"/>
      <c r="U889" s="91"/>
      <c r="V889" s="91"/>
      <c r="W889" s="91"/>
      <c r="X889" s="91"/>
      <c r="Y889" s="91"/>
    </row>
    <row r="890" spans="1:25">
      <c r="A890" s="91"/>
      <c r="B890" s="94"/>
      <c r="C890" s="94"/>
      <c r="D890" s="91"/>
      <c r="E890" s="91"/>
      <c r="F890" s="91"/>
      <c r="G890" s="91"/>
      <c r="H890" s="91"/>
      <c r="I890" s="91"/>
      <c r="J890" s="91"/>
      <c r="K890" s="91"/>
      <c r="L890" s="91"/>
      <c r="M890" s="91"/>
      <c r="N890" s="91"/>
      <c r="O890" s="91"/>
      <c r="P890" s="91"/>
      <c r="Q890" s="91"/>
      <c r="R890" s="91"/>
      <c r="S890" s="91"/>
      <c r="T890" s="91"/>
      <c r="U890" s="91"/>
      <c r="V890" s="91"/>
      <c r="W890" s="91"/>
      <c r="X890" s="91"/>
      <c r="Y890" s="91"/>
    </row>
    <row r="891" spans="1:25">
      <c r="A891" s="91"/>
      <c r="B891" s="94"/>
      <c r="C891" s="94"/>
      <c r="D891" s="91"/>
      <c r="E891" s="91"/>
      <c r="F891" s="91"/>
      <c r="G891" s="91"/>
      <c r="H891" s="91"/>
      <c r="I891" s="91"/>
      <c r="J891" s="91"/>
      <c r="K891" s="91"/>
      <c r="L891" s="91"/>
      <c r="M891" s="91"/>
      <c r="N891" s="91"/>
      <c r="O891" s="91"/>
      <c r="P891" s="91"/>
      <c r="Q891" s="91"/>
      <c r="R891" s="91"/>
      <c r="S891" s="91"/>
      <c r="T891" s="91"/>
      <c r="U891" s="91"/>
      <c r="V891" s="91"/>
      <c r="W891" s="91"/>
      <c r="X891" s="91"/>
      <c r="Y891" s="91"/>
    </row>
    <row r="892" spans="1:25">
      <c r="A892" s="91"/>
      <c r="B892" s="94"/>
      <c r="C892" s="94"/>
      <c r="D892" s="91"/>
      <c r="E892" s="91"/>
      <c r="F892" s="91"/>
      <c r="G892" s="91"/>
      <c r="H892" s="91"/>
      <c r="I892" s="91"/>
      <c r="J892" s="91"/>
      <c r="K892" s="91"/>
      <c r="L892" s="91"/>
      <c r="M892" s="91"/>
      <c r="N892" s="91"/>
      <c r="O892" s="91"/>
      <c r="P892" s="91"/>
      <c r="Q892" s="91"/>
      <c r="R892" s="91"/>
      <c r="S892" s="91"/>
      <c r="T892" s="91"/>
      <c r="U892" s="91"/>
      <c r="V892" s="91"/>
      <c r="W892" s="91"/>
      <c r="X892" s="91"/>
      <c r="Y892" s="91"/>
    </row>
    <row r="893" spans="1:25">
      <c r="A893" s="91"/>
      <c r="B893" s="94"/>
      <c r="C893" s="94"/>
      <c r="D893" s="91"/>
      <c r="E893" s="91"/>
      <c r="F893" s="91"/>
      <c r="G893" s="91"/>
      <c r="H893" s="91"/>
      <c r="I893" s="91"/>
      <c r="J893" s="91"/>
      <c r="K893" s="91"/>
      <c r="L893" s="91"/>
      <c r="M893" s="91"/>
      <c r="N893" s="91"/>
      <c r="O893" s="91"/>
      <c r="P893" s="91"/>
      <c r="Q893" s="91"/>
      <c r="R893" s="91"/>
      <c r="S893" s="91"/>
      <c r="T893" s="91"/>
      <c r="U893" s="91"/>
      <c r="V893" s="91"/>
      <c r="W893" s="91"/>
      <c r="X893" s="91"/>
      <c r="Y893" s="91"/>
    </row>
    <row r="894" spans="1:25">
      <c r="A894" s="91"/>
      <c r="B894" s="94"/>
      <c r="C894" s="94"/>
      <c r="D894" s="91"/>
      <c r="E894" s="91"/>
      <c r="F894" s="91"/>
      <c r="G894" s="91"/>
      <c r="H894" s="91"/>
      <c r="I894" s="91"/>
      <c r="J894" s="91"/>
      <c r="K894" s="91"/>
      <c r="L894" s="91"/>
      <c r="M894" s="91"/>
      <c r="N894" s="91"/>
      <c r="O894" s="91"/>
      <c r="P894" s="91"/>
      <c r="Q894" s="91"/>
      <c r="R894" s="91"/>
      <c r="S894" s="91"/>
      <c r="T894" s="91"/>
      <c r="U894" s="91"/>
      <c r="V894" s="91"/>
      <c r="W894" s="91"/>
      <c r="X894" s="91"/>
      <c r="Y894" s="91"/>
    </row>
    <row r="895" spans="1:25">
      <c r="A895" s="91"/>
      <c r="B895" s="94"/>
      <c r="C895" s="94"/>
      <c r="D895" s="91"/>
      <c r="E895" s="91"/>
      <c r="F895" s="91"/>
      <c r="G895" s="91"/>
      <c r="H895" s="91"/>
      <c r="I895" s="91"/>
      <c r="J895" s="91"/>
      <c r="K895" s="91"/>
      <c r="L895" s="91"/>
      <c r="M895" s="91"/>
      <c r="N895" s="91"/>
      <c r="O895" s="91"/>
      <c r="P895" s="91"/>
      <c r="Q895" s="91"/>
      <c r="R895" s="91"/>
      <c r="S895" s="91"/>
      <c r="T895" s="91"/>
      <c r="U895" s="91"/>
      <c r="V895" s="91"/>
      <c r="W895" s="91"/>
      <c r="X895" s="91"/>
      <c r="Y895" s="91"/>
    </row>
    <row r="896" spans="1:25">
      <c r="A896" s="91"/>
      <c r="B896" s="94"/>
      <c r="C896" s="94"/>
      <c r="D896" s="91"/>
      <c r="E896" s="91"/>
      <c r="F896" s="91"/>
      <c r="G896" s="91"/>
      <c r="H896" s="91"/>
      <c r="I896" s="91"/>
      <c r="J896" s="91"/>
      <c r="K896" s="91"/>
      <c r="L896" s="91"/>
      <c r="M896" s="91"/>
      <c r="N896" s="91"/>
      <c r="O896" s="91"/>
      <c r="P896" s="91"/>
      <c r="Q896" s="91"/>
      <c r="R896" s="91"/>
      <c r="S896" s="91"/>
      <c r="T896" s="91"/>
      <c r="U896" s="91"/>
      <c r="V896" s="91"/>
      <c r="W896" s="91"/>
      <c r="X896" s="91"/>
      <c r="Y896" s="91"/>
    </row>
    <row r="897" spans="1:25">
      <c r="A897" s="91"/>
      <c r="B897" s="94"/>
      <c r="C897" s="94"/>
      <c r="D897" s="91"/>
      <c r="E897" s="91"/>
      <c r="F897" s="91"/>
      <c r="G897" s="91"/>
      <c r="H897" s="91"/>
      <c r="I897" s="91"/>
      <c r="J897" s="91"/>
      <c r="K897" s="91"/>
      <c r="L897" s="91"/>
      <c r="M897" s="91"/>
      <c r="N897" s="91"/>
      <c r="O897" s="91"/>
      <c r="P897" s="91"/>
      <c r="Q897" s="91"/>
      <c r="R897" s="91"/>
      <c r="S897" s="91"/>
      <c r="T897" s="91"/>
      <c r="U897" s="91"/>
      <c r="V897" s="91"/>
      <c r="W897" s="91"/>
      <c r="X897" s="91"/>
      <c r="Y897" s="91"/>
    </row>
    <row r="898" spans="1:25">
      <c r="A898" s="91"/>
      <c r="B898" s="94"/>
      <c r="C898" s="94"/>
      <c r="D898" s="91"/>
      <c r="E898" s="91"/>
      <c r="F898" s="91"/>
      <c r="G898" s="91"/>
      <c r="H898" s="91"/>
      <c r="I898" s="91"/>
      <c r="J898" s="91"/>
      <c r="K898" s="91"/>
      <c r="L898" s="91"/>
      <c r="M898" s="91"/>
      <c r="N898" s="91"/>
      <c r="O898" s="91"/>
      <c r="P898" s="91"/>
      <c r="Q898" s="91"/>
      <c r="R898" s="91"/>
      <c r="S898" s="91"/>
      <c r="T898" s="91"/>
      <c r="U898" s="91"/>
      <c r="V898" s="91"/>
      <c r="W898" s="91"/>
      <c r="X898" s="91"/>
      <c r="Y898" s="91"/>
    </row>
    <row r="899" spans="1:25">
      <c r="A899" s="91"/>
      <c r="B899" s="94"/>
      <c r="C899" s="94"/>
      <c r="D899" s="91"/>
      <c r="E899" s="91"/>
      <c r="F899" s="91"/>
      <c r="G899" s="91"/>
      <c r="H899" s="91"/>
      <c r="I899" s="91"/>
      <c r="J899" s="91"/>
      <c r="K899" s="91"/>
      <c r="L899" s="91"/>
      <c r="M899" s="91"/>
      <c r="N899" s="91"/>
      <c r="O899" s="91"/>
      <c r="P899" s="91"/>
      <c r="Q899" s="91"/>
      <c r="R899" s="91"/>
      <c r="S899" s="91"/>
      <c r="T899" s="91"/>
      <c r="U899" s="91"/>
      <c r="V899" s="91"/>
      <c r="W899" s="91"/>
      <c r="X899" s="91"/>
      <c r="Y899" s="91"/>
    </row>
    <row r="900" spans="1:25">
      <c r="A900" s="91"/>
      <c r="B900" s="94"/>
      <c r="C900" s="94"/>
      <c r="D900" s="91"/>
      <c r="E900" s="91"/>
      <c r="F900" s="91"/>
      <c r="G900" s="91"/>
      <c r="H900" s="91"/>
      <c r="I900" s="91"/>
      <c r="J900" s="91"/>
      <c r="K900" s="91"/>
      <c r="L900" s="91"/>
      <c r="M900" s="91"/>
      <c r="N900" s="91"/>
      <c r="O900" s="91"/>
      <c r="P900" s="91"/>
      <c r="Q900" s="91"/>
      <c r="R900" s="91"/>
      <c r="S900" s="91"/>
      <c r="T900" s="91"/>
      <c r="U900" s="91"/>
      <c r="V900" s="91"/>
      <c r="W900" s="91"/>
      <c r="X900" s="91"/>
      <c r="Y900" s="91"/>
    </row>
    <row r="901" spans="1:25">
      <c r="A901" s="91"/>
      <c r="B901" s="94"/>
      <c r="C901" s="94"/>
      <c r="D901" s="91"/>
      <c r="E901" s="91"/>
      <c r="F901" s="91"/>
      <c r="G901" s="91"/>
      <c r="H901" s="91"/>
      <c r="I901" s="91"/>
      <c r="J901" s="91"/>
      <c r="K901" s="91"/>
      <c r="L901" s="91"/>
      <c r="M901" s="91"/>
      <c r="N901" s="91"/>
      <c r="O901" s="91"/>
      <c r="P901" s="91"/>
      <c r="Q901" s="91"/>
      <c r="R901" s="91"/>
      <c r="S901" s="91"/>
      <c r="T901" s="91"/>
      <c r="U901" s="91"/>
      <c r="V901" s="91"/>
      <c r="W901" s="91"/>
      <c r="X901" s="91"/>
      <c r="Y901" s="91"/>
    </row>
    <row r="902" spans="1:25">
      <c r="A902" s="91"/>
      <c r="B902" s="94"/>
      <c r="C902" s="94"/>
      <c r="D902" s="91"/>
      <c r="E902" s="91"/>
      <c r="F902" s="91"/>
      <c r="G902" s="91"/>
      <c r="H902" s="91"/>
      <c r="I902" s="91"/>
      <c r="J902" s="91"/>
      <c r="K902" s="91"/>
      <c r="L902" s="91"/>
      <c r="M902" s="91"/>
      <c r="N902" s="91"/>
      <c r="O902" s="91"/>
      <c r="P902" s="91"/>
      <c r="Q902" s="91"/>
      <c r="R902" s="91"/>
      <c r="S902" s="91"/>
      <c r="T902" s="91"/>
      <c r="U902" s="91"/>
      <c r="V902" s="91"/>
      <c r="W902" s="91"/>
      <c r="X902" s="91"/>
      <c r="Y902" s="91"/>
    </row>
    <row r="903" spans="1:25">
      <c r="A903" s="91"/>
      <c r="B903" s="94"/>
      <c r="C903" s="94"/>
      <c r="D903" s="91"/>
      <c r="E903" s="91"/>
      <c r="F903" s="91"/>
      <c r="G903" s="91"/>
      <c r="H903" s="91"/>
      <c r="I903" s="91"/>
      <c r="J903" s="91"/>
      <c r="K903" s="91"/>
      <c r="L903" s="91"/>
      <c r="M903" s="91"/>
      <c r="N903" s="91"/>
      <c r="O903" s="91"/>
      <c r="P903" s="91"/>
      <c r="Q903" s="91"/>
      <c r="R903" s="91"/>
      <c r="S903" s="91"/>
      <c r="T903" s="91"/>
      <c r="U903" s="91"/>
      <c r="V903" s="91"/>
      <c r="W903" s="91"/>
      <c r="X903" s="91"/>
      <c r="Y903" s="91"/>
    </row>
    <row r="904" spans="1:25">
      <c r="A904" s="91"/>
      <c r="B904" s="94"/>
      <c r="C904" s="94"/>
      <c r="D904" s="91"/>
      <c r="E904" s="91"/>
      <c r="F904" s="91"/>
      <c r="G904" s="91"/>
      <c r="H904" s="91"/>
      <c r="I904" s="91"/>
      <c r="J904" s="91"/>
      <c r="K904" s="91"/>
      <c r="L904" s="91"/>
      <c r="M904" s="91"/>
      <c r="N904" s="91"/>
      <c r="O904" s="91"/>
      <c r="P904" s="91"/>
      <c r="Q904" s="91"/>
      <c r="R904" s="91"/>
      <c r="S904" s="91"/>
      <c r="T904" s="91"/>
      <c r="U904" s="91"/>
      <c r="V904" s="91"/>
      <c r="W904" s="91"/>
      <c r="X904" s="91"/>
      <c r="Y904" s="91"/>
    </row>
    <row r="905" spans="1:25">
      <c r="A905" s="91"/>
      <c r="B905" s="94"/>
      <c r="C905" s="94"/>
      <c r="D905" s="91"/>
      <c r="E905" s="91"/>
      <c r="F905" s="91"/>
      <c r="G905" s="91"/>
      <c r="H905" s="91"/>
      <c r="I905" s="91"/>
      <c r="J905" s="91"/>
      <c r="K905" s="91"/>
      <c r="L905" s="91"/>
      <c r="M905" s="91"/>
      <c r="N905" s="91"/>
      <c r="O905" s="91"/>
      <c r="P905" s="91"/>
      <c r="Q905" s="91"/>
      <c r="R905" s="91"/>
      <c r="S905" s="91"/>
      <c r="T905" s="91"/>
      <c r="U905" s="91"/>
      <c r="V905" s="91"/>
      <c r="W905" s="91"/>
      <c r="X905" s="91"/>
      <c r="Y905" s="91"/>
    </row>
    <row r="906" spans="1:25">
      <c r="A906" s="91"/>
      <c r="B906" s="94"/>
      <c r="C906" s="94"/>
      <c r="D906" s="91"/>
      <c r="E906" s="91"/>
      <c r="F906" s="91"/>
      <c r="G906" s="91"/>
      <c r="H906" s="91"/>
      <c r="I906" s="91"/>
      <c r="J906" s="91"/>
      <c r="K906" s="91"/>
      <c r="L906" s="91"/>
      <c r="M906" s="91"/>
      <c r="N906" s="91"/>
      <c r="O906" s="91"/>
      <c r="P906" s="91"/>
      <c r="Q906" s="91"/>
      <c r="R906" s="91"/>
      <c r="S906" s="91"/>
      <c r="T906" s="91"/>
      <c r="U906" s="91"/>
      <c r="V906" s="91"/>
      <c r="W906" s="91"/>
      <c r="X906" s="91"/>
      <c r="Y906" s="91"/>
    </row>
    <row r="907" spans="1:25">
      <c r="A907" s="91"/>
      <c r="B907" s="94"/>
      <c r="C907" s="94"/>
      <c r="D907" s="91"/>
      <c r="E907" s="91"/>
      <c r="F907" s="91"/>
      <c r="G907" s="91"/>
      <c r="H907" s="91"/>
      <c r="I907" s="91"/>
      <c r="J907" s="91"/>
      <c r="K907" s="91"/>
      <c r="L907" s="91"/>
      <c r="M907" s="91"/>
      <c r="N907" s="91"/>
      <c r="O907" s="91"/>
      <c r="P907" s="91"/>
      <c r="Q907" s="91"/>
      <c r="R907" s="91"/>
      <c r="S907" s="91"/>
      <c r="T907" s="91"/>
      <c r="U907" s="91"/>
      <c r="V907" s="91"/>
      <c r="W907" s="91"/>
      <c r="X907" s="91"/>
      <c r="Y907" s="91"/>
    </row>
    <row r="908" spans="1:25">
      <c r="A908" s="91"/>
      <c r="B908" s="94"/>
      <c r="C908" s="94"/>
      <c r="D908" s="91"/>
      <c r="E908" s="91"/>
      <c r="F908" s="91"/>
      <c r="G908" s="91"/>
      <c r="H908" s="91"/>
      <c r="I908" s="91"/>
      <c r="J908" s="91"/>
      <c r="K908" s="91"/>
      <c r="L908" s="91"/>
      <c r="M908" s="91"/>
      <c r="N908" s="91"/>
      <c r="O908" s="91"/>
      <c r="P908" s="91"/>
      <c r="Q908" s="91"/>
      <c r="R908" s="91"/>
      <c r="S908" s="91"/>
      <c r="T908" s="91"/>
      <c r="U908" s="91"/>
      <c r="V908" s="91"/>
      <c r="W908" s="91"/>
      <c r="X908" s="91"/>
      <c r="Y908" s="91"/>
    </row>
    <row r="909" spans="1:25">
      <c r="A909" s="91"/>
      <c r="B909" s="94"/>
      <c r="C909" s="94"/>
      <c r="D909" s="91"/>
      <c r="E909" s="91"/>
      <c r="F909" s="91"/>
      <c r="G909" s="91"/>
      <c r="H909" s="91"/>
      <c r="I909" s="91"/>
      <c r="J909" s="91"/>
      <c r="K909" s="91"/>
      <c r="L909" s="91"/>
      <c r="M909" s="91"/>
      <c r="N909" s="91"/>
      <c r="O909" s="91"/>
      <c r="P909" s="91"/>
      <c r="Q909" s="91"/>
      <c r="R909" s="91"/>
      <c r="S909" s="91"/>
      <c r="T909" s="91"/>
      <c r="U909" s="91"/>
      <c r="V909" s="91"/>
      <c r="W909" s="91"/>
      <c r="X909" s="91"/>
      <c r="Y909" s="91"/>
    </row>
    <row r="910" spans="1:25">
      <c r="A910" s="91"/>
      <c r="B910" s="94"/>
      <c r="C910" s="94"/>
      <c r="D910" s="91"/>
      <c r="E910" s="91"/>
      <c r="F910" s="91"/>
      <c r="G910" s="91"/>
      <c r="H910" s="91"/>
      <c r="I910" s="91"/>
      <c r="J910" s="91"/>
      <c r="K910" s="91"/>
      <c r="L910" s="91"/>
      <c r="M910" s="91"/>
      <c r="N910" s="91"/>
      <c r="O910" s="91"/>
      <c r="P910" s="91"/>
      <c r="Q910" s="91"/>
      <c r="R910" s="91"/>
      <c r="S910" s="91"/>
      <c r="T910" s="91"/>
      <c r="U910" s="91"/>
      <c r="V910" s="91"/>
      <c r="W910" s="91"/>
      <c r="X910" s="91"/>
      <c r="Y910" s="91"/>
    </row>
    <row r="911" spans="1:25">
      <c r="A911" s="91"/>
      <c r="B911" s="94"/>
      <c r="C911" s="94"/>
      <c r="D911" s="91"/>
      <c r="E911" s="91"/>
      <c r="F911" s="91"/>
      <c r="G911" s="91"/>
      <c r="H911" s="91"/>
      <c r="I911" s="91"/>
      <c r="J911" s="91"/>
      <c r="K911" s="91"/>
      <c r="L911" s="91"/>
      <c r="M911" s="91"/>
      <c r="N911" s="91"/>
      <c r="O911" s="91"/>
      <c r="P911" s="91"/>
      <c r="Q911" s="91"/>
      <c r="R911" s="91"/>
      <c r="S911" s="91"/>
      <c r="T911" s="91"/>
      <c r="U911" s="91"/>
      <c r="V911" s="91"/>
      <c r="W911" s="91"/>
      <c r="X911" s="91"/>
      <c r="Y911" s="91"/>
    </row>
    <row r="912" spans="1:25">
      <c r="A912" s="91"/>
      <c r="B912" s="94"/>
      <c r="C912" s="94"/>
      <c r="D912" s="91"/>
      <c r="E912" s="91"/>
      <c r="F912" s="91"/>
      <c r="G912" s="91"/>
      <c r="H912" s="91"/>
      <c r="I912" s="91"/>
      <c r="J912" s="91"/>
      <c r="K912" s="91"/>
      <c r="L912" s="91"/>
      <c r="M912" s="91"/>
      <c r="N912" s="91"/>
      <c r="O912" s="91"/>
      <c r="P912" s="91"/>
      <c r="Q912" s="91"/>
      <c r="R912" s="91"/>
      <c r="S912" s="91"/>
      <c r="T912" s="91"/>
      <c r="U912" s="91"/>
      <c r="V912" s="91"/>
      <c r="W912" s="91"/>
      <c r="X912" s="91"/>
      <c r="Y912" s="91"/>
    </row>
    <row r="913" spans="1:25">
      <c r="A913" s="91"/>
      <c r="B913" s="94"/>
      <c r="C913" s="94"/>
      <c r="D913" s="91"/>
      <c r="E913" s="91"/>
      <c r="F913" s="91"/>
      <c r="G913" s="91"/>
      <c r="H913" s="91"/>
      <c r="I913" s="91"/>
      <c r="J913" s="91"/>
      <c r="K913" s="91"/>
      <c r="L913" s="91"/>
      <c r="M913" s="91"/>
      <c r="N913" s="91"/>
      <c r="O913" s="91"/>
      <c r="P913" s="91"/>
      <c r="Q913" s="91"/>
      <c r="R913" s="91"/>
      <c r="S913" s="91"/>
      <c r="T913" s="91"/>
      <c r="U913" s="91"/>
      <c r="V913" s="91"/>
      <c r="W913" s="91"/>
      <c r="X913" s="91"/>
      <c r="Y913" s="91"/>
    </row>
    <row r="914" spans="1:25">
      <c r="A914" s="91"/>
      <c r="B914" s="94"/>
      <c r="C914" s="94"/>
      <c r="D914" s="91"/>
      <c r="E914" s="91"/>
      <c r="F914" s="91"/>
      <c r="G914" s="91"/>
      <c r="H914" s="91"/>
      <c r="I914" s="91"/>
      <c r="J914" s="91"/>
      <c r="K914" s="91"/>
      <c r="L914" s="91"/>
      <c r="M914" s="91"/>
      <c r="N914" s="91"/>
      <c r="O914" s="91"/>
      <c r="P914" s="91"/>
      <c r="Q914" s="91"/>
      <c r="R914" s="91"/>
      <c r="S914" s="91"/>
      <c r="T914" s="91"/>
      <c r="U914" s="91"/>
      <c r="V914" s="91"/>
      <c r="W914" s="91"/>
      <c r="X914" s="91"/>
      <c r="Y914" s="91"/>
    </row>
    <row r="915" spans="1:25">
      <c r="A915" s="91"/>
      <c r="B915" s="94"/>
      <c r="C915" s="94"/>
      <c r="D915" s="91"/>
      <c r="E915" s="91"/>
      <c r="F915" s="91"/>
      <c r="G915" s="91"/>
      <c r="H915" s="91"/>
      <c r="I915" s="91"/>
      <c r="J915" s="91"/>
      <c r="K915" s="91"/>
      <c r="L915" s="91"/>
      <c r="M915" s="91"/>
      <c r="N915" s="91"/>
      <c r="O915" s="91"/>
      <c r="P915" s="91"/>
      <c r="Q915" s="91"/>
      <c r="R915" s="91"/>
      <c r="S915" s="91"/>
      <c r="T915" s="91"/>
      <c r="U915" s="91"/>
      <c r="V915" s="91"/>
      <c r="W915" s="91"/>
      <c r="X915" s="91"/>
      <c r="Y915" s="91"/>
    </row>
    <row r="916" spans="1:25">
      <c r="A916" s="91"/>
      <c r="B916" s="94"/>
      <c r="C916" s="94"/>
      <c r="D916" s="91"/>
      <c r="E916" s="91"/>
      <c r="F916" s="91"/>
      <c r="G916" s="91"/>
      <c r="H916" s="91"/>
      <c r="I916" s="91"/>
      <c r="J916" s="91"/>
      <c r="K916" s="91"/>
      <c r="L916" s="91"/>
      <c r="M916" s="91"/>
      <c r="N916" s="91"/>
      <c r="O916" s="91"/>
      <c r="P916" s="91"/>
      <c r="Q916" s="91"/>
      <c r="R916" s="91"/>
      <c r="S916" s="91"/>
      <c r="T916" s="91"/>
      <c r="U916" s="91"/>
      <c r="V916" s="91"/>
      <c r="W916" s="91"/>
      <c r="X916" s="91"/>
      <c r="Y916" s="91"/>
    </row>
    <row r="917" spans="1:25">
      <c r="A917" s="91"/>
      <c r="B917" s="94"/>
      <c r="C917" s="94"/>
      <c r="D917" s="91"/>
      <c r="E917" s="91"/>
      <c r="F917" s="91"/>
      <c r="G917" s="91"/>
      <c r="H917" s="91"/>
      <c r="I917" s="91"/>
      <c r="J917" s="91"/>
      <c r="K917" s="91"/>
      <c r="L917" s="91"/>
      <c r="M917" s="91"/>
      <c r="N917" s="91"/>
      <c r="O917" s="91"/>
      <c r="P917" s="91"/>
      <c r="Q917" s="91"/>
      <c r="R917" s="91"/>
      <c r="S917" s="91"/>
      <c r="T917" s="91"/>
      <c r="U917" s="91"/>
      <c r="V917" s="91"/>
      <c r="W917" s="91"/>
      <c r="X917" s="91"/>
      <c r="Y917" s="91"/>
    </row>
    <row r="918" spans="1:25">
      <c r="A918" s="91"/>
      <c r="B918" s="94"/>
      <c r="C918" s="94"/>
      <c r="D918" s="91"/>
      <c r="E918" s="91"/>
      <c r="F918" s="91"/>
      <c r="G918" s="91"/>
      <c r="H918" s="91"/>
      <c r="I918" s="91"/>
      <c r="J918" s="91"/>
      <c r="K918" s="91"/>
      <c r="L918" s="91"/>
      <c r="M918" s="91"/>
      <c r="N918" s="91"/>
      <c r="O918" s="91"/>
      <c r="P918" s="91"/>
      <c r="Q918" s="91"/>
      <c r="R918" s="91"/>
      <c r="S918" s="91"/>
      <c r="T918" s="91"/>
      <c r="U918" s="91"/>
      <c r="V918" s="91"/>
      <c r="W918" s="91"/>
      <c r="X918" s="91"/>
      <c r="Y918" s="91"/>
    </row>
    <row r="919" spans="1:25">
      <c r="A919" s="91"/>
      <c r="B919" s="94"/>
      <c r="C919" s="94"/>
      <c r="D919" s="91"/>
      <c r="E919" s="91"/>
      <c r="F919" s="91"/>
      <c r="G919" s="91"/>
      <c r="H919" s="91"/>
      <c r="I919" s="91"/>
      <c r="J919" s="91"/>
      <c r="K919" s="91"/>
      <c r="L919" s="91"/>
      <c r="M919" s="91"/>
      <c r="N919" s="91"/>
      <c r="O919" s="91"/>
      <c r="P919" s="91"/>
      <c r="Q919" s="91"/>
      <c r="R919" s="91"/>
      <c r="S919" s="91"/>
      <c r="T919" s="91"/>
      <c r="U919" s="91"/>
      <c r="V919" s="91"/>
      <c r="W919" s="91"/>
      <c r="X919" s="91"/>
      <c r="Y919" s="91"/>
    </row>
    <row r="920" spans="1:25">
      <c r="A920" s="91"/>
      <c r="B920" s="94"/>
      <c r="C920" s="94"/>
      <c r="D920" s="91"/>
      <c r="E920" s="91"/>
      <c r="F920" s="91"/>
      <c r="G920" s="91"/>
      <c r="H920" s="91"/>
      <c r="I920" s="91"/>
      <c r="J920" s="91"/>
      <c r="K920" s="91"/>
      <c r="L920" s="91"/>
      <c r="M920" s="91"/>
      <c r="N920" s="91"/>
      <c r="O920" s="91"/>
      <c r="P920" s="91"/>
      <c r="Q920" s="91"/>
      <c r="R920" s="91"/>
      <c r="S920" s="91"/>
      <c r="T920" s="91"/>
      <c r="U920" s="91"/>
      <c r="V920" s="91"/>
      <c r="W920" s="91"/>
      <c r="X920" s="91"/>
      <c r="Y920" s="91"/>
    </row>
    <row r="921" spans="1:25">
      <c r="A921" s="91"/>
      <c r="B921" s="94"/>
      <c r="C921" s="94"/>
      <c r="D921" s="91"/>
      <c r="E921" s="91"/>
      <c r="F921" s="91"/>
      <c r="G921" s="91"/>
      <c r="H921" s="91"/>
      <c r="I921" s="91"/>
      <c r="J921" s="91"/>
      <c r="K921" s="91"/>
      <c r="L921" s="91"/>
      <c r="M921" s="91"/>
      <c r="N921" s="91"/>
      <c r="O921" s="91"/>
      <c r="P921" s="91"/>
      <c r="Q921" s="91"/>
      <c r="R921" s="91"/>
      <c r="S921" s="91"/>
      <c r="T921" s="91"/>
      <c r="U921" s="91"/>
      <c r="V921" s="91"/>
      <c r="W921" s="91"/>
      <c r="X921" s="91"/>
      <c r="Y921" s="91"/>
    </row>
    <row r="922" spans="1:25">
      <c r="A922" s="91"/>
      <c r="B922" s="94"/>
      <c r="C922" s="94"/>
      <c r="D922" s="91"/>
      <c r="E922" s="91"/>
      <c r="F922" s="91"/>
      <c r="G922" s="91"/>
      <c r="H922" s="91"/>
      <c r="I922" s="91"/>
      <c r="J922" s="91"/>
      <c r="K922" s="91"/>
      <c r="L922" s="91"/>
      <c r="M922" s="91"/>
      <c r="N922" s="91"/>
      <c r="O922" s="91"/>
      <c r="P922" s="91"/>
      <c r="Q922" s="91"/>
      <c r="R922" s="91"/>
      <c r="S922" s="91"/>
      <c r="T922" s="91"/>
      <c r="U922" s="91"/>
      <c r="V922" s="91"/>
      <c r="W922" s="91"/>
      <c r="X922" s="91"/>
      <c r="Y922" s="91"/>
    </row>
    <row r="923" spans="1:25">
      <c r="A923" s="91"/>
      <c r="B923" s="94"/>
      <c r="C923" s="94"/>
      <c r="D923" s="91"/>
      <c r="E923" s="91"/>
      <c r="F923" s="91"/>
      <c r="G923" s="91"/>
      <c r="H923" s="91"/>
      <c r="I923" s="91"/>
      <c r="J923" s="91"/>
      <c r="K923" s="91"/>
      <c r="L923" s="91"/>
      <c r="M923" s="91"/>
      <c r="N923" s="91"/>
      <c r="O923" s="91"/>
      <c r="P923" s="91"/>
      <c r="Q923" s="91"/>
      <c r="R923" s="91"/>
      <c r="S923" s="91"/>
      <c r="T923" s="91"/>
      <c r="U923" s="91"/>
      <c r="V923" s="91"/>
      <c r="W923" s="91"/>
      <c r="X923" s="91"/>
      <c r="Y923" s="91"/>
    </row>
    <row r="924" spans="1:25">
      <c r="A924" s="91"/>
      <c r="B924" s="94"/>
      <c r="C924" s="94"/>
      <c r="D924" s="91"/>
      <c r="E924" s="91"/>
      <c r="F924" s="91"/>
      <c r="G924" s="91"/>
      <c r="H924" s="91"/>
      <c r="I924" s="91"/>
      <c r="J924" s="91"/>
      <c r="K924" s="91"/>
      <c r="L924" s="91"/>
      <c r="M924" s="91"/>
      <c r="N924" s="91"/>
      <c r="O924" s="91"/>
      <c r="P924" s="91"/>
      <c r="Q924" s="91"/>
      <c r="R924" s="91"/>
      <c r="S924" s="91"/>
      <c r="T924" s="91"/>
      <c r="U924" s="91"/>
      <c r="V924" s="91"/>
      <c r="W924" s="91"/>
      <c r="X924" s="91"/>
      <c r="Y924" s="91"/>
    </row>
    <row r="925" spans="1:25">
      <c r="A925" s="91"/>
      <c r="B925" s="94"/>
      <c r="C925" s="94"/>
      <c r="D925" s="91"/>
      <c r="E925" s="91"/>
      <c r="F925" s="91"/>
      <c r="G925" s="91"/>
      <c r="H925" s="91"/>
      <c r="I925" s="91"/>
      <c r="J925" s="91"/>
      <c r="K925" s="91"/>
      <c r="L925" s="91"/>
      <c r="M925" s="91"/>
      <c r="N925" s="91"/>
      <c r="O925" s="91"/>
      <c r="P925" s="91"/>
      <c r="Q925" s="91"/>
      <c r="R925" s="91"/>
      <c r="S925" s="91"/>
      <c r="T925" s="91"/>
      <c r="U925" s="91"/>
      <c r="V925" s="91"/>
      <c r="W925" s="91"/>
      <c r="X925" s="91"/>
      <c r="Y925" s="91"/>
    </row>
    <row r="926" spans="1:25">
      <c r="A926" s="91"/>
      <c r="B926" s="94"/>
      <c r="C926" s="94"/>
      <c r="D926" s="91"/>
      <c r="E926" s="91"/>
      <c r="F926" s="91"/>
      <c r="G926" s="91"/>
      <c r="H926" s="91"/>
      <c r="I926" s="91"/>
      <c r="J926" s="91"/>
      <c r="K926" s="91"/>
      <c r="L926" s="91"/>
      <c r="M926" s="91"/>
      <c r="N926" s="91"/>
      <c r="O926" s="91"/>
      <c r="P926" s="91"/>
      <c r="Q926" s="91"/>
      <c r="R926" s="91"/>
      <c r="S926" s="91"/>
      <c r="T926" s="91"/>
      <c r="U926" s="91"/>
      <c r="V926" s="91"/>
      <c r="W926" s="91"/>
      <c r="X926" s="91"/>
      <c r="Y926" s="91"/>
    </row>
    <row r="927" spans="1:25">
      <c r="A927" s="91"/>
      <c r="B927" s="94"/>
      <c r="C927" s="94"/>
      <c r="D927" s="91"/>
      <c r="E927" s="91"/>
      <c r="F927" s="91"/>
      <c r="G927" s="91"/>
      <c r="H927" s="91"/>
      <c r="I927" s="91"/>
      <c r="J927" s="91"/>
      <c r="K927" s="91"/>
      <c r="L927" s="91"/>
      <c r="M927" s="91"/>
      <c r="N927" s="91"/>
      <c r="O927" s="91"/>
      <c r="P927" s="91"/>
      <c r="Q927" s="91"/>
      <c r="R927" s="91"/>
      <c r="S927" s="91"/>
      <c r="T927" s="91"/>
      <c r="U927" s="91"/>
      <c r="V927" s="91"/>
      <c r="W927" s="91"/>
      <c r="X927" s="91"/>
      <c r="Y927" s="91"/>
    </row>
    <row r="928" spans="1:25">
      <c r="A928" s="91"/>
      <c r="B928" s="94"/>
      <c r="C928" s="94"/>
      <c r="D928" s="91"/>
      <c r="E928" s="91"/>
      <c r="F928" s="91"/>
      <c r="G928" s="91"/>
      <c r="H928" s="91"/>
      <c r="I928" s="91"/>
      <c r="J928" s="91"/>
      <c r="K928" s="91"/>
      <c r="L928" s="91"/>
      <c r="M928" s="91"/>
      <c r="N928" s="91"/>
      <c r="O928" s="91"/>
      <c r="P928" s="91"/>
      <c r="Q928" s="91"/>
      <c r="R928" s="91"/>
      <c r="S928" s="91"/>
      <c r="T928" s="91"/>
      <c r="U928" s="91"/>
      <c r="V928" s="91"/>
      <c r="W928" s="91"/>
      <c r="X928" s="91"/>
      <c r="Y928" s="91"/>
    </row>
    <row r="929" spans="1:25">
      <c r="A929" s="91"/>
      <c r="B929" s="94"/>
      <c r="C929" s="94"/>
      <c r="D929" s="91"/>
      <c r="E929" s="91"/>
      <c r="F929" s="91"/>
      <c r="G929" s="91"/>
      <c r="H929" s="91"/>
      <c r="I929" s="91"/>
      <c r="J929" s="91"/>
      <c r="K929" s="91"/>
      <c r="L929" s="91"/>
      <c r="M929" s="91"/>
      <c r="N929" s="91"/>
      <c r="O929" s="91"/>
      <c r="P929" s="91"/>
      <c r="Q929" s="91"/>
      <c r="R929" s="91"/>
      <c r="S929" s="91"/>
      <c r="T929" s="91"/>
      <c r="U929" s="91"/>
      <c r="V929" s="91"/>
      <c r="W929" s="91"/>
      <c r="X929" s="91"/>
      <c r="Y929" s="91"/>
    </row>
    <row r="930" spans="1:25">
      <c r="A930" s="91"/>
      <c r="B930" s="94"/>
      <c r="C930" s="94"/>
      <c r="D930" s="91"/>
      <c r="E930" s="91"/>
      <c r="F930" s="91"/>
      <c r="G930" s="91"/>
      <c r="H930" s="91"/>
      <c r="I930" s="91"/>
      <c r="J930" s="91"/>
      <c r="K930" s="91"/>
      <c r="L930" s="91"/>
      <c r="M930" s="91"/>
      <c r="N930" s="91"/>
      <c r="O930" s="91"/>
      <c r="P930" s="91"/>
      <c r="Q930" s="91"/>
      <c r="R930" s="91"/>
      <c r="S930" s="91"/>
      <c r="T930" s="91"/>
      <c r="U930" s="91"/>
      <c r="V930" s="91"/>
      <c r="W930" s="91"/>
      <c r="X930" s="91"/>
      <c r="Y930" s="91"/>
    </row>
    <row r="931" spans="1:25">
      <c r="A931" s="91"/>
      <c r="B931" s="94"/>
      <c r="C931" s="94"/>
      <c r="D931" s="91"/>
      <c r="E931" s="91"/>
      <c r="F931" s="91"/>
      <c r="G931" s="91"/>
      <c r="H931" s="91"/>
      <c r="I931" s="91"/>
      <c r="J931" s="91"/>
      <c r="K931" s="91"/>
      <c r="L931" s="91"/>
      <c r="M931" s="91"/>
      <c r="N931" s="91"/>
      <c r="O931" s="91"/>
      <c r="P931" s="91"/>
      <c r="Q931" s="91"/>
      <c r="R931" s="91"/>
      <c r="S931" s="91"/>
      <c r="T931" s="91"/>
      <c r="U931" s="91"/>
      <c r="V931" s="91"/>
      <c r="W931" s="91"/>
      <c r="X931" s="91"/>
      <c r="Y931" s="91"/>
    </row>
    <row r="932" spans="1:25">
      <c r="A932" s="91"/>
      <c r="B932" s="94"/>
      <c r="C932" s="94"/>
      <c r="D932" s="91"/>
      <c r="E932" s="91"/>
      <c r="F932" s="91"/>
      <c r="G932" s="91"/>
      <c r="H932" s="91"/>
      <c r="I932" s="91"/>
      <c r="J932" s="91"/>
      <c r="K932" s="91"/>
      <c r="L932" s="91"/>
      <c r="M932" s="91"/>
      <c r="N932" s="91"/>
      <c r="O932" s="91"/>
      <c r="P932" s="91"/>
      <c r="Q932" s="91"/>
      <c r="R932" s="91"/>
      <c r="S932" s="91"/>
      <c r="T932" s="91"/>
      <c r="U932" s="91"/>
      <c r="V932" s="91"/>
      <c r="W932" s="91"/>
      <c r="X932" s="91"/>
      <c r="Y932" s="91"/>
    </row>
    <row r="933" spans="1:25">
      <c r="A933" s="91"/>
      <c r="B933" s="94"/>
      <c r="C933" s="94"/>
      <c r="D933" s="91"/>
      <c r="E933" s="91"/>
      <c r="F933" s="91"/>
      <c r="G933" s="91"/>
      <c r="H933" s="91"/>
      <c r="I933" s="91"/>
      <c r="J933" s="91"/>
      <c r="K933" s="91"/>
      <c r="L933" s="91"/>
      <c r="M933" s="91"/>
      <c r="N933" s="91"/>
      <c r="O933" s="91"/>
      <c r="P933" s="91"/>
      <c r="Q933" s="91"/>
      <c r="R933" s="91"/>
      <c r="S933" s="91"/>
      <c r="T933" s="91"/>
      <c r="U933" s="91"/>
      <c r="V933" s="91"/>
      <c r="W933" s="91"/>
      <c r="X933" s="91"/>
      <c r="Y933" s="91"/>
    </row>
    <row r="934" spans="1:25">
      <c r="A934" s="91"/>
      <c r="B934" s="94"/>
      <c r="C934" s="94"/>
      <c r="D934" s="91"/>
      <c r="E934" s="91"/>
      <c r="F934" s="91"/>
      <c r="G934" s="91"/>
      <c r="H934" s="91"/>
      <c r="I934" s="91"/>
      <c r="J934" s="91"/>
      <c r="K934" s="91"/>
      <c r="L934" s="91"/>
      <c r="M934" s="91"/>
      <c r="N934" s="91"/>
      <c r="O934" s="91"/>
      <c r="P934" s="91"/>
      <c r="Q934" s="91"/>
      <c r="R934" s="91"/>
      <c r="S934" s="91"/>
      <c r="T934" s="91"/>
      <c r="U934" s="91"/>
      <c r="V934" s="91"/>
      <c r="W934" s="91"/>
      <c r="X934" s="91"/>
      <c r="Y934" s="91"/>
    </row>
    <row r="935" spans="1:25">
      <c r="A935" s="91"/>
      <c r="B935" s="94"/>
      <c r="C935" s="94"/>
      <c r="D935" s="91"/>
      <c r="E935" s="91"/>
      <c r="F935" s="91"/>
      <c r="G935" s="91"/>
      <c r="H935" s="91"/>
      <c r="I935" s="91"/>
      <c r="J935" s="91"/>
      <c r="K935" s="91"/>
      <c r="L935" s="91"/>
      <c r="M935" s="91"/>
      <c r="N935" s="91"/>
      <c r="O935" s="91"/>
      <c r="P935" s="91"/>
      <c r="Q935" s="91"/>
      <c r="R935" s="91"/>
      <c r="S935" s="91"/>
      <c r="T935" s="91"/>
      <c r="U935" s="91"/>
      <c r="V935" s="91"/>
      <c r="W935" s="91"/>
      <c r="X935" s="91"/>
      <c r="Y935" s="91"/>
    </row>
    <row r="936" spans="1:25">
      <c r="A936" s="91"/>
      <c r="B936" s="94"/>
      <c r="C936" s="94"/>
      <c r="D936" s="91"/>
      <c r="E936" s="91"/>
      <c r="F936" s="91"/>
      <c r="G936" s="91"/>
      <c r="H936" s="91"/>
      <c r="I936" s="91"/>
      <c r="J936" s="91"/>
      <c r="K936" s="91"/>
      <c r="L936" s="91"/>
      <c r="M936" s="91"/>
      <c r="N936" s="91"/>
      <c r="O936" s="91"/>
      <c r="P936" s="91"/>
      <c r="Q936" s="91"/>
      <c r="R936" s="91"/>
      <c r="S936" s="91"/>
      <c r="T936" s="91"/>
      <c r="U936" s="91"/>
      <c r="V936" s="91"/>
      <c r="W936" s="91"/>
      <c r="X936" s="91"/>
      <c r="Y936" s="91"/>
    </row>
    <row r="937" spans="1:25">
      <c r="A937" s="91"/>
      <c r="B937" s="94"/>
      <c r="C937" s="94"/>
      <c r="D937" s="91"/>
      <c r="E937" s="91"/>
      <c r="F937" s="91"/>
      <c r="G937" s="91"/>
      <c r="H937" s="91"/>
      <c r="I937" s="91"/>
      <c r="J937" s="91"/>
      <c r="K937" s="91"/>
      <c r="L937" s="91"/>
      <c r="M937" s="91"/>
      <c r="N937" s="91"/>
      <c r="O937" s="91"/>
      <c r="P937" s="91"/>
      <c r="Q937" s="91"/>
      <c r="R937" s="91"/>
      <c r="S937" s="91"/>
      <c r="T937" s="91"/>
      <c r="U937" s="91"/>
      <c r="V937" s="91"/>
      <c r="W937" s="91"/>
      <c r="X937" s="91"/>
      <c r="Y937" s="91"/>
    </row>
    <row r="938" spans="1:25">
      <c r="A938" s="91"/>
      <c r="B938" s="94"/>
      <c r="C938" s="94"/>
      <c r="D938" s="91"/>
      <c r="E938" s="91"/>
      <c r="F938" s="91"/>
      <c r="G938" s="91"/>
      <c r="H938" s="91"/>
      <c r="I938" s="91"/>
      <c r="J938" s="91"/>
      <c r="K938" s="91"/>
      <c r="L938" s="91"/>
      <c r="M938" s="91"/>
      <c r="N938" s="91"/>
      <c r="O938" s="91"/>
      <c r="P938" s="91"/>
      <c r="Q938" s="91"/>
      <c r="R938" s="91"/>
      <c r="S938" s="91"/>
      <c r="T938" s="91"/>
      <c r="U938" s="91"/>
      <c r="V938" s="91"/>
      <c r="W938" s="91"/>
      <c r="X938" s="91"/>
      <c r="Y938" s="91"/>
    </row>
    <row r="939" spans="1:25">
      <c r="A939" s="91"/>
      <c r="B939" s="94"/>
      <c r="C939" s="94"/>
      <c r="D939" s="91"/>
      <c r="E939" s="91"/>
      <c r="F939" s="91"/>
      <c r="G939" s="91"/>
      <c r="H939" s="91"/>
      <c r="I939" s="91"/>
      <c r="J939" s="91"/>
      <c r="K939" s="91"/>
      <c r="L939" s="91"/>
      <c r="M939" s="91"/>
      <c r="N939" s="91"/>
      <c r="O939" s="91"/>
      <c r="P939" s="91"/>
      <c r="Q939" s="91"/>
      <c r="R939" s="91"/>
      <c r="S939" s="91"/>
      <c r="T939" s="91"/>
      <c r="U939" s="91"/>
      <c r="V939" s="91"/>
      <c r="W939" s="91"/>
      <c r="X939" s="91"/>
      <c r="Y939" s="91"/>
    </row>
    <row r="940" spans="1:25">
      <c r="A940" s="91"/>
      <c r="B940" s="94"/>
      <c r="C940" s="94"/>
      <c r="D940" s="91"/>
      <c r="E940" s="91"/>
      <c r="F940" s="91"/>
      <c r="G940" s="91"/>
      <c r="H940" s="91"/>
      <c r="I940" s="91"/>
      <c r="J940" s="91"/>
      <c r="K940" s="91"/>
      <c r="L940" s="91"/>
      <c r="M940" s="91"/>
      <c r="N940" s="91"/>
      <c r="O940" s="91"/>
      <c r="P940" s="91"/>
      <c r="Q940" s="91"/>
      <c r="R940" s="91"/>
      <c r="S940" s="91"/>
      <c r="T940" s="91"/>
      <c r="U940" s="91"/>
      <c r="V940" s="91"/>
      <c r="W940" s="91"/>
      <c r="X940" s="91"/>
      <c r="Y940" s="91"/>
    </row>
    <row r="941" spans="1:25">
      <c r="A941" s="91"/>
      <c r="B941" s="94"/>
      <c r="C941" s="94"/>
      <c r="D941" s="91"/>
      <c r="E941" s="91"/>
      <c r="F941" s="91"/>
      <c r="G941" s="91"/>
      <c r="H941" s="91"/>
      <c r="I941" s="91"/>
      <c r="J941" s="91"/>
      <c r="K941" s="91"/>
      <c r="L941" s="91"/>
      <c r="M941" s="91"/>
      <c r="N941" s="91"/>
      <c r="O941" s="91"/>
      <c r="P941" s="91"/>
      <c r="Q941" s="91"/>
      <c r="R941" s="91"/>
      <c r="S941" s="91"/>
      <c r="T941" s="91"/>
      <c r="U941" s="91"/>
      <c r="V941" s="91"/>
      <c r="W941" s="91"/>
      <c r="X941" s="91"/>
      <c r="Y941" s="91"/>
    </row>
    <row r="942" spans="1:25">
      <c r="A942" s="91"/>
      <c r="B942" s="94"/>
      <c r="C942" s="94"/>
      <c r="D942" s="91"/>
      <c r="E942" s="91"/>
      <c r="F942" s="91"/>
      <c r="G942" s="91"/>
      <c r="H942" s="91"/>
      <c r="I942" s="91"/>
      <c r="J942" s="91"/>
      <c r="K942" s="91"/>
      <c r="L942" s="91"/>
      <c r="M942" s="91"/>
      <c r="N942" s="91"/>
      <c r="O942" s="91"/>
      <c r="P942" s="91"/>
      <c r="Q942" s="91"/>
      <c r="R942" s="91"/>
      <c r="S942" s="91"/>
      <c r="T942" s="91"/>
      <c r="U942" s="91"/>
      <c r="V942" s="91"/>
      <c r="W942" s="91"/>
      <c r="X942" s="91"/>
      <c r="Y942" s="91"/>
    </row>
    <row r="943" spans="1:25">
      <c r="A943" s="91"/>
      <c r="B943" s="94"/>
      <c r="C943" s="94"/>
      <c r="D943" s="91"/>
      <c r="E943" s="91"/>
      <c r="F943" s="91"/>
      <c r="G943" s="91"/>
      <c r="H943" s="91"/>
      <c r="I943" s="91"/>
      <c r="J943" s="91"/>
      <c r="K943" s="91"/>
      <c r="L943" s="91"/>
      <c r="M943" s="91"/>
      <c r="N943" s="91"/>
      <c r="O943" s="91"/>
      <c r="P943" s="91"/>
      <c r="Q943" s="91"/>
      <c r="R943" s="91"/>
      <c r="S943" s="91"/>
      <c r="T943" s="91"/>
      <c r="U943" s="91"/>
      <c r="V943" s="91"/>
      <c r="W943" s="91"/>
      <c r="X943" s="91"/>
      <c r="Y943" s="91"/>
    </row>
    <row r="944" spans="1:25">
      <c r="A944" s="91"/>
      <c r="B944" s="94"/>
      <c r="C944" s="94"/>
      <c r="D944" s="91"/>
      <c r="E944" s="91"/>
      <c r="F944" s="91"/>
      <c r="G944" s="91"/>
      <c r="H944" s="91"/>
      <c r="I944" s="91"/>
      <c r="J944" s="91"/>
      <c r="K944" s="91"/>
      <c r="L944" s="91"/>
      <c r="M944" s="91"/>
      <c r="N944" s="91"/>
      <c r="O944" s="91"/>
      <c r="P944" s="91"/>
      <c r="Q944" s="91"/>
      <c r="R944" s="91"/>
      <c r="S944" s="91"/>
      <c r="T944" s="91"/>
      <c r="U944" s="91"/>
      <c r="V944" s="91"/>
      <c r="W944" s="91"/>
      <c r="X944" s="91"/>
      <c r="Y944" s="91"/>
    </row>
    <row r="945" spans="1:25">
      <c r="A945" s="91"/>
      <c r="B945" s="94"/>
      <c r="C945" s="94"/>
      <c r="D945" s="91"/>
      <c r="E945" s="91"/>
      <c r="F945" s="91"/>
      <c r="G945" s="91"/>
      <c r="H945" s="91"/>
      <c r="I945" s="91"/>
      <c r="J945" s="91"/>
      <c r="K945" s="91"/>
      <c r="L945" s="91"/>
      <c r="M945" s="91"/>
      <c r="N945" s="91"/>
      <c r="O945" s="91"/>
      <c r="P945" s="91"/>
      <c r="Q945" s="91"/>
      <c r="R945" s="91"/>
      <c r="S945" s="91"/>
      <c r="T945" s="91"/>
      <c r="U945" s="91"/>
      <c r="V945" s="91"/>
      <c r="W945" s="91"/>
      <c r="X945" s="91"/>
      <c r="Y945" s="91"/>
    </row>
    <row r="946" spans="1:25">
      <c r="A946" s="91"/>
      <c r="B946" s="94"/>
      <c r="C946" s="94"/>
      <c r="D946" s="91"/>
      <c r="E946" s="91"/>
      <c r="F946" s="91"/>
      <c r="G946" s="91"/>
      <c r="H946" s="91"/>
      <c r="I946" s="91"/>
      <c r="J946" s="91"/>
      <c r="K946" s="91"/>
      <c r="L946" s="91"/>
      <c r="M946" s="91"/>
      <c r="N946" s="91"/>
      <c r="O946" s="91"/>
      <c r="P946" s="91"/>
      <c r="Q946" s="91"/>
      <c r="R946" s="91"/>
      <c r="S946" s="91"/>
      <c r="T946" s="91"/>
      <c r="U946" s="91"/>
      <c r="V946" s="91"/>
      <c r="W946" s="91"/>
      <c r="X946" s="91"/>
      <c r="Y946" s="91"/>
    </row>
    <row r="947" spans="1:25">
      <c r="A947" s="91"/>
      <c r="B947" s="94"/>
      <c r="C947" s="94"/>
      <c r="D947" s="91"/>
      <c r="E947" s="91"/>
      <c r="F947" s="91"/>
      <c r="G947" s="91"/>
      <c r="H947" s="91"/>
      <c r="I947" s="91"/>
      <c r="J947" s="91"/>
      <c r="K947" s="91"/>
      <c r="L947" s="91"/>
      <c r="M947" s="91"/>
      <c r="N947" s="91"/>
      <c r="O947" s="91"/>
      <c r="P947" s="91"/>
      <c r="Q947" s="91"/>
      <c r="R947" s="91"/>
      <c r="S947" s="91"/>
      <c r="T947" s="91"/>
      <c r="U947" s="91"/>
      <c r="V947" s="91"/>
      <c r="W947" s="91"/>
      <c r="X947" s="91"/>
      <c r="Y947" s="91"/>
    </row>
    <row r="948" spans="1:25">
      <c r="A948" s="91"/>
      <c r="B948" s="94"/>
      <c r="C948" s="94"/>
      <c r="D948" s="91"/>
      <c r="E948" s="91"/>
      <c r="F948" s="91"/>
      <c r="G948" s="91"/>
      <c r="H948" s="91"/>
      <c r="I948" s="91"/>
      <c r="J948" s="91"/>
      <c r="K948" s="91"/>
      <c r="L948" s="91"/>
      <c r="M948" s="91"/>
      <c r="N948" s="91"/>
      <c r="O948" s="91"/>
      <c r="P948" s="91"/>
      <c r="Q948" s="91"/>
      <c r="R948" s="91"/>
      <c r="S948" s="91"/>
      <c r="T948" s="91"/>
      <c r="U948" s="91"/>
      <c r="V948" s="91"/>
      <c r="W948" s="91"/>
      <c r="X948" s="91"/>
      <c r="Y948" s="91"/>
    </row>
    <row r="949" spans="1:25">
      <c r="A949" s="91"/>
      <c r="B949" s="94"/>
      <c r="C949" s="94"/>
      <c r="D949" s="91"/>
      <c r="E949" s="91"/>
      <c r="F949" s="91"/>
      <c r="G949" s="91"/>
      <c r="H949" s="91"/>
      <c r="I949" s="91"/>
      <c r="J949" s="91"/>
      <c r="K949" s="91"/>
      <c r="L949" s="91"/>
      <c r="M949" s="91"/>
      <c r="N949" s="91"/>
      <c r="O949" s="91"/>
      <c r="P949" s="91"/>
      <c r="Q949" s="91"/>
      <c r="R949" s="91"/>
      <c r="S949" s="91"/>
      <c r="T949" s="91"/>
      <c r="U949" s="91"/>
      <c r="V949" s="91"/>
      <c r="W949" s="91"/>
      <c r="X949" s="91"/>
      <c r="Y949" s="91"/>
    </row>
    <row r="950" spans="1:25">
      <c r="A950" s="91"/>
      <c r="B950" s="94"/>
      <c r="C950" s="94"/>
      <c r="D950" s="91"/>
      <c r="E950" s="91"/>
      <c r="F950" s="91"/>
      <c r="G950" s="91"/>
      <c r="H950" s="91"/>
      <c r="I950" s="91"/>
      <c r="J950" s="91"/>
      <c r="K950" s="91"/>
      <c r="L950" s="91"/>
      <c r="M950" s="91"/>
      <c r="N950" s="91"/>
      <c r="O950" s="91"/>
      <c r="P950" s="91"/>
      <c r="Q950" s="91"/>
      <c r="R950" s="91"/>
      <c r="S950" s="91"/>
      <c r="T950" s="91"/>
      <c r="U950" s="91"/>
      <c r="V950" s="91"/>
      <c r="W950" s="91"/>
      <c r="X950" s="91"/>
      <c r="Y950" s="91"/>
    </row>
    <row r="951" spans="1:25">
      <c r="A951" s="91"/>
      <c r="B951" s="94"/>
      <c r="C951" s="94"/>
      <c r="D951" s="91"/>
      <c r="E951" s="91"/>
      <c r="F951" s="91"/>
      <c r="G951" s="91"/>
      <c r="H951" s="91"/>
      <c r="I951" s="91"/>
      <c r="J951" s="91"/>
      <c r="K951" s="91"/>
      <c r="L951" s="91"/>
      <c r="M951" s="91"/>
      <c r="N951" s="91"/>
      <c r="O951" s="91"/>
      <c r="P951" s="91"/>
      <c r="Q951" s="91"/>
      <c r="R951" s="91"/>
      <c r="S951" s="91"/>
      <c r="T951" s="91"/>
      <c r="U951" s="91"/>
      <c r="V951" s="91"/>
      <c r="W951" s="91"/>
      <c r="X951" s="91"/>
      <c r="Y951" s="91"/>
    </row>
    <row r="952" spans="1:25">
      <c r="A952" s="91"/>
      <c r="B952" s="94"/>
      <c r="C952" s="94"/>
      <c r="D952" s="91"/>
      <c r="E952" s="91"/>
      <c r="F952" s="91"/>
      <c r="G952" s="91"/>
      <c r="H952" s="91"/>
      <c r="I952" s="91"/>
      <c r="J952" s="91"/>
      <c r="K952" s="91"/>
      <c r="L952" s="91"/>
      <c r="M952" s="91"/>
      <c r="N952" s="91"/>
      <c r="O952" s="91"/>
      <c r="P952" s="91"/>
      <c r="Q952" s="91"/>
      <c r="R952" s="91"/>
      <c r="S952" s="91"/>
      <c r="T952" s="91"/>
      <c r="U952" s="91"/>
      <c r="V952" s="91"/>
      <c r="W952" s="91"/>
      <c r="X952" s="91"/>
      <c r="Y952" s="91"/>
    </row>
    <row r="953" spans="1:25">
      <c r="A953" s="91"/>
      <c r="B953" s="94"/>
      <c r="C953" s="94"/>
      <c r="D953" s="91"/>
      <c r="E953" s="91"/>
      <c r="F953" s="91"/>
      <c r="G953" s="91"/>
      <c r="H953" s="91"/>
      <c r="I953" s="91"/>
      <c r="J953" s="91"/>
      <c r="K953" s="91"/>
      <c r="L953" s="91"/>
      <c r="M953" s="91"/>
      <c r="N953" s="91"/>
      <c r="O953" s="91"/>
      <c r="P953" s="91"/>
      <c r="Q953" s="91"/>
      <c r="R953" s="91"/>
      <c r="S953" s="91"/>
      <c r="T953" s="91"/>
      <c r="U953" s="91"/>
      <c r="V953" s="91"/>
      <c r="W953" s="91"/>
      <c r="X953" s="91"/>
      <c r="Y953" s="91"/>
    </row>
    <row r="954" spans="1:25">
      <c r="A954" s="91"/>
      <c r="B954" s="94"/>
      <c r="C954" s="94"/>
      <c r="D954" s="91"/>
      <c r="E954" s="91"/>
      <c r="F954" s="91"/>
      <c r="G954" s="91"/>
      <c r="H954" s="91"/>
      <c r="I954" s="91"/>
      <c r="J954" s="91"/>
      <c r="K954" s="91"/>
      <c r="L954" s="91"/>
      <c r="M954" s="91"/>
      <c r="N954" s="91"/>
      <c r="O954" s="91"/>
      <c r="P954" s="91"/>
      <c r="Q954" s="91"/>
      <c r="R954" s="91"/>
      <c r="S954" s="91"/>
      <c r="T954" s="91"/>
      <c r="U954" s="91"/>
      <c r="V954" s="91"/>
      <c r="W954" s="91"/>
      <c r="X954" s="91"/>
      <c r="Y954" s="91"/>
    </row>
    <row r="955" spans="1:25">
      <c r="A955" s="91"/>
      <c r="B955" s="94"/>
      <c r="C955" s="94"/>
      <c r="D955" s="91"/>
      <c r="E955" s="91"/>
      <c r="F955" s="91"/>
      <c r="G955" s="91"/>
      <c r="H955" s="91"/>
      <c r="I955" s="91"/>
      <c r="J955" s="91"/>
      <c r="K955" s="91"/>
      <c r="L955" s="91"/>
      <c r="M955" s="91"/>
      <c r="N955" s="91"/>
      <c r="O955" s="91"/>
      <c r="P955" s="91"/>
      <c r="Q955" s="91"/>
      <c r="R955" s="91"/>
      <c r="S955" s="91"/>
      <c r="T955" s="91"/>
      <c r="U955" s="91"/>
      <c r="V955" s="91"/>
      <c r="W955" s="91"/>
      <c r="X955" s="91"/>
      <c r="Y955" s="91"/>
    </row>
    <row r="956" spans="1:25">
      <c r="A956" s="91"/>
      <c r="B956" s="94"/>
      <c r="C956" s="94"/>
      <c r="D956" s="91"/>
      <c r="E956" s="91"/>
      <c r="F956" s="91"/>
      <c r="G956" s="91"/>
      <c r="H956" s="91"/>
      <c r="I956" s="91"/>
      <c r="J956" s="91"/>
      <c r="K956" s="91"/>
      <c r="L956" s="91"/>
      <c r="M956" s="91"/>
      <c r="N956" s="91"/>
      <c r="O956" s="91"/>
      <c r="P956" s="91"/>
      <c r="Q956" s="91"/>
      <c r="R956" s="91"/>
      <c r="S956" s="91"/>
      <c r="T956" s="91"/>
      <c r="U956" s="91"/>
      <c r="V956" s="91"/>
      <c r="W956" s="91"/>
      <c r="X956" s="91"/>
      <c r="Y956" s="91"/>
    </row>
    <row r="957" spans="1:25">
      <c r="A957" s="91"/>
      <c r="B957" s="94"/>
      <c r="C957" s="94"/>
      <c r="D957" s="91"/>
      <c r="E957" s="91"/>
      <c r="F957" s="91"/>
      <c r="G957" s="91"/>
      <c r="H957" s="91"/>
      <c r="I957" s="91"/>
      <c r="J957" s="91"/>
      <c r="K957" s="91"/>
      <c r="L957" s="91"/>
      <c r="M957" s="91"/>
      <c r="N957" s="91"/>
      <c r="O957" s="91"/>
      <c r="P957" s="91"/>
      <c r="Q957" s="91"/>
      <c r="R957" s="91"/>
      <c r="S957" s="91"/>
      <c r="T957" s="91"/>
      <c r="U957" s="91"/>
      <c r="V957" s="91"/>
      <c r="W957" s="91"/>
      <c r="X957" s="91"/>
      <c r="Y957" s="91"/>
    </row>
    <row r="958" spans="1:25">
      <c r="A958" s="91"/>
      <c r="B958" s="94"/>
      <c r="C958" s="94"/>
      <c r="D958" s="91"/>
      <c r="E958" s="91"/>
      <c r="F958" s="91"/>
      <c r="G958" s="91"/>
      <c r="H958" s="91"/>
      <c r="I958" s="91"/>
      <c r="J958" s="91"/>
      <c r="K958" s="91"/>
      <c r="L958" s="91"/>
      <c r="M958" s="91"/>
      <c r="N958" s="91"/>
      <c r="O958" s="91"/>
      <c r="P958" s="91"/>
      <c r="Q958" s="91"/>
      <c r="R958" s="91"/>
      <c r="S958" s="91"/>
      <c r="T958" s="91"/>
      <c r="U958" s="91"/>
      <c r="V958" s="91"/>
      <c r="W958" s="91"/>
      <c r="X958" s="91"/>
      <c r="Y958" s="91"/>
    </row>
    <row r="959" spans="1:25">
      <c r="A959" s="91"/>
      <c r="B959" s="94"/>
      <c r="C959" s="94"/>
      <c r="D959" s="91"/>
      <c r="E959" s="91"/>
      <c r="F959" s="91"/>
      <c r="G959" s="91"/>
      <c r="H959" s="91"/>
      <c r="I959" s="91"/>
      <c r="J959" s="91"/>
      <c r="K959" s="91"/>
      <c r="L959" s="91"/>
      <c r="M959" s="91"/>
      <c r="N959" s="91"/>
      <c r="O959" s="91"/>
      <c r="P959" s="91"/>
      <c r="Q959" s="91"/>
      <c r="R959" s="91"/>
      <c r="S959" s="91"/>
      <c r="T959" s="91"/>
      <c r="U959" s="91"/>
      <c r="V959" s="91"/>
      <c r="W959" s="91"/>
      <c r="X959" s="91"/>
      <c r="Y959" s="91"/>
    </row>
    <row r="960" spans="1:25">
      <c r="A960" s="91"/>
      <c r="B960" s="94"/>
      <c r="C960" s="94"/>
      <c r="D960" s="91"/>
      <c r="E960" s="91"/>
      <c r="F960" s="91"/>
      <c r="G960" s="91"/>
      <c r="H960" s="91"/>
      <c r="I960" s="91"/>
      <c r="J960" s="91"/>
      <c r="K960" s="91"/>
      <c r="L960" s="91"/>
      <c r="M960" s="91"/>
      <c r="N960" s="91"/>
      <c r="O960" s="91"/>
      <c r="P960" s="91"/>
      <c r="Q960" s="91"/>
      <c r="R960" s="91"/>
      <c r="S960" s="91"/>
      <c r="T960" s="91"/>
      <c r="U960" s="91"/>
      <c r="V960" s="91"/>
      <c r="W960" s="91"/>
      <c r="X960" s="91"/>
      <c r="Y960" s="91"/>
    </row>
    <row r="961" spans="1:25">
      <c r="A961" s="91"/>
      <c r="B961" s="94"/>
      <c r="C961" s="94"/>
      <c r="D961" s="91"/>
      <c r="E961" s="91"/>
      <c r="F961" s="91"/>
      <c r="G961" s="91"/>
      <c r="H961" s="91"/>
      <c r="I961" s="91"/>
      <c r="J961" s="91"/>
      <c r="K961" s="91"/>
      <c r="L961" s="91"/>
      <c r="M961" s="91"/>
      <c r="N961" s="91"/>
      <c r="O961" s="91"/>
      <c r="P961" s="91"/>
      <c r="Q961" s="91"/>
      <c r="R961" s="91"/>
      <c r="S961" s="91"/>
      <c r="T961" s="91"/>
      <c r="U961" s="91"/>
      <c r="V961" s="91"/>
      <c r="W961" s="91"/>
      <c r="X961" s="91"/>
      <c r="Y961" s="91"/>
    </row>
    <row r="962" spans="1:25">
      <c r="A962" s="91"/>
      <c r="B962" s="94"/>
      <c r="C962" s="94"/>
      <c r="D962" s="91"/>
      <c r="E962" s="91"/>
      <c r="F962" s="91"/>
      <c r="G962" s="91"/>
      <c r="H962" s="91"/>
      <c r="I962" s="91"/>
      <c r="J962" s="91"/>
      <c r="K962" s="91"/>
      <c r="L962" s="91"/>
      <c r="M962" s="91"/>
      <c r="N962" s="91"/>
      <c r="O962" s="91"/>
      <c r="P962" s="91"/>
      <c r="Q962" s="91"/>
      <c r="R962" s="91"/>
      <c r="S962" s="91"/>
      <c r="T962" s="91"/>
      <c r="U962" s="91"/>
      <c r="V962" s="91"/>
      <c r="W962" s="91"/>
      <c r="X962" s="91"/>
      <c r="Y962" s="91"/>
    </row>
    <row r="963" spans="1:25">
      <c r="A963" s="91"/>
      <c r="B963" s="94"/>
      <c r="C963" s="94"/>
      <c r="D963" s="91"/>
      <c r="E963" s="91"/>
      <c r="F963" s="91"/>
      <c r="G963" s="91"/>
      <c r="H963" s="91"/>
      <c r="I963" s="91"/>
      <c r="J963" s="91"/>
      <c r="K963" s="91"/>
      <c r="L963" s="91"/>
      <c r="M963" s="91"/>
      <c r="N963" s="91"/>
      <c r="O963" s="91"/>
      <c r="P963" s="91"/>
      <c r="Q963" s="91"/>
      <c r="R963" s="91"/>
      <c r="S963" s="91"/>
      <c r="T963" s="91"/>
      <c r="U963" s="91"/>
      <c r="V963" s="91"/>
      <c r="W963" s="91"/>
      <c r="X963" s="91"/>
      <c r="Y963" s="91"/>
    </row>
    <row r="964" spans="1:25">
      <c r="A964" s="91"/>
      <c r="B964" s="94"/>
      <c r="C964" s="94"/>
      <c r="D964" s="91"/>
      <c r="E964" s="91"/>
      <c r="F964" s="91"/>
      <c r="G964" s="91"/>
      <c r="H964" s="91"/>
      <c r="I964" s="91"/>
      <c r="J964" s="91"/>
      <c r="K964" s="91"/>
      <c r="L964" s="91"/>
      <c r="M964" s="91"/>
      <c r="N964" s="91"/>
      <c r="O964" s="91"/>
      <c r="P964" s="91"/>
      <c r="Q964" s="91"/>
      <c r="R964" s="91"/>
      <c r="S964" s="91"/>
      <c r="T964" s="91"/>
      <c r="U964" s="91"/>
      <c r="V964" s="91"/>
      <c r="W964" s="91"/>
      <c r="X964" s="91"/>
      <c r="Y964" s="91"/>
    </row>
    <row r="965" spans="1:25">
      <c r="A965" s="91"/>
      <c r="B965" s="94"/>
      <c r="C965" s="94"/>
      <c r="D965" s="91"/>
      <c r="E965" s="91"/>
      <c r="F965" s="91"/>
      <c r="G965" s="91"/>
      <c r="H965" s="91"/>
      <c r="I965" s="91"/>
      <c r="J965" s="91"/>
      <c r="K965" s="91"/>
      <c r="L965" s="91"/>
      <c r="M965" s="91"/>
      <c r="N965" s="91"/>
      <c r="O965" s="91"/>
      <c r="P965" s="91"/>
      <c r="Q965" s="91"/>
      <c r="R965" s="91"/>
      <c r="S965" s="91"/>
      <c r="T965" s="91"/>
      <c r="U965" s="91"/>
      <c r="V965" s="91"/>
      <c r="W965" s="91"/>
      <c r="X965" s="91"/>
      <c r="Y965" s="91"/>
    </row>
    <row r="966" spans="1:25">
      <c r="A966" s="91"/>
      <c r="B966" s="94"/>
      <c r="C966" s="94"/>
      <c r="D966" s="91"/>
      <c r="E966" s="91"/>
      <c r="F966" s="91"/>
      <c r="G966" s="91"/>
      <c r="H966" s="91"/>
      <c r="I966" s="91"/>
      <c r="J966" s="91"/>
      <c r="K966" s="91"/>
      <c r="L966" s="91"/>
      <c r="M966" s="91"/>
      <c r="N966" s="91"/>
      <c r="O966" s="91"/>
      <c r="P966" s="91"/>
      <c r="Q966" s="91"/>
      <c r="R966" s="91"/>
      <c r="S966" s="91"/>
      <c r="T966" s="91"/>
      <c r="U966" s="91"/>
      <c r="V966" s="91"/>
      <c r="W966" s="91"/>
      <c r="X966" s="91"/>
      <c r="Y966" s="91"/>
    </row>
    <row r="967" spans="1:25">
      <c r="A967" s="91"/>
      <c r="B967" s="94"/>
      <c r="C967" s="94"/>
      <c r="D967" s="91"/>
      <c r="E967" s="91"/>
      <c r="F967" s="91"/>
      <c r="G967" s="91"/>
      <c r="H967" s="91"/>
      <c r="I967" s="91"/>
      <c r="J967" s="91"/>
      <c r="K967" s="91"/>
      <c r="L967" s="91"/>
      <c r="M967" s="91"/>
      <c r="N967" s="91"/>
      <c r="O967" s="91"/>
      <c r="P967" s="91"/>
      <c r="Q967" s="91"/>
      <c r="R967" s="91"/>
      <c r="S967" s="91"/>
      <c r="T967" s="91"/>
      <c r="U967" s="91"/>
      <c r="V967" s="91"/>
      <c r="W967" s="91"/>
      <c r="X967" s="91"/>
      <c r="Y967" s="91"/>
    </row>
    <row r="968" spans="1:25">
      <c r="A968" s="91"/>
      <c r="B968" s="94"/>
      <c r="C968" s="94"/>
      <c r="D968" s="91"/>
      <c r="E968" s="91"/>
      <c r="F968" s="91"/>
      <c r="G968" s="91"/>
      <c r="H968" s="91"/>
      <c r="I968" s="91"/>
      <c r="J968" s="91"/>
      <c r="K968" s="91"/>
      <c r="L968" s="91"/>
      <c r="M968" s="91"/>
      <c r="N968" s="91"/>
      <c r="O968" s="91"/>
      <c r="P968" s="91"/>
      <c r="Q968" s="91"/>
      <c r="R968" s="91"/>
      <c r="S968" s="91"/>
      <c r="T968" s="91"/>
      <c r="U968" s="91"/>
      <c r="V968" s="91"/>
      <c r="W968" s="91"/>
      <c r="X968" s="91"/>
      <c r="Y968" s="91"/>
    </row>
    <row r="969" spans="1:25">
      <c r="A969" s="91"/>
      <c r="B969" s="94"/>
      <c r="C969" s="94"/>
      <c r="D969" s="91"/>
      <c r="E969" s="91"/>
      <c r="F969" s="91"/>
      <c r="G969" s="91"/>
      <c r="H969" s="91"/>
      <c r="I969" s="91"/>
      <c r="J969" s="91"/>
      <c r="K969" s="91"/>
      <c r="L969" s="91"/>
      <c r="M969" s="91"/>
      <c r="N969" s="91"/>
      <c r="O969" s="91"/>
      <c r="P969" s="91"/>
      <c r="Q969" s="91"/>
      <c r="R969" s="91"/>
      <c r="S969" s="91"/>
      <c r="T969" s="91"/>
      <c r="U969" s="91"/>
      <c r="V969" s="91"/>
      <c r="W969" s="91"/>
      <c r="X969" s="91"/>
      <c r="Y969" s="91"/>
    </row>
    <row r="970" spans="1:25">
      <c r="A970" s="91"/>
      <c r="B970" s="94"/>
      <c r="C970" s="94"/>
      <c r="D970" s="91"/>
      <c r="E970" s="91"/>
      <c r="F970" s="91"/>
      <c r="G970" s="91"/>
      <c r="H970" s="91"/>
      <c r="I970" s="91"/>
      <c r="J970" s="91"/>
      <c r="K970" s="91"/>
      <c r="L970" s="91"/>
      <c r="M970" s="91"/>
      <c r="N970" s="91"/>
      <c r="O970" s="91"/>
      <c r="P970" s="91"/>
      <c r="Q970" s="91"/>
      <c r="R970" s="91"/>
      <c r="S970" s="91"/>
      <c r="T970" s="91"/>
      <c r="U970" s="91"/>
      <c r="V970" s="91"/>
      <c r="W970" s="91"/>
      <c r="X970" s="91"/>
      <c r="Y970" s="91"/>
    </row>
    <row r="971" spans="1:25">
      <c r="A971" s="91"/>
      <c r="B971" s="94"/>
      <c r="C971" s="94"/>
      <c r="D971" s="91"/>
      <c r="E971" s="91"/>
      <c r="F971" s="91"/>
      <c r="G971" s="91"/>
      <c r="H971" s="91"/>
      <c r="I971" s="91"/>
      <c r="J971" s="91"/>
      <c r="K971" s="91"/>
      <c r="L971" s="91"/>
      <c r="M971" s="91"/>
      <c r="N971" s="91"/>
      <c r="O971" s="91"/>
      <c r="P971" s="91"/>
      <c r="Q971" s="91"/>
      <c r="R971" s="91"/>
      <c r="S971" s="91"/>
      <c r="T971" s="91"/>
      <c r="U971" s="91"/>
      <c r="V971" s="91"/>
      <c r="W971" s="91"/>
      <c r="X971" s="91"/>
      <c r="Y971" s="91"/>
    </row>
    <row r="972" spans="1:25">
      <c r="A972" s="91"/>
      <c r="B972" s="94"/>
      <c r="C972" s="94"/>
      <c r="D972" s="91"/>
      <c r="E972" s="91"/>
      <c r="F972" s="91"/>
      <c r="G972" s="91"/>
      <c r="H972" s="91"/>
      <c r="I972" s="91"/>
      <c r="J972" s="91"/>
      <c r="K972" s="91"/>
      <c r="L972" s="91"/>
      <c r="M972" s="91"/>
      <c r="N972" s="91"/>
      <c r="O972" s="91"/>
      <c r="P972" s="91"/>
      <c r="Q972" s="91"/>
      <c r="R972" s="91"/>
      <c r="S972" s="91"/>
      <c r="T972" s="91"/>
      <c r="U972" s="91"/>
      <c r="V972" s="91"/>
      <c r="W972" s="91"/>
      <c r="X972" s="91"/>
      <c r="Y972" s="91"/>
    </row>
    <row r="973" spans="1:25">
      <c r="A973" s="91"/>
      <c r="B973" s="94"/>
      <c r="C973" s="94"/>
      <c r="D973" s="91"/>
      <c r="E973" s="91"/>
      <c r="F973" s="91"/>
      <c r="G973" s="91"/>
      <c r="H973" s="91"/>
      <c r="I973" s="91"/>
      <c r="J973" s="91"/>
      <c r="K973" s="91"/>
      <c r="L973" s="91"/>
      <c r="M973" s="91"/>
      <c r="N973" s="91"/>
      <c r="O973" s="91"/>
      <c r="P973" s="91"/>
      <c r="Q973" s="91"/>
      <c r="R973" s="91"/>
      <c r="S973" s="91"/>
      <c r="T973" s="91"/>
      <c r="U973" s="91"/>
      <c r="V973" s="91"/>
      <c r="W973" s="91"/>
      <c r="X973" s="91"/>
      <c r="Y973" s="91"/>
    </row>
    <row r="974" spans="1:25">
      <c r="A974" s="91"/>
      <c r="B974" s="94"/>
      <c r="C974" s="94"/>
      <c r="D974" s="91"/>
      <c r="E974" s="91"/>
      <c r="F974" s="91"/>
      <c r="G974" s="91"/>
      <c r="H974" s="91"/>
      <c r="I974" s="91"/>
      <c r="J974" s="91"/>
      <c r="K974" s="91"/>
      <c r="L974" s="91"/>
      <c r="M974" s="91"/>
      <c r="N974" s="91"/>
      <c r="O974" s="91"/>
      <c r="P974" s="91"/>
      <c r="Q974" s="91"/>
      <c r="R974" s="91"/>
      <c r="S974" s="91"/>
      <c r="T974" s="91"/>
      <c r="U974" s="91"/>
      <c r="V974" s="91"/>
      <c r="W974" s="91"/>
      <c r="X974" s="91"/>
      <c r="Y974" s="91"/>
    </row>
    <row r="975" spans="1:25">
      <c r="A975" s="91"/>
      <c r="B975" s="94"/>
      <c r="C975" s="94"/>
      <c r="D975" s="91"/>
      <c r="E975" s="91"/>
      <c r="F975" s="91"/>
      <c r="G975" s="91"/>
      <c r="H975" s="91"/>
      <c r="I975" s="91"/>
      <c r="J975" s="91"/>
      <c r="K975" s="91"/>
      <c r="L975" s="91"/>
      <c r="M975" s="91"/>
      <c r="N975" s="91"/>
      <c r="O975" s="91"/>
      <c r="P975" s="91"/>
      <c r="Q975" s="91"/>
      <c r="R975" s="91"/>
      <c r="S975" s="91"/>
      <c r="T975" s="91"/>
      <c r="U975" s="91"/>
      <c r="V975" s="91"/>
      <c r="W975" s="91"/>
      <c r="X975" s="91"/>
      <c r="Y975" s="91"/>
    </row>
    <row r="976" spans="1:25">
      <c r="A976" s="91"/>
      <c r="B976" s="94"/>
      <c r="C976" s="94"/>
      <c r="D976" s="91"/>
      <c r="E976" s="91"/>
      <c r="F976" s="91"/>
      <c r="G976" s="91"/>
      <c r="H976" s="91"/>
      <c r="I976" s="91"/>
      <c r="J976" s="91"/>
      <c r="K976" s="91"/>
      <c r="L976" s="91"/>
      <c r="M976" s="91"/>
      <c r="N976" s="91"/>
      <c r="O976" s="91"/>
      <c r="P976" s="91"/>
      <c r="Q976" s="91"/>
      <c r="R976" s="91"/>
      <c r="S976" s="91"/>
      <c r="T976" s="91"/>
      <c r="U976" s="91"/>
      <c r="V976" s="91"/>
      <c r="W976" s="91"/>
      <c r="X976" s="91"/>
      <c r="Y976" s="91"/>
    </row>
    <row r="977" spans="1:25">
      <c r="A977" s="91"/>
      <c r="B977" s="94"/>
      <c r="C977" s="94"/>
      <c r="D977" s="91"/>
      <c r="E977" s="91"/>
      <c r="F977" s="91"/>
      <c r="G977" s="91"/>
      <c r="H977" s="91"/>
      <c r="I977" s="91"/>
      <c r="J977" s="91"/>
      <c r="K977" s="91"/>
      <c r="L977" s="91"/>
      <c r="M977" s="91"/>
      <c r="N977" s="91"/>
      <c r="O977" s="91"/>
      <c r="P977" s="91"/>
      <c r="Q977" s="91"/>
      <c r="R977" s="91"/>
      <c r="S977" s="91"/>
      <c r="T977" s="91"/>
      <c r="U977" s="91"/>
      <c r="V977" s="91"/>
      <c r="W977" s="91"/>
      <c r="X977" s="91"/>
      <c r="Y977" s="91"/>
    </row>
    <row r="978" spans="1:25">
      <c r="A978" s="91"/>
      <c r="B978" s="94"/>
      <c r="C978" s="94"/>
      <c r="D978" s="91"/>
      <c r="E978" s="91"/>
      <c r="F978" s="91"/>
      <c r="G978" s="91"/>
      <c r="H978" s="91"/>
      <c r="I978" s="91"/>
      <c r="J978" s="91"/>
      <c r="K978" s="91"/>
      <c r="L978" s="91"/>
      <c r="M978" s="91"/>
      <c r="N978" s="91"/>
      <c r="O978" s="91"/>
      <c r="P978" s="91"/>
      <c r="Q978" s="91"/>
      <c r="R978" s="91"/>
      <c r="S978" s="91"/>
      <c r="T978" s="91"/>
      <c r="U978" s="91"/>
      <c r="V978" s="91"/>
      <c r="W978" s="91"/>
      <c r="X978" s="91"/>
      <c r="Y978" s="91"/>
    </row>
    <row r="979" spans="1:25">
      <c r="A979" s="91"/>
      <c r="B979" s="94"/>
      <c r="C979" s="94"/>
      <c r="D979" s="91"/>
      <c r="E979" s="91"/>
      <c r="F979" s="91"/>
      <c r="G979" s="91"/>
      <c r="H979" s="91"/>
      <c r="I979" s="91"/>
      <c r="J979" s="91"/>
      <c r="K979" s="91"/>
      <c r="L979" s="91"/>
      <c r="M979" s="91"/>
      <c r="N979" s="91"/>
      <c r="O979" s="91"/>
      <c r="P979" s="91"/>
      <c r="Q979" s="91"/>
      <c r="R979" s="91"/>
      <c r="S979" s="91"/>
      <c r="T979" s="91"/>
      <c r="U979" s="91"/>
      <c r="V979" s="91"/>
      <c r="W979" s="91"/>
      <c r="X979" s="91"/>
      <c r="Y979" s="91"/>
    </row>
    <row r="980" spans="1:25">
      <c r="A980" s="91"/>
      <c r="B980" s="94"/>
      <c r="C980" s="94"/>
      <c r="D980" s="91"/>
      <c r="E980" s="91"/>
      <c r="F980" s="91"/>
      <c r="G980" s="91"/>
      <c r="H980" s="91"/>
      <c r="I980" s="91"/>
      <c r="J980" s="91"/>
      <c r="K980" s="91"/>
      <c r="L980" s="91"/>
      <c r="M980" s="91"/>
      <c r="N980" s="91"/>
      <c r="O980" s="91"/>
      <c r="P980" s="91"/>
      <c r="Q980" s="91"/>
      <c r="R980" s="91"/>
      <c r="S980" s="91"/>
      <c r="T980" s="91"/>
      <c r="U980" s="91"/>
      <c r="V980" s="91"/>
      <c r="W980" s="91"/>
      <c r="X980" s="91"/>
      <c r="Y980" s="91"/>
    </row>
    <row r="981" spans="1:25">
      <c r="A981" s="91"/>
      <c r="B981" s="94"/>
      <c r="C981" s="94"/>
      <c r="D981" s="91"/>
      <c r="E981" s="91"/>
      <c r="F981" s="91"/>
      <c r="G981" s="91"/>
      <c r="H981" s="91"/>
      <c r="I981" s="91"/>
      <c r="J981" s="91"/>
      <c r="K981" s="91"/>
      <c r="L981" s="91"/>
      <c r="M981" s="91"/>
      <c r="N981" s="91"/>
      <c r="O981" s="91"/>
      <c r="P981" s="91"/>
      <c r="Q981" s="91"/>
      <c r="R981" s="91"/>
      <c r="S981" s="91"/>
      <c r="T981" s="91"/>
      <c r="U981" s="91"/>
      <c r="V981" s="91"/>
      <c r="W981" s="91"/>
      <c r="X981" s="91"/>
      <c r="Y981" s="91"/>
    </row>
    <row r="982" spans="1:25">
      <c r="A982" s="91"/>
      <c r="B982" s="94"/>
      <c r="C982" s="94"/>
      <c r="D982" s="91"/>
      <c r="E982" s="91"/>
      <c r="F982" s="91"/>
      <c r="G982" s="91"/>
      <c r="H982" s="91"/>
      <c r="I982" s="91"/>
      <c r="J982" s="91"/>
      <c r="K982" s="91"/>
      <c r="L982" s="91"/>
      <c r="M982" s="91"/>
      <c r="N982" s="91"/>
      <c r="O982" s="91"/>
      <c r="P982" s="91"/>
      <c r="Q982" s="91"/>
      <c r="R982" s="91"/>
      <c r="S982" s="91"/>
      <c r="T982" s="91"/>
      <c r="U982" s="91"/>
      <c r="V982" s="91"/>
      <c r="W982" s="91"/>
      <c r="X982" s="91"/>
      <c r="Y982" s="91"/>
    </row>
    <row r="983" spans="1:25">
      <c r="A983" s="91"/>
      <c r="B983" s="94"/>
      <c r="C983" s="94"/>
      <c r="D983" s="91"/>
      <c r="E983" s="91"/>
      <c r="F983" s="91"/>
      <c r="G983" s="91"/>
      <c r="H983" s="91"/>
      <c r="I983" s="91"/>
      <c r="J983" s="91"/>
      <c r="K983" s="91"/>
      <c r="L983" s="91"/>
      <c r="M983" s="91"/>
      <c r="N983" s="91"/>
      <c r="O983" s="91"/>
      <c r="P983" s="91"/>
      <c r="Q983" s="91"/>
      <c r="R983" s="91"/>
      <c r="S983" s="91"/>
      <c r="T983" s="91"/>
      <c r="U983" s="91"/>
      <c r="V983" s="91"/>
      <c r="W983" s="91"/>
      <c r="X983" s="91"/>
      <c r="Y983" s="91"/>
    </row>
    <row r="984" spans="1:25">
      <c r="A984" s="91"/>
      <c r="B984" s="94"/>
      <c r="C984" s="94"/>
      <c r="D984" s="91"/>
      <c r="E984" s="91"/>
      <c r="F984" s="91"/>
      <c r="G984" s="91"/>
      <c r="H984" s="91"/>
      <c r="I984" s="91"/>
      <c r="J984" s="91"/>
      <c r="K984" s="91"/>
      <c r="L984" s="91"/>
      <c r="M984" s="91"/>
      <c r="N984" s="91"/>
      <c r="O984" s="91"/>
      <c r="P984" s="91"/>
      <c r="Q984" s="91"/>
      <c r="R984" s="91"/>
      <c r="S984" s="91"/>
      <c r="T984" s="91"/>
      <c r="U984" s="91"/>
      <c r="V984" s="91"/>
      <c r="W984" s="91"/>
      <c r="X984" s="91"/>
      <c r="Y984" s="91"/>
    </row>
    <row r="985" spans="1:25">
      <c r="A985" s="91"/>
      <c r="B985" s="94"/>
      <c r="C985" s="94"/>
      <c r="D985" s="91"/>
      <c r="E985" s="91"/>
      <c r="F985" s="91"/>
      <c r="G985" s="91"/>
      <c r="H985" s="91"/>
      <c r="I985" s="91"/>
      <c r="J985" s="91"/>
      <c r="K985" s="91"/>
      <c r="L985" s="91"/>
      <c r="M985" s="91"/>
      <c r="N985" s="91"/>
      <c r="O985" s="91"/>
      <c r="P985" s="91"/>
      <c r="Q985" s="91"/>
      <c r="R985" s="91"/>
      <c r="S985" s="91"/>
      <c r="T985" s="91"/>
      <c r="U985" s="91"/>
      <c r="V985" s="91"/>
      <c r="W985" s="91"/>
      <c r="X985" s="91"/>
      <c r="Y985" s="91"/>
    </row>
    <row r="986" spans="1:25">
      <c r="A986" s="91"/>
      <c r="B986" s="94"/>
      <c r="C986" s="94"/>
      <c r="D986" s="91"/>
      <c r="E986" s="91"/>
      <c r="F986" s="91"/>
      <c r="G986" s="91"/>
      <c r="H986" s="91"/>
      <c r="I986" s="91"/>
      <c r="J986" s="91"/>
      <c r="K986" s="91"/>
      <c r="L986" s="91"/>
      <c r="M986" s="91"/>
      <c r="N986" s="91"/>
      <c r="O986" s="91"/>
      <c r="P986" s="91"/>
      <c r="Q986" s="91"/>
      <c r="R986" s="91"/>
      <c r="S986" s="91"/>
      <c r="T986" s="91"/>
      <c r="U986" s="91"/>
      <c r="V986" s="91"/>
      <c r="W986" s="91"/>
      <c r="X986" s="91"/>
      <c r="Y986" s="91"/>
    </row>
    <row r="987" spans="1:25">
      <c r="A987" s="91"/>
      <c r="B987" s="94"/>
      <c r="C987" s="94"/>
      <c r="D987" s="91"/>
      <c r="E987" s="91"/>
      <c r="F987" s="91"/>
      <c r="G987" s="91"/>
      <c r="H987" s="91"/>
      <c r="I987" s="91"/>
      <c r="J987" s="91"/>
      <c r="K987" s="91"/>
      <c r="L987" s="91"/>
      <c r="M987" s="91"/>
      <c r="N987" s="91"/>
      <c r="O987" s="91"/>
      <c r="P987" s="91"/>
      <c r="Q987" s="91"/>
      <c r="R987" s="91"/>
      <c r="S987" s="91"/>
      <c r="T987" s="91"/>
      <c r="U987" s="91"/>
      <c r="V987" s="91"/>
      <c r="W987" s="91"/>
      <c r="X987" s="91"/>
      <c r="Y987" s="91"/>
    </row>
    <row r="988" spans="1:25">
      <c r="A988" s="91"/>
      <c r="B988" s="94"/>
      <c r="C988" s="94"/>
      <c r="D988" s="91"/>
      <c r="E988" s="91"/>
      <c r="F988" s="91"/>
      <c r="G988" s="91"/>
      <c r="H988" s="91"/>
      <c r="I988" s="91"/>
      <c r="J988" s="91"/>
      <c r="K988" s="91"/>
      <c r="L988" s="91"/>
      <c r="M988" s="91"/>
      <c r="N988" s="91"/>
      <c r="O988" s="91"/>
      <c r="P988" s="91"/>
      <c r="Q988" s="91"/>
      <c r="R988" s="91"/>
      <c r="S988" s="91"/>
      <c r="T988" s="91"/>
      <c r="U988" s="91"/>
      <c r="V988" s="91"/>
      <c r="W988" s="91"/>
      <c r="X988" s="91"/>
      <c r="Y988" s="91"/>
    </row>
    <row r="989" spans="1:25">
      <c r="A989" s="91"/>
      <c r="B989" s="94"/>
      <c r="C989" s="94"/>
      <c r="D989" s="91"/>
      <c r="E989" s="91"/>
      <c r="F989" s="91"/>
      <c r="G989" s="91"/>
      <c r="H989" s="91"/>
      <c r="I989" s="91"/>
      <c r="J989" s="91"/>
      <c r="K989" s="91"/>
      <c r="L989" s="91"/>
      <c r="M989" s="91"/>
      <c r="N989" s="91"/>
      <c r="O989" s="91"/>
      <c r="P989" s="91"/>
      <c r="Q989" s="91"/>
      <c r="R989" s="91"/>
      <c r="S989" s="91"/>
      <c r="T989" s="91"/>
      <c r="U989" s="91"/>
      <c r="V989" s="91"/>
      <c r="W989" s="91"/>
      <c r="X989" s="91"/>
      <c r="Y989" s="91"/>
    </row>
    <row r="990" spans="1:25">
      <c r="A990" s="91"/>
      <c r="B990" s="94"/>
      <c r="C990" s="94"/>
      <c r="D990" s="91"/>
      <c r="E990" s="91"/>
      <c r="F990" s="91"/>
      <c r="G990" s="91"/>
      <c r="H990" s="91"/>
      <c r="I990" s="91"/>
      <c r="J990" s="91"/>
      <c r="K990" s="91"/>
      <c r="L990" s="91"/>
      <c r="M990" s="91"/>
      <c r="N990" s="91"/>
      <c r="O990" s="91"/>
      <c r="P990" s="91"/>
      <c r="Q990" s="91"/>
      <c r="R990" s="91"/>
      <c r="S990" s="91"/>
      <c r="T990" s="91"/>
      <c r="U990" s="91"/>
      <c r="V990" s="91"/>
      <c r="W990" s="91"/>
      <c r="X990" s="91"/>
      <c r="Y990" s="91"/>
    </row>
    <row r="991" spans="1:25">
      <c r="A991" s="91"/>
      <c r="B991" s="94"/>
      <c r="C991" s="94"/>
      <c r="D991" s="91"/>
      <c r="E991" s="91"/>
      <c r="F991" s="91"/>
      <c r="G991" s="91"/>
      <c r="H991" s="91"/>
      <c r="I991" s="91"/>
      <c r="J991" s="91"/>
      <c r="K991" s="91"/>
      <c r="L991" s="91"/>
      <c r="M991" s="91"/>
      <c r="N991" s="91"/>
      <c r="O991" s="91"/>
      <c r="P991" s="91"/>
      <c r="Q991" s="91"/>
      <c r="R991" s="91"/>
      <c r="S991" s="91"/>
      <c r="T991" s="91"/>
      <c r="U991" s="91"/>
      <c r="V991" s="91"/>
      <c r="W991" s="91"/>
      <c r="X991" s="91"/>
      <c r="Y991" s="91"/>
    </row>
    <row r="992" spans="1:25">
      <c r="A992" s="91"/>
      <c r="B992" s="94"/>
      <c r="C992" s="94"/>
      <c r="D992" s="91"/>
      <c r="E992" s="91"/>
      <c r="F992" s="91"/>
      <c r="G992" s="91"/>
      <c r="H992" s="91"/>
      <c r="I992" s="91"/>
      <c r="J992" s="91"/>
      <c r="K992" s="91"/>
      <c r="L992" s="91"/>
      <c r="M992" s="91"/>
      <c r="N992" s="91"/>
      <c r="O992" s="91"/>
      <c r="P992" s="91"/>
      <c r="Q992" s="91"/>
      <c r="R992" s="91"/>
      <c r="S992" s="91"/>
      <c r="T992" s="91"/>
      <c r="U992" s="91"/>
      <c r="V992" s="91"/>
      <c r="W992" s="91"/>
      <c r="X992" s="91"/>
      <c r="Y992" s="91"/>
    </row>
    <row r="993" spans="1:25">
      <c r="A993" s="91"/>
      <c r="B993" s="94"/>
      <c r="C993" s="94"/>
      <c r="D993" s="91"/>
      <c r="E993" s="91"/>
      <c r="F993" s="91"/>
      <c r="G993" s="91"/>
      <c r="H993" s="91"/>
      <c r="I993" s="91"/>
      <c r="J993" s="91"/>
      <c r="K993" s="91"/>
      <c r="L993" s="91"/>
      <c r="M993" s="91"/>
      <c r="N993" s="91"/>
      <c r="O993" s="91"/>
      <c r="P993" s="91"/>
      <c r="Q993" s="91"/>
      <c r="R993" s="91"/>
      <c r="S993" s="91"/>
      <c r="T993" s="91"/>
      <c r="U993" s="91"/>
      <c r="V993" s="91"/>
      <c r="W993" s="91"/>
      <c r="X993" s="91"/>
      <c r="Y993" s="91"/>
    </row>
    <row r="994" spans="1:25">
      <c r="A994" s="91"/>
      <c r="B994" s="94"/>
      <c r="C994" s="94"/>
      <c r="D994" s="91"/>
      <c r="E994" s="91"/>
      <c r="F994" s="91"/>
      <c r="G994" s="91"/>
      <c r="H994" s="91"/>
      <c r="I994" s="91"/>
      <c r="J994" s="91"/>
      <c r="K994" s="91"/>
      <c r="L994" s="91"/>
      <c r="M994" s="91"/>
      <c r="N994" s="91"/>
      <c r="O994" s="91"/>
      <c r="P994" s="91"/>
      <c r="Q994" s="91"/>
      <c r="R994" s="91"/>
      <c r="S994" s="91"/>
      <c r="T994" s="91"/>
      <c r="U994" s="91"/>
      <c r="V994" s="91"/>
      <c r="W994" s="91"/>
      <c r="X994" s="91"/>
      <c r="Y994" s="91"/>
    </row>
    <row r="995" spans="1:25">
      <c r="A995" s="91"/>
      <c r="B995" s="94"/>
      <c r="C995" s="94"/>
      <c r="D995" s="91"/>
      <c r="E995" s="91"/>
      <c r="F995" s="91"/>
      <c r="G995" s="91"/>
      <c r="H995" s="91"/>
      <c r="I995" s="91"/>
      <c r="J995" s="91"/>
      <c r="K995" s="91"/>
      <c r="L995" s="91"/>
      <c r="M995" s="91"/>
      <c r="N995" s="91"/>
      <c r="O995" s="91"/>
      <c r="P995" s="91"/>
      <c r="Q995" s="91"/>
      <c r="R995" s="91"/>
      <c r="S995" s="91"/>
      <c r="T995" s="91"/>
      <c r="U995" s="91"/>
      <c r="V995" s="91"/>
      <c r="W995" s="91"/>
      <c r="X995" s="91"/>
      <c r="Y995" s="91"/>
    </row>
    <row r="996" spans="1:25">
      <c r="A996" s="91"/>
      <c r="B996" s="94"/>
      <c r="C996" s="94"/>
      <c r="D996" s="91"/>
      <c r="E996" s="91"/>
      <c r="F996" s="91"/>
      <c r="G996" s="91"/>
      <c r="H996" s="91"/>
      <c r="I996" s="91"/>
      <c r="J996" s="91"/>
      <c r="K996" s="91"/>
      <c r="L996" s="91"/>
      <c r="M996" s="91"/>
      <c r="N996" s="91"/>
      <c r="O996" s="91"/>
      <c r="P996" s="91"/>
      <c r="Q996" s="91"/>
      <c r="R996" s="91"/>
      <c r="S996" s="91"/>
      <c r="T996" s="91"/>
      <c r="U996" s="91"/>
      <c r="V996" s="91"/>
      <c r="W996" s="91"/>
      <c r="X996" s="91"/>
      <c r="Y996" s="91"/>
    </row>
    <row r="997" spans="1:25">
      <c r="A997" s="91"/>
      <c r="B997" s="94"/>
      <c r="C997" s="94"/>
      <c r="D997" s="91"/>
      <c r="E997" s="91"/>
      <c r="F997" s="91"/>
      <c r="G997" s="91"/>
      <c r="H997" s="91"/>
      <c r="I997" s="91"/>
      <c r="J997" s="91"/>
      <c r="K997" s="91"/>
      <c r="L997" s="91"/>
      <c r="M997" s="91"/>
      <c r="N997" s="91"/>
      <c r="O997" s="91"/>
      <c r="P997" s="91"/>
      <c r="Q997" s="91"/>
      <c r="R997" s="91"/>
      <c r="S997" s="91"/>
      <c r="T997" s="91"/>
      <c r="U997" s="91"/>
      <c r="V997" s="91"/>
      <c r="W997" s="91"/>
      <c r="X997" s="91"/>
      <c r="Y997" s="91"/>
    </row>
    <row r="998" spans="1:25">
      <c r="A998" s="91"/>
      <c r="B998" s="94"/>
      <c r="C998" s="94"/>
      <c r="D998" s="91"/>
      <c r="E998" s="91"/>
      <c r="F998" s="91"/>
      <c r="G998" s="91"/>
      <c r="H998" s="91"/>
      <c r="I998" s="91"/>
      <c r="J998" s="91"/>
      <c r="K998" s="91"/>
      <c r="L998" s="91"/>
      <c r="M998" s="91"/>
      <c r="N998" s="91"/>
      <c r="O998" s="91"/>
      <c r="P998" s="91"/>
      <c r="Q998" s="91"/>
      <c r="R998" s="91"/>
      <c r="S998" s="91"/>
      <c r="T998" s="91"/>
      <c r="U998" s="91"/>
      <c r="V998" s="91"/>
      <c r="W998" s="91"/>
      <c r="X998" s="91"/>
      <c r="Y998" s="91"/>
    </row>
    <row r="999" spans="1:25">
      <c r="A999" s="91"/>
      <c r="B999" s="94"/>
      <c r="C999" s="94"/>
      <c r="D999" s="91"/>
      <c r="E999" s="91"/>
      <c r="F999" s="91"/>
      <c r="G999" s="91"/>
      <c r="H999" s="91"/>
      <c r="I999" s="91"/>
      <c r="J999" s="91"/>
      <c r="K999" s="91"/>
      <c r="L999" s="91"/>
      <c r="M999" s="91"/>
      <c r="N999" s="91"/>
      <c r="O999" s="91"/>
      <c r="P999" s="91"/>
      <c r="Q999" s="91"/>
      <c r="R999" s="91"/>
      <c r="S999" s="91"/>
      <c r="T999" s="91"/>
      <c r="U999" s="91"/>
      <c r="V999" s="91"/>
      <c r="W999" s="91"/>
      <c r="X999" s="91"/>
      <c r="Y999" s="91"/>
    </row>
    <row r="1000" spans="1:25">
      <c r="A1000" s="91"/>
      <c r="B1000" s="94"/>
      <c r="C1000" s="94"/>
      <c r="D1000" s="91"/>
      <c r="E1000" s="91"/>
      <c r="F1000" s="91"/>
      <c r="G1000" s="91"/>
      <c r="H1000" s="91"/>
      <c r="I1000" s="91"/>
      <c r="J1000" s="91"/>
      <c r="K1000" s="91"/>
      <c r="L1000" s="91"/>
      <c r="M1000" s="91"/>
      <c r="N1000" s="91"/>
      <c r="O1000" s="91"/>
      <c r="P1000" s="91"/>
      <c r="Q1000" s="91"/>
      <c r="R1000" s="91"/>
      <c r="S1000" s="91"/>
      <c r="T1000" s="91"/>
      <c r="U1000" s="91"/>
      <c r="V1000" s="91"/>
      <c r="W1000" s="91"/>
      <c r="X1000" s="91"/>
      <c r="Y1000" s="91"/>
    </row>
    <row r="1001" spans="1:25">
      <c r="A1001" s="91"/>
      <c r="B1001" s="94"/>
      <c r="C1001" s="94"/>
      <c r="D1001" s="91"/>
      <c r="E1001" s="91"/>
      <c r="F1001" s="91"/>
      <c r="G1001" s="91"/>
      <c r="H1001" s="91"/>
      <c r="I1001" s="91"/>
      <c r="J1001" s="91"/>
      <c r="K1001" s="91"/>
      <c r="L1001" s="91"/>
      <c r="M1001" s="91"/>
      <c r="N1001" s="91"/>
      <c r="O1001" s="91"/>
      <c r="P1001" s="91"/>
      <c r="Q1001" s="91"/>
      <c r="R1001" s="91"/>
      <c r="S1001" s="91"/>
      <c r="T1001" s="91"/>
      <c r="U1001" s="91"/>
      <c r="V1001" s="91"/>
      <c r="W1001" s="91"/>
      <c r="X1001" s="91"/>
      <c r="Y1001" s="91"/>
    </row>
    <row r="1002" spans="1:25">
      <c r="A1002" s="91"/>
      <c r="B1002" s="94"/>
      <c r="C1002" s="94"/>
      <c r="D1002" s="91"/>
      <c r="E1002" s="91"/>
      <c r="F1002" s="91"/>
      <c r="G1002" s="91"/>
      <c r="H1002" s="91"/>
      <c r="I1002" s="91"/>
      <c r="J1002" s="91"/>
      <c r="K1002" s="91"/>
      <c r="L1002" s="91"/>
      <c r="M1002" s="91"/>
      <c r="N1002" s="91"/>
      <c r="O1002" s="91"/>
      <c r="P1002" s="91"/>
      <c r="Q1002" s="91"/>
      <c r="R1002" s="91"/>
      <c r="S1002" s="91"/>
      <c r="T1002" s="91"/>
      <c r="U1002" s="91"/>
      <c r="V1002" s="91"/>
      <c r="W1002" s="91"/>
      <c r="X1002" s="91"/>
      <c r="Y1002" s="91"/>
    </row>
    <row r="1003" spans="1:25">
      <c r="A1003" s="91"/>
      <c r="B1003" s="94"/>
      <c r="C1003" s="94"/>
      <c r="D1003" s="91"/>
      <c r="E1003" s="91"/>
      <c r="F1003" s="91"/>
      <c r="G1003" s="91"/>
      <c r="H1003" s="91"/>
      <c r="I1003" s="91"/>
      <c r="J1003" s="91"/>
      <c r="K1003" s="91"/>
      <c r="L1003" s="91"/>
      <c r="M1003" s="91"/>
      <c r="N1003" s="91"/>
      <c r="O1003" s="91"/>
      <c r="P1003" s="91"/>
      <c r="Q1003" s="91"/>
      <c r="R1003" s="91"/>
      <c r="S1003" s="91"/>
      <c r="T1003" s="91"/>
      <c r="U1003" s="91"/>
      <c r="V1003" s="91"/>
      <c r="W1003" s="91"/>
      <c r="X1003" s="91"/>
      <c r="Y1003" s="91"/>
    </row>
    <row r="1004" spans="1:25">
      <c r="A1004" s="91"/>
      <c r="B1004" s="94"/>
      <c r="C1004" s="94"/>
      <c r="D1004" s="91"/>
      <c r="E1004" s="91"/>
      <c r="F1004" s="91"/>
      <c r="G1004" s="91"/>
      <c r="H1004" s="91"/>
      <c r="I1004" s="91"/>
      <c r="J1004" s="91"/>
      <c r="K1004" s="91"/>
      <c r="L1004" s="91"/>
      <c r="M1004" s="91"/>
      <c r="N1004" s="91"/>
      <c r="O1004" s="91"/>
      <c r="P1004" s="91"/>
      <c r="Q1004" s="91"/>
      <c r="R1004" s="91"/>
      <c r="S1004" s="91"/>
      <c r="T1004" s="91"/>
      <c r="U1004" s="91"/>
      <c r="V1004" s="91"/>
      <c r="W1004" s="91"/>
      <c r="X1004" s="91"/>
      <c r="Y1004" s="91"/>
    </row>
    <row r="1005" spans="1:25">
      <c r="A1005" s="91"/>
      <c r="B1005" s="94"/>
      <c r="C1005" s="94"/>
      <c r="D1005" s="91"/>
      <c r="E1005" s="91"/>
      <c r="F1005" s="91"/>
      <c r="G1005" s="91"/>
      <c r="H1005" s="91"/>
      <c r="I1005" s="91"/>
      <c r="J1005" s="91"/>
      <c r="K1005" s="91"/>
      <c r="L1005" s="91"/>
      <c r="M1005" s="91"/>
      <c r="N1005" s="91"/>
      <c r="O1005" s="91"/>
      <c r="P1005" s="91"/>
      <c r="Q1005" s="91"/>
      <c r="R1005" s="91"/>
      <c r="S1005" s="91"/>
      <c r="T1005" s="91"/>
      <c r="U1005" s="91"/>
      <c r="V1005" s="91"/>
      <c r="W1005" s="91"/>
      <c r="X1005" s="91"/>
      <c r="Y1005" s="91"/>
    </row>
    <row r="1006" spans="1:25">
      <c r="A1006" s="91"/>
      <c r="B1006" s="94"/>
      <c r="C1006" s="94"/>
      <c r="D1006" s="91"/>
      <c r="E1006" s="91"/>
      <c r="F1006" s="91"/>
      <c r="G1006" s="91"/>
      <c r="H1006" s="91"/>
      <c r="I1006" s="91"/>
      <c r="J1006" s="91"/>
      <c r="K1006" s="91"/>
      <c r="L1006" s="91"/>
      <c r="M1006" s="91"/>
      <c r="N1006" s="91"/>
      <c r="O1006" s="91"/>
      <c r="P1006" s="91"/>
      <c r="Q1006" s="91"/>
      <c r="R1006" s="91"/>
      <c r="S1006" s="91"/>
      <c r="T1006" s="91"/>
      <c r="U1006" s="91"/>
      <c r="V1006" s="91"/>
      <c r="W1006" s="91"/>
      <c r="X1006" s="91"/>
      <c r="Y1006" s="91"/>
    </row>
    <row r="1007" spans="1:25">
      <c r="A1007" s="91"/>
      <c r="B1007" s="94"/>
      <c r="C1007" s="94"/>
      <c r="D1007" s="91"/>
      <c r="E1007" s="91"/>
      <c r="F1007" s="91"/>
      <c r="G1007" s="91"/>
      <c r="H1007" s="91"/>
      <c r="I1007" s="91"/>
      <c r="J1007" s="91"/>
      <c r="K1007" s="91"/>
      <c r="L1007" s="91"/>
      <c r="M1007" s="91"/>
      <c r="N1007" s="91"/>
      <c r="O1007" s="91"/>
      <c r="P1007" s="91"/>
      <c r="Q1007" s="91"/>
      <c r="R1007" s="91"/>
      <c r="S1007" s="91"/>
      <c r="T1007" s="91"/>
      <c r="U1007" s="91"/>
      <c r="V1007" s="91"/>
      <c r="W1007" s="91"/>
      <c r="X1007" s="91"/>
      <c r="Y1007" s="91"/>
    </row>
    <row r="1008" spans="1:25">
      <c r="A1008" s="91"/>
      <c r="B1008" s="94"/>
      <c r="C1008" s="94"/>
      <c r="D1008" s="91"/>
      <c r="E1008" s="91"/>
      <c r="F1008" s="91"/>
      <c r="G1008" s="91"/>
      <c r="H1008" s="91"/>
      <c r="I1008" s="91"/>
      <c r="J1008" s="91"/>
      <c r="K1008" s="91"/>
      <c r="L1008" s="91"/>
      <c r="M1008" s="91"/>
      <c r="N1008" s="91"/>
      <c r="O1008" s="91"/>
      <c r="P1008" s="91"/>
      <c r="Q1008" s="91"/>
      <c r="R1008" s="91"/>
      <c r="S1008" s="91"/>
      <c r="T1008" s="91"/>
      <c r="U1008" s="91"/>
      <c r="V1008" s="91"/>
      <c r="W1008" s="91"/>
      <c r="X1008" s="91"/>
      <c r="Y1008" s="91"/>
    </row>
    <row r="1009" spans="1:25">
      <c r="A1009" s="91"/>
      <c r="B1009" s="94"/>
      <c r="C1009" s="94"/>
      <c r="D1009" s="91"/>
      <c r="E1009" s="91"/>
      <c r="F1009" s="91"/>
      <c r="G1009" s="91"/>
      <c r="H1009" s="91"/>
      <c r="I1009" s="91"/>
      <c r="J1009" s="91"/>
      <c r="K1009" s="91"/>
      <c r="L1009" s="91"/>
      <c r="M1009" s="91"/>
      <c r="N1009" s="91"/>
      <c r="O1009" s="91"/>
      <c r="P1009" s="91"/>
      <c r="Q1009" s="91"/>
      <c r="R1009" s="91"/>
      <c r="S1009" s="91"/>
      <c r="T1009" s="91"/>
      <c r="U1009" s="91"/>
      <c r="V1009" s="91"/>
      <c r="W1009" s="91"/>
      <c r="X1009" s="91"/>
      <c r="Y1009" s="91"/>
    </row>
    <row r="1010" spans="1:25">
      <c r="A1010" s="91"/>
      <c r="B1010" s="94"/>
      <c r="C1010" s="94"/>
      <c r="D1010" s="91"/>
      <c r="E1010" s="91"/>
      <c r="F1010" s="91"/>
      <c r="G1010" s="91"/>
      <c r="H1010" s="91"/>
      <c r="I1010" s="91"/>
      <c r="J1010" s="91"/>
      <c r="K1010" s="91"/>
      <c r="L1010" s="91"/>
      <c r="M1010" s="91"/>
      <c r="N1010" s="91"/>
      <c r="O1010" s="91"/>
      <c r="P1010" s="91"/>
      <c r="Q1010" s="91"/>
      <c r="R1010" s="91"/>
      <c r="S1010" s="91"/>
      <c r="T1010" s="91"/>
      <c r="U1010" s="91"/>
      <c r="V1010" s="91"/>
      <c r="W1010" s="91"/>
      <c r="X1010" s="91"/>
      <c r="Y1010" s="91"/>
    </row>
    <row r="1011" spans="1:25">
      <c r="A1011" s="91"/>
      <c r="B1011" s="94"/>
      <c r="C1011" s="94"/>
      <c r="D1011" s="91"/>
      <c r="E1011" s="91"/>
      <c r="F1011" s="91"/>
      <c r="G1011" s="91"/>
      <c r="H1011" s="91"/>
      <c r="I1011" s="91"/>
      <c r="J1011" s="91"/>
      <c r="K1011" s="91"/>
      <c r="L1011" s="91"/>
      <c r="M1011" s="91"/>
      <c r="N1011" s="91"/>
      <c r="O1011" s="91"/>
      <c r="P1011" s="91"/>
      <c r="Q1011" s="91"/>
      <c r="R1011" s="91"/>
      <c r="S1011" s="91"/>
      <c r="T1011" s="91"/>
      <c r="U1011" s="91"/>
      <c r="V1011" s="91"/>
      <c r="W1011" s="91"/>
      <c r="X1011" s="91"/>
      <c r="Y1011" s="91"/>
    </row>
    <row r="1012" spans="1:25">
      <c r="A1012" s="91"/>
      <c r="B1012" s="94"/>
      <c r="C1012" s="94"/>
      <c r="D1012" s="91"/>
      <c r="E1012" s="91"/>
      <c r="F1012" s="91"/>
      <c r="G1012" s="91"/>
      <c r="H1012" s="91"/>
      <c r="I1012" s="91"/>
      <c r="J1012" s="91"/>
      <c r="K1012" s="91"/>
      <c r="L1012" s="91"/>
      <c r="M1012" s="91"/>
      <c r="N1012" s="91"/>
      <c r="O1012" s="91"/>
      <c r="P1012" s="91"/>
      <c r="Q1012" s="91"/>
      <c r="R1012" s="91"/>
      <c r="S1012" s="91"/>
      <c r="T1012" s="91"/>
      <c r="U1012" s="91"/>
      <c r="V1012" s="91"/>
      <c r="W1012" s="91"/>
      <c r="X1012" s="91"/>
      <c r="Y1012" s="91"/>
    </row>
    <row r="1013" spans="1:25">
      <c r="A1013" s="91"/>
      <c r="B1013" s="94"/>
      <c r="C1013" s="94"/>
      <c r="D1013" s="91"/>
      <c r="E1013" s="91"/>
      <c r="F1013" s="91"/>
      <c r="G1013" s="91"/>
      <c r="H1013" s="91"/>
      <c r="I1013" s="91"/>
      <c r="J1013" s="91"/>
      <c r="K1013" s="91"/>
      <c r="L1013" s="91"/>
      <c r="M1013" s="91"/>
      <c r="N1013" s="91"/>
      <c r="O1013" s="91"/>
      <c r="P1013" s="91"/>
      <c r="Q1013" s="91"/>
      <c r="R1013" s="91"/>
      <c r="S1013" s="91"/>
      <c r="T1013" s="91"/>
      <c r="U1013" s="91"/>
      <c r="V1013" s="91"/>
      <c r="W1013" s="91"/>
      <c r="X1013" s="91"/>
      <c r="Y1013" s="91"/>
    </row>
    <row r="1014" spans="1:25">
      <c r="A1014" s="91"/>
      <c r="B1014" s="94"/>
      <c r="C1014" s="94"/>
      <c r="D1014" s="91"/>
      <c r="E1014" s="91"/>
      <c r="F1014" s="91"/>
      <c r="G1014" s="91"/>
      <c r="H1014" s="91"/>
      <c r="I1014" s="91"/>
      <c r="J1014" s="91"/>
      <c r="K1014" s="91"/>
      <c r="L1014" s="91"/>
      <c r="M1014" s="91"/>
      <c r="N1014" s="91"/>
      <c r="O1014" s="91"/>
      <c r="P1014" s="91"/>
      <c r="Q1014" s="91"/>
      <c r="R1014" s="91"/>
      <c r="S1014" s="91"/>
      <c r="T1014" s="91"/>
      <c r="U1014" s="91"/>
      <c r="V1014" s="91"/>
      <c r="W1014" s="91"/>
      <c r="X1014" s="91"/>
      <c r="Y1014" s="91"/>
    </row>
    <row r="1015" spans="1:25">
      <c r="A1015" s="91"/>
      <c r="B1015" s="94"/>
      <c r="C1015" s="94"/>
      <c r="D1015" s="91"/>
      <c r="E1015" s="91"/>
      <c r="F1015" s="91"/>
      <c r="G1015" s="91"/>
      <c r="H1015" s="91"/>
      <c r="I1015" s="91"/>
      <c r="J1015" s="91"/>
      <c r="K1015" s="91"/>
      <c r="L1015" s="91"/>
      <c r="M1015" s="91"/>
      <c r="N1015" s="91"/>
      <c r="O1015" s="91"/>
      <c r="P1015" s="91"/>
      <c r="Q1015" s="91"/>
      <c r="R1015" s="91"/>
      <c r="S1015" s="91"/>
      <c r="T1015" s="91"/>
      <c r="U1015" s="91"/>
      <c r="V1015" s="91"/>
      <c r="W1015" s="91"/>
      <c r="X1015" s="91"/>
      <c r="Y1015" s="91"/>
    </row>
    <row r="1016" spans="1:25">
      <c r="A1016" s="91"/>
      <c r="B1016" s="94"/>
      <c r="C1016" s="94"/>
      <c r="D1016" s="91"/>
      <c r="E1016" s="91"/>
      <c r="F1016" s="91"/>
      <c r="G1016" s="91"/>
      <c r="H1016" s="91"/>
      <c r="I1016" s="91"/>
      <c r="J1016" s="91"/>
      <c r="K1016" s="91"/>
      <c r="L1016" s="91"/>
      <c r="M1016" s="91"/>
      <c r="N1016" s="91"/>
      <c r="O1016" s="91"/>
      <c r="P1016" s="91"/>
      <c r="Q1016" s="91"/>
      <c r="R1016" s="91"/>
      <c r="S1016" s="91"/>
      <c r="T1016" s="91"/>
      <c r="U1016" s="91"/>
      <c r="V1016" s="91"/>
      <c r="W1016" s="91"/>
      <c r="X1016" s="91"/>
      <c r="Y1016" s="91"/>
    </row>
    <row r="1017" spans="1:25">
      <c r="A1017" s="91"/>
      <c r="B1017" s="94"/>
      <c r="C1017" s="94"/>
      <c r="D1017" s="91"/>
      <c r="E1017" s="91"/>
      <c r="F1017" s="91"/>
      <c r="G1017" s="91"/>
      <c r="H1017" s="91"/>
      <c r="I1017" s="91"/>
      <c r="J1017" s="91"/>
      <c r="K1017" s="91"/>
      <c r="L1017" s="91"/>
      <c r="M1017" s="91"/>
      <c r="N1017" s="91"/>
      <c r="O1017" s="91"/>
      <c r="P1017" s="91"/>
      <c r="Q1017" s="91"/>
      <c r="R1017" s="91"/>
      <c r="S1017" s="91"/>
      <c r="T1017" s="91"/>
      <c r="U1017" s="91"/>
      <c r="V1017" s="91"/>
      <c r="W1017" s="91"/>
      <c r="X1017" s="91"/>
      <c r="Y1017" s="91"/>
    </row>
    <row r="1018" spans="1:25">
      <c r="A1018" s="91"/>
      <c r="B1018" s="94"/>
      <c r="C1018" s="94"/>
      <c r="D1018" s="91"/>
      <c r="E1018" s="91"/>
      <c r="F1018" s="91"/>
      <c r="G1018" s="91"/>
      <c r="H1018" s="91"/>
      <c r="I1018" s="91"/>
      <c r="J1018" s="91"/>
      <c r="K1018" s="91"/>
      <c r="L1018" s="91"/>
      <c r="M1018" s="91"/>
      <c r="N1018" s="91"/>
      <c r="O1018" s="91"/>
      <c r="P1018" s="91"/>
      <c r="Q1018" s="91"/>
      <c r="R1018" s="91"/>
      <c r="S1018" s="91"/>
      <c r="T1018" s="91"/>
      <c r="U1018" s="91"/>
      <c r="V1018" s="91"/>
      <c r="W1018" s="91"/>
      <c r="X1018" s="91"/>
      <c r="Y1018" s="91"/>
    </row>
    <row r="1019" spans="1:25">
      <c r="A1019" s="91"/>
      <c r="B1019" s="94"/>
      <c r="C1019" s="94"/>
      <c r="D1019" s="91"/>
      <c r="E1019" s="91"/>
      <c r="F1019" s="91"/>
      <c r="G1019" s="91"/>
      <c r="H1019" s="91"/>
      <c r="I1019" s="91"/>
      <c r="J1019" s="91"/>
      <c r="K1019" s="91"/>
      <c r="L1019" s="91"/>
      <c r="M1019" s="91"/>
      <c r="N1019" s="91"/>
      <c r="O1019" s="91"/>
      <c r="P1019" s="91"/>
      <c r="Q1019" s="91"/>
      <c r="R1019" s="91"/>
      <c r="S1019" s="91"/>
      <c r="T1019" s="91"/>
      <c r="U1019" s="91"/>
      <c r="V1019" s="91"/>
      <c r="W1019" s="91"/>
      <c r="X1019" s="91"/>
      <c r="Y1019" s="91"/>
    </row>
    <row r="1020" spans="1:25">
      <c r="A1020" s="91"/>
      <c r="B1020" s="94"/>
      <c r="C1020" s="94"/>
      <c r="D1020" s="91"/>
      <c r="E1020" s="91"/>
      <c r="F1020" s="91"/>
      <c r="G1020" s="91"/>
      <c r="H1020" s="91"/>
      <c r="I1020" s="91"/>
      <c r="J1020" s="91"/>
      <c r="K1020" s="91"/>
      <c r="L1020" s="91"/>
      <c r="M1020" s="91"/>
      <c r="N1020" s="91"/>
      <c r="O1020" s="91"/>
      <c r="P1020" s="91"/>
      <c r="Q1020" s="91"/>
      <c r="R1020" s="91"/>
      <c r="S1020" s="91"/>
      <c r="T1020" s="91"/>
      <c r="U1020" s="91"/>
      <c r="V1020" s="91"/>
      <c r="W1020" s="91"/>
      <c r="X1020" s="91"/>
      <c r="Y1020" s="91"/>
    </row>
    <row r="1021" spans="1:25">
      <c r="A1021" s="91"/>
      <c r="B1021" s="94"/>
      <c r="C1021" s="94"/>
      <c r="D1021" s="91"/>
      <c r="E1021" s="91"/>
      <c r="F1021" s="91"/>
      <c r="G1021" s="91"/>
      <c r="H1021" s="91"/>
      <c r="I1021" s="91"/>
      <c r="J1021" s="91"/>
      <c r="K1021" s="91"/>
      <c r="L1021" s="91"/>
      <c r="M1021" s="91"/>
      <c r="N1021" s="91"/>
      <c r="O1021" s="91"/>
      <c r="P1021" s="91"/>
      <c r="Q1021" s="91"/>
      <c r="R1021" s="91"/>
      <c r="S1021" s="91"/>
      <c r="T1021" s="91"/>
      <c r="U1021" s="91"/>
      <c r="V1021" s="91"/>
      <c r="W1021" s="91"/>
      <c r="X1021" s="91"/>
      <c r="Y1021" s="91"/>
    </row>
    <row r="1022" spans="1:25">
      <c r="A1022" s="91"/>
      <c r="B1022" s="94"/>
      <c r="C1022" s="94"/>
      <c r="D1022" s="91"/>
      <c r="E1022" s="91"/>
      <c r="F1022" s="91"/>
      <c r="G1022" s="91"/>
      <c r="H1022" s="91"/>
      <c r="I1022" s="91"/>
      <c r="J1022" s="91"/>
      <c r="K1022" s="91"/>
      <c r="L1022" s="91"/>
      <c r="M1022" s="91"/>
      <c r="N1022" s="91"/>
      <c r="O1022" s="91"/>
      <c r="P1022" s="91"/>
      <c r="Q1022" s="91"/>
      <c r="R1022" s="91"/>
      <c r="S1022" s="91"/>
      <c r="T1022" s="91"/>
      <c r="U1022" s="91"/>
      <c r="V1022" s="91"/>
      <c r="W1022" s="91"/>
      <c r="X1022" s="91"/>
      <c r="Y1022" s="91"/>
    </row>
    <row r="1023" spans="1:25">
      <c r="A1023" s="91"/>
      <c r="B1023" s="94"/>
      <c r="C1023" s="94"/>
      <c r="D1023" s="91"/>
      <c r="E1023" s="91"/>
      <c r="F1023" s="91"/>
      <c r="G1023" s="91"/>
      <c r="H1023" s="91"/>
      <c r="I1023" s="91"/>
      <c r="J1023" s="91"/>
      <c r="K1023" s="91"/>
      <c r="L1023" s="91"/>
      <c r="M1023" s="91"/>
      <c r="N1023" s="91"/>
      <c r="O1023" s="91"/>
      <c r="P1023" s="91"/>
      <c r="Q1023" s="91"/>
      <c r="R1023" s="91"/>
      <c r="S1023" s="91"/>
      <c r="T1023" s="91"/>
      <c r="U1023" s="91"/>
      <c r="V1023" s="91"/>
      <c r="W1023" s="91"/>
      <c r="X1023" s="91"/>
      <c r="Y1023" s="91"/>
    </row>
    <row r="1024" spans="1:25">
      <c r="A1024" s="91"/>
      <c r="B1024" s="94"/>
      <c r="C1024" s="94"/>
      <c r="D1024" s="91"/>
      <c r="E1024" s="91"/>
      <c r="F1024" s="91"/>
      <c r="G1024" s="91"/>
      <c r="H1024" s="91"/>
      <c r="I1024" s="91"/>
      <c r="J1024" s="91"/>
      <c r="K1024" s="91"/>
      <c r="L1024" s="91"/>
      <c r="M1024" s="91"/>
      <c r="N1024" s="91"/>
      <c r="O1024" s="91"/>
      <c r="P1024" s="91"/>
      <c r="Q1024" s="91"/>
      <c r="R1024" s="91"/>
      <c r="S1024" s="91"/>
      <c r="T1024" s="91"/>
      <c r="U1024" s="91"/>
      <c r="V1024" s="91"/>
      <c r="W1024" s="91"/>
      <c r="X1024" s="91"/>
      <c r="Y1024" s="91"/>
    </row>
    <row r="1025" spans="1:25">
      <c r="A1025" s="91"/>
      <c r="B1025" s="94"/>
      <c r="C1025" s="94"/>
      <c r="D1025" s="91"/>
      <c r="E1025" s="91"/>
      <c r="F1025" s="91"/>
      <c r="G1025" s="91"/>
      <c r="H1025" s="91"/>
      <c r="I1025" s="91"/>
      <c r="J1025" s="91"/>
      <c r="K1025" s="91"/>
      <c r="L1025" s="91"/>
      <c r="M1025" s="91"/>
      <c r="N1025" s="91"/>
      <c r="O1025" s="91"/>
      <c r="P1025" s="91"/>
      <c r="Q1025" s="91"/>
      <c r="R1025" s="91"/>
      <c r="S1025" s="91"/>
      <c r="T1025" s="91"/>
      <c r="U1025" s="91"/>
      <c r="V1025" s="91"/>
      <c r="W1025" s="91"/>
      <c r="X1025" s="91"/>
      <c r="Y1025" s="91"/>
    </row>
    <row r="1026" spans="1:25">
      <c r="A1026" s="91"/>
      <c r="B1026" s="94"/>
      <c r="C1026" s="94"/>
      <c r="D1026" s="91"/>
      <c r="E1026" s="91"/>
      <c r="F1026" s="91"/>
      <c r="G1026" s="91"/>
      <c r="H1026" s="91"/>
      <c r="I1026" s="91"/>
      <c r="J1026" s="91"/>
      <c r="K1026" s="91"/>
      <c r="L1026" s="91"/>
      <c r="M1026" s="91"/>
      <c r="N1026" s="91"/>
      <c r="O1026" s="91"/>
      <c r="P1026" s="91"/>
      <c r="Q1026" s="91"/>
      <c r="R1026" s="91"/>
      <c r="S1026" s="91"/>
      <c r="T1026" s="91"/>
      <c r="U1026" s="91"/>
      <c r="V1026" s="91"/>
      <c r="W1026" s="91"/>
      <c r="X1026" s="91"/>
      <c r="Y1026" s="91"/>
    </row>
    <row r="1027" spans="1:25">
      <c r="A1027" s="91"/>
      <c r="B1027" s="94"/>
      <c r="C1027" s="94"/>
      <c r="D1027" s="91"/>
      <c r="E1027" s="91"/>
      <c r="F1027" s="91"/>
      <c r="G1027" s="91"/>
      <c r="H1027" s="91"/>
      <c r="I1027" s="91"/>
      <c r="J1027" s="91"/>
      <c r="K1027" s="91"/>
      <c r="L1027" s="91"/>
      <c r="M1027" s="91"/>
      <c r="N1027" s="91"/>
      <c r="O1027" s="91"/>
      <c r="P1027" s="91"/>
      <c r="Q1027" s="91"/>
      <c r="R1027" s="91"/>
      <c r="S1027" s="91"/>
      <c r="T1027" s="91"/>
      <c r="U1027" s="91"/>
      <c r="V1027" s="91"/>
      <c r="W1027" s="91"/>
      <c r="X1027" s="91"/>
      <c r="Y1027" s="91"/>
    </row>
    <row r="1028" spans="1:25">
      <c r="A1028" s="91"/>
      <c r="B1028" s="94"/>
      <c r="C1028" s="94"/>
      <c r="D1028" s="91"/>
      <c r="E1028" s="91"/>
      <c r="F1028" s="91"/>
      <c r="G1028" s="91"/>
      <c r="H1028" s="91"/>
      <c r="I1028" s="91"/>
      <c r="J1028" s="91"/>
      <c r="K1028" s="91"/>
      <c r="L1028" s="91"/>
      <c r="M1028" s="91"/>
      <c r="N1028" s="91"/>
      <c r="O1028" s="91"/>
      <c r="P1028" s="91"/>
      <c r="Q1028" s="91"/>
      <c r="R1028" s="91"/>
      <c r="S1028" s="91"/>
      <c r="T1028" s="91"/>
      <c r="U1028" s="91"/>
      <c r="V1028" s="91"/>
      <c r="W1028" s="91"/>
      <c r="X1028" s="91"/>
      <c r="Y1028" s="91"/>
    </row>
    <row r="1029" spans="1:25">
      <c r="A1029" s="91"/>
      <c r="B1029" s="94"/>
      <c r="C1029" s="94"/>
      <c r="D1029" s="91"/>
      <c r="E1029" s="91"/>
      <c r="F1029" s="91"/>
      <c r="G1029" s="91"/>
      <c r="H1029" s="91"/>
      <c r="I1029" s="91"/>
      <c r="J1029" s="91"/>
      <c r="K1029" s="91"/>
      <c r="L1029" s="91"/>
      <c r="M1029" s="91"/>
      <c r="N1029" s="91"/>
      <c r="O1029" s="91"/>
      <c r="P1029" s="91"/>
      <c r="Q1029" s="91"/>
      <c r="R1029" s="91"/>
      <c r="S1029" s="91"/>
      <c r="T1029" s="91"/>
      <c r="U1029" s="91"/>
      <c r="V1029" s="91"/>
      <c r="W1029" s="91"/>
      <c r="X1029" s="91"/>
      <c r="Y1029" s="91"/>
    </row>
    <row r="1030" spans="1:25">
      <c r="A1030" s="91"/>
      <c r="B1030" s="94"/>
      <c r="C1030" s="94"/>
      <c r="D1030" s="91"/>
      <c r="E1030" s="91"/>
      <c r="F1030" s="91"/>
      <c r="G1030" s="91"/>
      <c r="H1030" s="91"/>
      <c r="I1030" s="91"/>
      <c r="J1030" s="91"/>
      <c r="K1030" s="91"/>
      <c r="L1030" s="91"/>
      <c r="M1030" s="91"/>
      <c r="N1030" s="91"/>
      <c r="O1030" s="91"/>
      <c r="P1030" s="91"/>
      <c r="Q1030" s="91"/>
      <c r="R1030" s="91"/>
      <c r="S1030" s="91"/>
      <c r="T1030" s="91"/>
      <c r="U1030" s="91"/>
      <c r="V1030" s="91"/>
      <c r="W1030" s="91"/>
      <c r="X1030" s="91"/>
      <c r="Y1030" s="91"/>
    </row>
    <row r="1031" spans="1:25">
      <c r="A1031" s="91"/>
      <c r="B1031" s="94"/>
      <c r="C1031" s="94"/>
      <c r="D1031" s="91"/>
      <c r="E1031" s="91"/>
      <c r="F1031" s="91"/>
      <c r="G1031" s="91"/>
      <c r="H1031" s="91"/>
      <c r="I1031" s="91"/>
      <c r="J1031" s="91"/>
      <c r="K1031" s="91"/>
      <c r="L1031" s="91"/>
      <c r="M1031" s="91"/>
      <c r="N1031" s="91"/>
      <c r="O1031" s="91"/>
      <c r="P1031" s="91"/>
      <c r="Q1031" s="91"/>
      <c r="R1031" s="91"/>
      <c r="S1031" s="91"/>
      <c r="T1031" s="91"/>
      <c r="U1031" s="91"/>
      <c r="V1031" s="91"/>
      <c r="W1031" s="91"/>
      <c r="X1031" s="91"/>
      <c r="Y1031" s="91"/>
    </row>
    <row r="1032" spans="1:25">
      <c r="A1032" s="91"/>
      <c r="B1032" s="94"/>
      <c r="C1032" s="94"/>
      <c r="D1032" s="91"/>
      <c r="E1032" s="91"/>
      <c r="F1032" s="91"/>
      <c r="G1032" s="91"/>
      <c r="H1032" s="91"/>
      <c r="I1032" s="91"/>
      <c r="J1032" s="91"/>
      <c r="K1032" s="91"/>
      <c r="L1032" s="91"/>
      <c r="M1032" s="91"/>
      <c r="N1032" s="91"/>
      <c r="O1032" s="91"/>
      <c r="P1032" s="91"/>
      <c r="Q1032" s="91"/>
      <c r="R1032" s="91"/>
      <c r="S1032" s="91"/>
      <c r="T1032" s="91"/>
      <c r="U1032" s="91"/>
      <c r="V1032" s="91"/>
      <c r="W1032" s="91"/>
      <c r="X1032" s="91"/>
      <c r="Y1032" s="91"/>
    </row>
    <row r="1033" spans="1:25">
      <c r="A1033" s="91"/>
      <c r="B1033" s="94"/>
      <c r="C1033" s="94"/>
      <c r="D1033" s="91"/>
      <c r="E1033" s="91"/>
      <c r="F1033" s="91"/>
      <c r="G1033" s="91"/>
      <c r="H1033" s="91"/>
      <c r="I1033" s="91"/>
      <c r="J1033" s="91"/>
      <c r="K1033" s="91"/>
      <c r="L1033" s="91"/>
      <c r="M1033" s="91"/>
      <c r="N1033" s="91"/>
      <c r="O1033" s="91"/>
      <c r="P1033" s="91"/>
      <c r="Q1033" s="91"/>
      <c r="R1033" s="91"/>
      <c r="S1033" s="91"/>
      <c r="T1033" s="91"/>
      <c r="U1033" s="91"/>
      <c r="V1033" s="91"/>
      <c r="W1033" s="91"/>
      <c r="X1033" s="91"/>
      <c r="Y1033" s="91"/>
    </row>
    <row r="1034" spans="1:25">
      <c r="A1034" s="91"/>
      <c r="B1034" s="94"/>
      <c r="C1034" s="94"/>
      <c r="D1034" s="91"/>
      <c r="E1034" s="91"/>
      <c r="F1034" s="91"/>
      <c r="G1034" s="91"/>
      <c r="H1034" s="91"/>
      <c r="I1034" s="91"/>
      <c r="J1034" s="91"/>
      <c r="K1034" s="91"/>
      <c r="L1034" s="91"/>
      <c r="M1034" s="91"/>
      <c r="N1034" s="91"/>
      <c r="O1034" s="91"/>
      <c r="P1034" s="91"/>
      <c r="Q1034" s="91"/>
      <c r="R1034" s="91"/>
      <c r="S1034" s="91"/>
      <c r="T1034" s="91"/>
      <c r="U1034" s="91"/>
      <c r="V1034" s="91"/>
      <c r="W1034" s="91"/>
      <c r="X1034" s="91"/>
      <c r="Y1034" s="91"/>
    </row>
    <row r="1035" spans="1:25">
      <c r="A1035" s="91"/>
      <c r="B1035" s="94"/>
      <c r="C1035" s="94"/>
      <c r="D1035" s="91"/>
      <c r="E1035" s="91"/>
      <c r="F1035" s="91"/>
      <c r="G1035" s="91"/>
      <c r="H1035" s="91"/>
      <c r="I1035" s="91"/>
      <c r="J1035" s="91"/>
      <c r="K1035" s="91"/>
      <c r="L1035" s="91"/>
      <c r="M1035" s="91"/>
      <c r="N1035" s="91"/>
      <c r="O1035" s="91"/>
      <c r="P1035" s="91"/>
      <c r="Q1035" s="91"/>
      <c r="R1035" s="91"/>
      <c r="S1035" s="91"/>
      <c r="T1035" s="91"/>
      <c r="U1035" s="91"/>
      <c r="V1035" s="91"/>
      <c r="W1035" s="91"/>
      <c r="X1035" s="91"/>
      <c r="Y1035" s="91"/>
    </row>
    <row r="1036" spans="1:25">
      <c r="A1036" s="91"/>
      <c r="B1036" s="94"/>
      <c r="C1036" s="94"/>
      <c r="D1036" s="91"/>
      <c r="E1036" s="91"/>
      <c r="F1036" s="91"/>
      <c r="G1036" s="91"/>
      <c r="H1036" s="91"/>
      <c r="I1036" s="91"/>
      <c r="J1036" s="91"/>
      <c r="K1036" s="91"/>
      <c r="L1036" s="91"/>
      <c r="M1036" s="91"/>
      <c r="N1036" s="91"/>
      <c r="O1036" s="91"/>
      <c r="P1036" s="91"/>
      <c r="Q1036" s="91"/>
      <c r="R1036" s="91"/>
      <c r="S1036" s="91"/>
      <c r="T1036" s="91"/>
      <c r="U1036" s="91"/>
      <c r="V1036" s="91"/>
      <c r="W1036" s="91"/>
      <c r="X1036" s="91"/>
      <c r="Y1036" s="91"/>
    </row>
    <row r="1037" spans="1:25">
      <c r="A1037" s="91"/>
      <c r="B1037" s="94"/>
      <c r="C1037" s="94"/>
      <c r="D1037" s="91"/>
      <c r="E1037" s="91"/>
      <c r="F1037" s="91"/>
      <c r="G1037" s="91"/>
      <c r="H1037" s="91"/>
      <c r="I1037" s="91"/>
      <c r="J1037" s="91"/>
      <c r="K1037" s="91"/>
      <c r="L1037" s="91"/>
      <c r="M1037" s="91"/>
      <c r="N1037" s="91"/>
      <c r="O1037" s="91"/>
      <c r="P1037" s="91"/>
      <c r="Q1037" s="91"/>
      <c r="R1037" s="91"/>
      <c r="S1037" s="91"/>
      <c r="T1037" s="91"/>
      <c r="U1037" s="91"/>
      <c r="V1037" s="91"/>
      <c r="W1037" s="91"/>
      <c r="X1037" s="91"/>
      <c r="Y1037" s="91"/>
    </row>
    <row r="1038" spans="1:25">
      <c r="A1038" s="91"/>
      <c r="B1038" s="94"/>
      <c r="C1038" s="94"/>
      <c r="D1038" s="91"/>
      <c r="E1038" s="91"/>
      <c r="F1038" s="91"/>
      <c r="G1038" s="91"/>
      <c r="H1038" s="91"/>
      <c r="I1038" s="91"/>
      <c r="J1038" s="91"/>
      <c r="K1038" s="91"/>
      <c r="L1038" s="91"/>
      <c r="M1038" s="91"/>
      <c r="N1038" s="91"/>
      <c r="O1038" s="91"/>
      <c r="P1038" s="91"/>
      <c r="Q1038" s="91"/>
      <c r="R1038" s="91"/>
      <c r="S1038" s="91"/>
      <c r="T1038" s="91"/>
      <c r="U1038" s="91"/>
      <c r="V1038" s="91"/>
      <c r="W1038" s="91"/>
      <c r="X1038" s="91"/>
      <c r="Y1038" s="91"/>
    </row>
    <row r="1039" spans="1:25">
      <c r="A1039" s="91"/>
      <c r="B1039" s="94"/>
      <c r="C1039" s="94"/>
      <c r="D1039" s="91"/>
      <c r="E1039" s="91"/>
      <c r="F1039" s="91"/>
      <c r="G1039" s="91"/>
      <c r="H1039" s="91"/>
      <c r="I1039" s="91"/>
      <c r="J1039" s="91"/>
      <c r="K1039" s="91"/>
      <c r="L1039" s="91"/>
      <c r="M1039" s="91"/>
      <c r="N1039" s="91"/>
      <c r="O1039" s="91"/>
      <c r="P1039" s="91"/>
      <c r="Q1039" s="91"/>
      <c r="R1039" s="91"/>
      <c r="S1039" s="91"/>
      <c r="T1039" s="91"/>
      <c r="U1039" s="91"/>
      <c r="V1039" s="91"/>
      <c r="W1039" s="91"/>
      <c r="X1039" s="91"/>
      <c r="Y1039" s="91"/>
    </row>
    <row r="1040" spans="1:25">
      <c r="A1040" s="91"/>
      <c r="B1040" s="94"/>
      <c r="C1040" s="94"/>
      <c r="D1040" s="91"/>
      <c r="E1040" s="91"/>
      <c r="F1040" s="91"/>
      <c r="G1040" s="91"/>
      <c r="H1040" s="91"/>
      <c r="I1040" s="91"/>
      <c r="J1040" s="91"/>
      <c r="K1040" s="91"/>
      <c r="L1040" s="91"/>
      <c r="M1040" s="91"/>
      <c r="N1040" s="91"/>
      <c r="O1040" s="91"/>
      <c r="P1040" s="91"/>
      <c r="Q1040" s="91"/>
      <c r="R1040" s="91"/>
      <c r="S1040" s="91"/>
      <c r="T1040" s="91"/>
      <c r="U1040" s="91"/>
      <c r="V1040" s="91"/>
      <c r="W1040" s="91"/>
      <c r="X1040" s="91"/>
      <c r="Y1040" s="91"/>
    </row>
    <row r="1041" spans="1:25">
      <c r="A1041" s="91"/>
      <c r="B1041" s="94"/>
      <c r="C1041" s="94"/>
      <c r="D1041" s="91"/>
      <c r="E1041" s="91"/>
      <c r="F1041" s="91"/>
      <c r="G1041" s="91"/>
      <c r="H1041" s="91"/>
      <c r="I1041" s="91"/>
      <c r="J1041" s="91"/>
      <c r="K1041" s="91"/>
      <c r="L1041" s="91"/>
      <c r="M1041" s="91"/>
      <c r="N1041" s="91"/>
      <c r="O1041" s="91"/>
      <c r="P1041" s="91"/>
      <c r="Q1041" s="91"/>
      <c r="R1041" s="91"/>
      <c r="S1041" s="91"/>
      <c r="T1041" s="91"/>
      <c r="U1041" s="91"/>
      <c r="V1041" s="91"/>
      <c r="W1041" s="91"/>
      <c r="X1041" s="91"/>
      <c r="Y1041" s="91"/>
    </row>
    <row r="1042" spans="1:25">
      <c r="A1042" s="91"/>
      <c r="B1042" s="94"/>
      <c r="C1042" s="94"/>
      <c r="D1042" s="91"/>
      <c r="E1042" s="91"/>
      <c r="F1042" s="91"/>
      <c r="G1042" s="91"/>
      <c r="H1042" s="91"/>
      <c r="I1042" s="91"/>
      <c r="J1042" s="91"/>
      <c r="K1042" s="91"/>
      <c r="L1042" s="91"/>
      <c r="M1042" s="91"/>
      <c r="N1042" s="91"/>
      <c r="O1042" s="91"/>
      <c r="P1042" s="91"/>
      <c r="Q1042" s="91"/>
      <c r="R1042" s="91"/>
      <c r="S1042" s="91"/>
      <c r="T1042" s="91"/>
      <c r="U1042" s="91"/>
      <c r="V1042" s="91"/>
      <c r="W1042" s="91"/>
      <c r="X1042" s="91"/>
      <c r="Y1042" s="91"/>
    </row>
    <row r="1043" spans="1:25">
      <c r="A1043" s="91"/>
      <c r="B1043" s="94"/>
      <c r="C1043" s="94"/>
      <c r="D1043" s="91"/>
      <c r="E1043" s="91"/>
      <c r="F1043" s="91"/>
      <c r="G1043" s="91"/>
      <c r="H1043" s="91"/>
      <c r="I1043" s="91"/>
      <c r="J1043" s="91"/>
      <c r="K1043" s="91"/>
      <c r="L1043" s="91"/>
      <c r="M1043" s="91"/>
      <c r="N1043" s="91"/>
      <c r="O1043" s="91"/>
      <c r="P1043" s="91"/>
      <c r="Q1043" s="91"/>
      <c r="R1043" s="91"/>
      <c r="S1043" s="91"/>
      <c r="T1043" s="91"/>
      <c r="U1043" s="91"/>
      <c r="V1043" s="91"/>
      <c r="W1043" s="91"/>
      <c r="X1043" s="91"/>
      <c r="Y1043" s="91"/>
    </row>
    <row r="1044" spans="1:25">
      <c r="A1044" s="91"/>
      <c r="B1044" s="94"/>
      <c r="C1044" s="94"/>
      <c r="D1044" s="91"/>
      <c r="E1044" s="91"/>
      <c r="F1044" s="91"/>
      <c r="G1044" s="91"/>
      <c r="H1044" s="91"/>
      <c r="I1044" s="91"/>
      <c r="J1044" s="91"/>
      <c r="K1044" s="91"/>
      <c r="L1044" s="91"/>
      <c r="M1044" s="91"/>
      <c r="N1044" s="91"/>
      <c r="O1044" s="91"/>
      <c r="P1044" s="91"/>
      <c r="Q1044" s="91"/>
      <c r="R1044" s="91"/>
      <c r="S1044" s="91"/>
      <c r="T1044" s="91"/>
      <c r="U1044" s="91"/>
      <c r="V1044" s="91"/>
      <c r="W1044" s="91"/>
      <c r="X1044" s="91"/>
      <c r="Y1044" s="91"/>
    </row>
    <row r="1045" spans="1:25">
      <c r="A1045" s="91"/>
      <c r="B1045" s="94"/>
      <c r="C1045" s="94"/>
      <c r="D1045" s="91"/>
      <c r="E1045" s="91"/>
      <c r="F1045" s="91"/>
      <c r="G1045" s="91"/>
      <c r="H1045" s="91"/>
      <c r="I1045" s="91"/>
      <c r="J1045" s="91"/>
      <c r="K1045" s="91"/>
      <c r="L1045" s="91"/>
      <c r="M1045" s="91"/>
      <c r="N1045" s="91"/>
      <c r="O1045" s="91"/>
      <c r="P1045" s="91"/>
      <c r="Q1045" s="91"/>
      <c r="R1045" s="91"/>
      <c r="S1045" s="91"/>
      <c r="T1045" s="91"/>
      <c r="U1045" s="91"/>
      <c r="V1045" s="91"/>
      <c r="W1045" s="91"/>
      <c r="X1045" s="91"/>
      <c r="Y1045" s="91"/>
    </row>
    <row r="1046" spans="1:25">
      <c r="A1046" s="91"/>
      <c r="B1046" s="94"/>
      <c r="C1046" s="94"/>
      <c r="D1046" s="91"/>
      <c r="E1046" s="91"/>
      <c r="F1046" s="91"/>
      <c r="G1046" s="91"/>
      <c r="H1046" s="91"/>
      <c r="I1046" s="91"/>
      <c r="J1046" s="91"/>
      <c r="K1046" s="91"/>
      <c r="L1046" s="91"/>
      <c r="M1046" s="91"/>
      <c r="N1046" s="91"/>
      <c r="O1046" s="91"/>
      <c r="P1046" s="91"/>
      <c r="Q1046" s="91"/>
      <c r="R1046" s="91"/>
      <c r="S1046" s="91"/>
      <c r="T1046" s="91"/>
      <c r="U1046" s="91"/>
      <c r="V1046" s="91"/>
      <c r="W1046" s="91"/>
      <c r="X1046" s="91"/>
      <c r="Y1046" s="91"/>
    </row>
    <row r="1047" spans="1:25">
      <c r="A1047" s="91"/>
      <c r="B1047" s="94"/>
      <c r="C1047" s="94"/>
      <c r="D1047" s="91"/>
      <c r="E1047" s="91"/>
      <c r="F1047" s="91"/>
      <c r="G1047" s="91"/>
      <c r="H1047" s="91"/>
      <c r="I1047" s="91"/>
      <c r="J1047" s="91"/>
      <c r="K1047" s="91"/>
      <c r="L1047" s="91"/>
      <c r="M1047" s="91"/>
      <c r="N1047" s="91"/>
      <c r="O1047" s="91"/>
      <c r="P1047" s="91"/>
      <c r="Q1047" s="91"/>
      <c r="R1047" s="91"/>
      <c r="S1047" s="91"/>
      <c r="T1047" s="91"/>
      <c r="U1047" s="91"/>
      <c r="V1047" s="91"/>
      <c r="W1047" s="91"/>
      <c r="X1047" s="91"/>
      <c r="Y1047" s="91"/>
    </row>
    <row r="1048" spans="1:25">
      <c r="A1048" s="91"/>
      <c r="B1048" s="94"/>
      <c r="C1048" s="94"/>
      <c r="D1048" s="91"/>
      <c r="E1048" s="91"/>
      <c r="F1048" s="91"/>
      <c r="G1048" s="91"/>
      <c r="H1048" s="91"/>
      <c r="I1048" s="91"/>
      <c r="J1048" s="91"/>
      <c r="K1048" s="91"/>
      <c r="L1048" s="91"/>
      <c r="M1048" s="91"/>
      <c r="N1048" s="91"/>
      <c r="O1048" s="91"/>
      <c r="P1048" s="91"/>
      <c r="Q1048" s="91"/>
      <c r="R1048" s="91"/>
      <c r="S1048" s="91"/>
      <c r="T1048" s="91"/>
      <c r="U1048" s="91"/>
      <c r="V1048" s="91"/>
      <c r="W1048" s="91"/>
      <c r="X1048" s="91"/>
      <c r="Y1048" s="91"/>
    </row>
    <row r="1049" spans="1:25">
      <c r="A1049" s="91"/>
      <c r="B1049" s="94"/>
      <c r="C1049" s="94"/>
      <c r="D1049" s="91"/>
      <c r="E1049" s="91"/>
      <c r="F1049" s="91"/>
      <c r="G1049" s="91"/>
      <c r="H1049" s="91"/>
      <c r="I1049" s="91"/>
      <c r="J1049" s="91"/>
      <c r="K1049" s="91"/>
      <c r="L1049" s="91"/>
      <c r="M1049" s="91"/>
      <c r="N1049" s="91"/>
      <c r="O1049" s="91"/>
      <c r="P1049" s="91"/>
      <c r="Q1049" s="91"/>
      <c r="R1049" s="91"/>
      <c r="S1049" s="91"/>
      <c r="T1049" s="91"/>
      <c r="U1049" s="91"/>
      <c r="V1049" s="91"/>
      <c r="W1049" s="91"/>
      <c r="X1049" s="91"/>
      <c r="Y1049" s="91"/>
    </row>
    <row r="1050" spans="1:25">
      <c r="A1050" s="91"/>
      <c r="B1050" s="94"/>
      <c r="C1050" s="94"/>
      <c r="D1050" s="91"/>
      <c r="E1050" s="91"/>
      <c r="F1050" s="91"/>
      <c r="G1050" s="91"/>
      <c r="H1050" s="91"/>
      <c r="I1050" s="91"/>
      <c r="J1050" s="91"/>
      <c r="K1050" s="91"/>
      <c r="L1050" s="91"/>
      <c r="M1050" s="91"/>
      <c r="N1050" s="91"/>
      <c r="O1050" s="91"/>
      <c r="P1050" s="91"/>
      <c r="Q1050" s="91"/>
      <c r="R1050" s="91"/>
      <c r="S1050" s="91"/>
      <c r="T1050" s="91"/>
      <c r="U1050" s="91"/>
      <c r="V1050" s="91"/>
      <c r="W1050" s="91"/>
      <c r="X1050" s="91"/>
      <c r="Y1050" s="91"/>
    </row>
    <row r="1051" spans="1:25">
      <c r="A1051" s="91"/>
      <c r="B1051" s="94"/>
      <c r="C1051" s="94"/>
      <c r="D1051" s="91"/>
      <c r="E1051" s="91"/>
      <c r="F1051" s="91"/>
      <c r="G1051" s="91"/>
      <c r="H1051" s="91"/>
      <c r="I1051" s="91"/>
      <c r="J1051" s="91"/>
      <c r="K1051" s="91"/>
      <c r="L1051" s="91"/>
      <c r="M1051" s="91"/>
      <c r="N1051" s="91"/>
      <c r="O1051" s="91"/>
      <c r="P1051" s="91"/>
      <c r="Q1051" s="91"/>
      <c r="R1051" s="91"/>
      <c r="S1051" s="91"/>
      <c r="T1051" s="91"/>
      <c r="U1051" s="91"/>
      <c r="V1051" s="91"/>
      <c r="W1051" s="91"/>
      <c r="X1051" s="91"/>
      <c r="Y1051" s="91"/>
    </row>
    <row r="1052" spans="1:25">
      <c r="A1052" s="91"/>
      <c r="B1052" s="94"/>
      <c r="C1052" s="94"/>
      <c r="D1052" s="91"/>
      <c r="E1052" s="91"/>
      <c r="F1052" s="91"/>
      <c r="G1052" s="91"/>
      <c r="H1052" s="91"/>
      <c r="I1052" s="91"/>
      <c r="J1052" s="91"/>
      <c r="K1052" s="91"/>
      <c r="L1052" s="91"/>
      <c r="M1052" s="91"/>
      <c r="N1052" s="91"/>
      <c r="O1052" s="91"/>
      <c r="P1052" s="91"/>
      <c r="Q1052" s="91"/>
      <c r="R1052" s="91"/>
      <c r="S1052" s="91"/>
      <c r="T1052" s="91"/>
      <c r="U1052" s="91"/>
      <c r="V1052" s="91"/>
      <c r="W1052" s="91"/>
      <c r="X1052" s="91"/>
      <c r="Y1052" s="91"/>
    </row>
    <row r="1053" spans="1:25">
      <c r="A1053" s="91"/>
      <c r="B1053" s="94"/>
      <c r="C1053" s="94"/>
      <c r="D1053" s="91"/>
      <c r="E1053" s="91"/>
      <c r="F1053" s="91"/>
      <c r="G1053" s="91"/>
      <c r="H1053" s="91"/>
      <c r="I1053" s="91"/>
      <c r="J1053" s="91"/>
      <c r="K1053" s="91"/>
      <c r="L1053" s="91"/>
      <c r="M1053" s="91"/>
      <c r="N1053" s="91"/>
      <c r="O1053" s="91"/>
      <c r="P1053" s="91"/>
      <c r="Q1053" s="91"/>
      <c r="R1053" s="91"/>
      <c r="S1053" s="91"/>
      <c r="T1053" s="91"/>
      <c r="U1053" s="91"/>
      <c r="V1053" s="91"/>
      <c r="W1053" s="91"/>
      <c r="X1053" s="91"/>
      <c r="Y1053" s="91"/>
    </row>
    <row r="1054" spans="1:25">
      <c r="A1054" s="91"/>
      <c r="B1054" s="94"/>
      <c r="C1054" s="94"/>
      <c r="D1054" s="91"/>
      <c r="E1054" s="91"/>
      <c r="F1054" s="91"/>
      <c r="G1054" s="91"/>
      <c r="H1054" s="91"/>
      <c r="I1054" s="91"/>
      <c r="J1054" s="91"/>
      <c r="K1054" s="91"/>
      <c r="L1054" s="91"/>
      <c r="M1054" s="91"/>
      <c r="N1054" s="91"/>
      <c r="O1054" s="91"/>
      <c r="P1054" s="91"/>
      <c r="Q1054" s="91"/>
      <c r="R1054" s="91"/>
      <c r="S1054" s="91"/>
      <c r="T1054" s="91"/>
      <c r="U1054" s="91"/>
      <c r="V1054" s="91"/>
      <c r="W1054" s="91"/>
      <c r="X1054" s="91"/>
      <c r="Y1054" s="91"/>
    </row>
    <row r="1055" spans="1:25">
      <c r="A1055" s="91"/>
      <c r="B1055" s="94"/>
      <c r="C1055" s="94"/>
      <c r="D1055" s="91"/>
      <c r="E1055" s="91"/>
      <c r="F1055" s="91"/>
      <c r="G1055" s="91"/>
      <c r="H1055" s="91"/>
      <c r="I1055" s="91"/>
      <c r="J1055" s="91"/>
      <c r="K1055" s="91"/>
      <c r="L1055" s="91"/>
      <c r="M1055" s="91"/>
      <c r="N1055" s="91"/>
      <c r="O1055" s="91"/>
      <c r="P1055" s="91"/>
      <c r="Q1055" s="91"/>
      <c r="R1055" s="91"/>
      <c r="S1055" s="91"/>
      <c r="T1055" s="91"/>
      <c r="U1055" s="91"/>
      <c r="V1055" s="91"/>
      <c r="W1055" s="91"/>
      <c r="X1055" s="91"/>
      <c r="Y1055" s="91"/>
    </row>
    <row r="1056" spans="1:25">
      <c r="A1056" s="91"/>
      <c r="B1056" s="94"/>
      <c r="C1056" s="94"/>
      <c r="D1056" s="91"/>
      <c r="E1056" s="91"/>
      <c r="F1056" s="91"/>
      <c r="G1056" s="91"/>
      <c r="H1056" s="91"/>
      <c r="I1056" s="91"/>
      <c r="J1056" s="91"/>
      <c r="K1056" s="91"/>
      <c r="L1056" s="91"/>
      <c r="M1056" s="91"/>
      <c r="N1056" s="91"/>
      <c r="O1056" s="91"/>
      <c r="P1056" s="91"/>
      <c r="Q1056" s="91"/>
      <c r="R1056" s="91"/>
      <c r="S1056" s="91"/>
      <c r="T1056" s="91"/>
      <c r="U1056" s="91"/>
      <c r="V1056" s="91"/>
      <c r="W1056" s="91"/>
      <c r="X1056" s="91"/>
      <c r="Y1056" s="91"/>
    </row>
    <row r="1057" spans="1:25">
      <c r="A1057" s="91"/>
      <c r="B1057" s="94"/>
      <c r="C1057" s="94"/>
      <c r="D1057" s="91"/>
      <c r="E1057" s="91"/>
      <c r="F1057" s="91"/>
      <c r="G1057" s="91"/>
      <c r="H1057" s="91"/>
      <c r="I1057" s="91"/>
      <c r="J1057" s="91"/>
      <c r="K1057" s="91"/>
      <c r="L1057" s="91"/>
      <c r="M1057" s="91"/>
      <c r="N1057" s="91"/>
      <c r="O1057" s="91"/>
      <c r="P1057" s="91"/>
      <c r="Q1057" s="91"/>
      <c r="R1057" s="91"/>
      <c r="S1057" s="91"/>
      <c r="T1057" s="91"/>
      <c r="U1057" s="91"/>
      <c r="V1057" s="91"/>
      <c r="W1057" s="91"/>
      <c r="X1057" s="91"/>
      <c r="Y1057" s="91"/>
    </row>
    <row r="1058" spans="1:25">
      <c r="A1058" s="91"/>
      <c r="B1058" s="94"/>
      <c r="C1058" s="94"/>
      <c r="D1058" s="91"/>
      <c r="E1058" s="91"/>
      <c r="F1058" s="91"/>
      <c r="G1058" s="91"/>
      <c r="H1058" s="91"/>
      <c r="I1058" s="91"/>
      <c r="J1058" s="91"/>
      <c r="K1058" s="91"/>
      <c r="L1058" s="91"/>
      <c r="M1058" s="91"/>
      <c r="N1058" s="91"/>
      <c r="O1058" s="91"/>
      <c r="P1058" s="91"/>
      <c r="Q1058" s="91"/>
      <c r="R1058" s="91"/>
      <c r="S1058" s="91"/>
      <c r="T1058" s="91"/>
      <c r="U1058" s="91"/>
      <c r="V1058" s="91"/>
      <c r="W1058" s="91"/>
      <c r="X1058" s="91"/>
      <c r="Y1058" s="91"/>
    </row>
    <row r="1059" spans="1:25">
      <c r="A1059" s="91"/>
      <c r="B1059" s="94"/>
      <c r="C1059" s="94"/>
      <c r="D1059" s="91"/>
      <c r="E1059" s="91"/>
      <c r="F1059" s="91"/>
      <c r="G1059" s="91"/>
      <c r="H1059" s="91"/>
      <c r="I1059" s="91"/>
      <c r="J1059" s="91"/>
      <c r="K1059" s="91"/>
      <c r="L1059" s="91"/>
      <c r="M1059" s="91"/>
      <c r="N1059" s="91"/>
      <c r="O1059" s="91"/>
      <c r="P1059" s="91"/>
      <c r="Q1059" s="91"/>
      <c r="R1059" s="91"/>
      <c r="S1059" s="91"/>
      <c r="T1059" s="91"/>
      <c r="U1059" s="91"/>
      <c r="V1059" s="91"/>
      <c r="W1059" s="91"/>
      <c r="X1059" s="91"/>
      <c r="Y1059" s="91"/>
    </row>
    <row r="1060" spans="1:25">
      <c r="A1060" s="91"/>
      <c r="B1060" s="94"/>
      <c r="C1060" s="94"/>
      <c r="D1060" s="91"/>
      <c r="E1060" s="91"/>
      <c r="F1060" s="91"/>
      <c r="G1060" s="91"/>
      <c r="H1060" s="91"/>
      <c r="I1060" s="91"/>
      <c r="J1060" s="91"/>
      <c r="K1060" s="91"/>
      <c r="L1060" s="91"/>
      <c r="M1060" s="91"/>
      <c r="N1060" s="91"/>
      <c r="O1060" s="91"/>
      <c r="P1060" s="91"/>
      <c r="Q1060" s="91"/>
      <c r="R1060" s="91"/>
      <c r="S1060" s="91"/>
      <c r="T1060" s="91"/>
      <c r="U1060" s="91"/>
      <c r="V1060" s="91"/>
      <c r="W1060" s="91"/>
      <c r="X1060" s="91"/>
      <c r="Y1060" s="91"/>
    </row>
    <row r="1061" spans="1:25">
      <c r="A1061" s="91"/>
      <c r="B1061" s="94"/>
      <c r="C1061" s="94"/>
      <c r="D1061" s="91"/>
      <c r="E1061" s="91"/>
      <c r="F1061" s="91"/>
      <c r="G1061" s="91"/>
      <c r="H1061" s="91"/>
      <c r="I1061" s="91"/>
      <c r="J1061" s="91"/>
      <c r="K1061" s="91"/>
      <c r="L1061" s="91"/>
      <c r="M1061" s="91"/>
      <c r="N1061" s="91"/>
      <c r="O1061" s="91"/>
      <c r="P1061" s="91"/>
      <c r="Q1061" s="91"/>
      <c r="R1061" s="91"/>
      <c r="S1061" s="91"/>
      <c r="T1061" s="91"/>
      <c r="U1061" s="91"/>
      <c r="V1061" s="91"/>
      <c r="W1061" s="91"/>
      <c r="X1061" s="91"/>
      <c r="Y1061" s="91"/>
    </row>
    <row r="1062" spans="1:25">
      <c r="A1062" s="91"/>
      <c r="B1062" s="94"/>
      <c r="C1062" s="94"/>
      <c r="D1062" s="91"/>
      <c r="E1062" s="91"/>
      <c r="F1062" s="91"/>
      <c r="G1062" s="91"/>
      <c r="H1062" s="91"/>
      <c r="I1062" s="91"/>
      <c r="J1062" s="91"/>
      <c r="K1062" s="91"/>
      <c r="L1062" s="91"/>
      <c r="M1062" s="91"/>
      <c r="N1062" s="91"/>
      <c r="O1062" s="91"/>
      <c r="P1062" s="91"/>
      <c r="Q1062" s="91"/>
      <c r="R1062" s="91"/>
      <c r="S1062" s="91"/>
      <c r="T1062" s="91"/>
      <c r="U1062" s="91"/>
      <c r="V1062" s="91"/>
      <c r="W1062" s="91"/>
      <c r="X1062" s="91"/>
      <c r="Y1062" s="91"/>
    </row>
    <row r="1063" spans="1:25">
      <c r="A1063" s="91"/>
      <c r="B1063" s="94"/>
      <c r="C1063" s="94"/>
      <c r="D1063" s="91"/>
      <c r="E1063" s="91"/>
      <c r="F1063" s="91"/>
      <c r="G1063" s="91"/>
      <c r="H1063" s="91"/>
      <c r="I1063" s="91"/>
      <c r="J1063" s="91"/>
      <c r="K1063" s="91"/>
      <c r="L1063" s="91"/>
      <c r="M1063" s="91"/>
      <c r="N1063" s="91"/>
      <c r="O1063" s="91"/>
      <c r="P1063" s="91"/>
      <c r="Q1063" s="91"/>
      <c r="R1063" s="91"/>
      <c r="S1063" s="91"/>
      <c r="T1063" s="91"/>
      <c r="U1063" s="91"/>
      <c r="V1063" s="91"/>
      <c r="W1063" s="91"/>
      <c r="X1063" s="91"/>
      <c r="Y1063" s="91"/>
    </row>
    <row r="1064" spans="1:25">
      <c r="A1064" s="91"/>
      <c r="B1064" s="94"/>
      <c r="C1064" s="94"/>
      <c r="D1064" s="91"/>
      <c r="E1064" s="91"/>
      <c r="F1064" s="91"/>
      <c r="G1064" s="91"/>
      <c r="H1064" s="91"/>
      <c r="I1064" s="91"/>
      <c r="J1064" s="91"/>
      <c r="K1064" s="91"/>
      <c r="L1064" s="91"/>
      <c r="M1064" s="91"/>
      <c r="N1064" s="91"/>
      <c r="O1064" s="91"/>
      <c r="P1064" s="91"/>
      <c r="Q1064" s="91"/>
      <c r="R1064" s="91"/>
      <c r="S1064" s="91"/>
      <c r="T1064" s="91"/>
      <c r="U1064" s="91"/>
      <c r="V1064" s="91"/>
      <c r="W1064" s="91"/>
      <c r="X1064" s="91"/>
      <c r="Y1064" s="91"/>
    </row>
    <row r="1065" spans="1:25">
      <c r="A1065" s="91"/>
      <c r="B1065" s="94"/>
      <c r="C1065" s="94"/>
      <c r="D1065" s="91"/>
      <c r="E1065" s="91"/>
      <c r="F1065" s="91"/>
      <c r="G1065" s="91"/>
      <c r="H1065" s="91"/>
      <c r="I1065" s="91"/>
      <c r="J1065" s="91"/>
      <c r="K1065" s="91"/>
      <c r="L1065" s="91"/>
      <c r="M1065" s="91"/>
      <c r="N1065" s="91"/>
      <c r="O1065" s="91"/>
      <c r="P1065" s="91"/>
      <c r="Q1065" s="91"/>
      <c r="R1065" s="91"/>
      <c r="S1065" s="91"/>
      <c r="T1065" s="91"/>
      <c r="U1065" s="91"/>
      <c r="V1065" s="91"/>
      <c r="W1065" s="91"/>
      <c r="X1065" s="91"/>
      <c r="Y1065" s="91"/>
    </row>
    <row r="1066" spans="1:25">
      <c r="A1066" s="91"/>
      <c r="B1066" s="94"/>
      <c r="C1066" s="94"/>
      <c r="D1066" s="91"/>
      <c r="E1066" s="91"/>
      <c r="F1066" s="91"/>
      <c r="G1066" s="91"/>
      <c r="H1066" s="91"/>
      <c r="I1066" s="91"/>
      <c r="J1066" s="91"/>
      <c r="K1066" s="91"/>
      <c r="L1066" s="91"/>
      <c r="M1066" s="91"/>
      <c r="N1066" s="91"/>
      <c r="O1066" s="91"/>
      <c r="P1066" s="91"/>
      <c r="Q1066" s="91"/>
      <c r="R1066" s="91"/>
      <c r="S1066" s="91"/>
      <c r="T1066" s="91"/>
      <c r="U1066" s="91"/>
      <c r="V1066" s="91"/>
      <c r="W1066" s="91"/>
      <c r="X1066" s="91"/>
      <c r="Y1066" s="91"/>
    </row>
    <row r="1067" spans="1:25">
      <c r="A1067" s="91"/>
      <c r="B1067" s="94"/>
      <c r="C1067" s="94"/>
      <c r="D1067" s="91"/>
      <c r="E1067" s="91"/>
      <c r="F1067" s="91"/>
      <c r="G1067" s="91"/>
      <c r="H1067" s="91"/>
      <c r="I1067" s="91"/>
      <c r="J1067" s="91"/>
      <c r="K1067" s="91"/>
      <c r="L1067" s="91"/>
      <c r="M1067" s="91"/>
      <c r="N1067" s="91"/>
      <c r="O1067" s="91"/>
      <c r="P1067" s="91"/>
      <c r="Q1067" s="91"/>
      <c r="R1067" s="91"/>
      <c r="S1067" s="91"/>
      <c r="T1067" s="91"/>
      <c r="U1067" s="91"/>
      <c r="V1067" s="91"/>
      <c r="W1067" s="91"/>
      <c r="X1067" s="91"/>
      <c r="Y1067" s="91"/>
    </row>
    <row r="1068" spans="1:25">
      <c r="A1068" s="91"/>
      <c r="B1068" s="94"/>
      <c r="C1068" s="94"/>
      <c r="D1068" s="91"/>
      <c r="E1068" s="91"/>
      <c r="F1068" s="91"/>
      <c r="G1068" s="91"/>
      <c r="H1068" s="91"/>
      <c r="I1068" s="91"/>
      <c r="J1068" s="91"/>
      <c r="K1068" s="91"/>
      <c r="L1068" s="91"/>
      <c r="M1068" s="91"/>
      <c r="N1068" s="91"/>
      <c r="O1068" s="91"/>
      <c r="P1068" s="91"/>
      <c r="Q1068" s="91"/>
      <c r="R1068" s="91"/>
      <c r="S1068" s="91"/>
      <c r="T1068" s="91"/>
      <c r="U1068" s="91"/>
      <c r="V1068" s="91"/>
      <c r="W1068" s="91"/>
      <c r="X1068" s="91"/>
      <c r="Y1068" s="91"/>
    </row>
    <row r="1069" spans="1:25">
      <c r="A1069" s="91"/>
      <c r="B1069" s="94"/>
      <c r="C1069" s="94"/>
      <c r="D1069" s="91"/>
      <c r="E1069" s="91"/>
      <c r="F1069" s="91"/>
      <c r="G1069" s="91"/>
      <c r="H1069" s="91"/>
      <c r="I1069" s="91"/>
      <c r="J1069" s="91"/>
      <c r="K1069" s="91"/>
      <c r="L1069" s="91"/>
      <c r="M1069" s="91"/>
      <c r="N1069" s="91"/>
      <c r="O1069" s="91"/>
      <c r="P1069" s="91"/>
      <c r="Q1069" s="91"/>
      <c r="R1069" s="91"/>
      <c r="S1069" s="91"/>
      <c r="T1069" s="91"/>
      <c r="U1069" s="91"/>
      <c r="V1069" s="91"/>
      <c r="W1069" s="91"/>
      <c r="X1069" s="91"/>
      <c r="Y1069" s="91"/>
    </row>
    <row r="1070" spans="1:25">
      <c r="A1070" s="91"/>
      <c r="B1070" s="94"/>
      <c r="C1070" s="94"/>
      <c r="D1070" s="91"/>
      <c r="E1070" s="91"/>
      <c r="F1070" s="91"/>
      <c r="G1070" s="91"/>
      <c r="H1070" s="91"/>
      <c r="I1070" s="91"/>
      <c r="J1070" s="91"/>
      <c r="K1070" s="91"/>
      <c r="L1070" s="91"/>
      <c r="M1070" s="91"/>
      <c r="N1070" s="91"/>
      <c r="O1070" s="91"/>
      <c r="P1070" s="91"/>
      <c r="Q1070" s="91"/>
      <c r="R1070" s="91"/>
      <c r="S1070" s="91"/>
      <c r="T1070" s="91"/>
      <c r="U1070" s="91"/>
      <c r="V1070" s="91"/>
      <c r="W1070" s="91"/>
      <c r="X1070" s="91"/>
      <c r="Y1070" s="91"/>
    </row>
    <row r="1071" spans="1:25">
      <c r="A1071" s="91"/>
      <c r="B1071" s="94"/>
      <c r="C1071" s="94"/>
      <c r="D1071" s="91"/>
      <c r="E1071" s="91"/>
      <c r="F1071" s="91"/>
      <c r="G1071" s="91"/>
      <c r="H1071" s="91"/>
      <c r="I1071" s="91"/>
      <c r="J1071" s="91"/>
      <c r="K1071" s="91"/>
      <c r="L1071" s="91"/>
      <c r="M1071" s="91"/>
      <c r="N1071" s="91"/>
      <c r="O1071" s="91"/>
      <c r="P1071" s="91"/>
      <c r="Q1071" s="91"/>
      <c r="R1071" s="91"/>
      <c r="S1071" s="91"/>
      <c r="T1071" s="91"/>
      <c r="U1071" s="91"/>
      <c r="V1071" s="91"/>
      <c r="W1071" s="91"/>
      <c r="X1071" s="91"/>
      <c r="Y1071" s="91"/>
    </row>
    <row r="1072" spans="1:25">
      <c r="A1072" s="91"/>
      <c r="B1072" s="94"/>
      <c r="C1072" s="94"/>
      <c r="D1072" s="91"/>
      <c r="E1072" s="91"/>
      <c r="F1072" s="91"/>
      <c r="G1072" s="91"/>
      <c r="H1072" s="91"/>
      <c r="I1072" s="91"/>
      <c r="J1072" s="91"/>
      <c r="K1072" s="91"/>
      <c r="L1072" s="91"/>
      <c r="M1072" s="91"/>
      <c r="N1072" s="91"/>
      <c r="O1072" s="91"/>
      <c r="P1072" s="91"/>
      <c r="Q1072" s="91"/>
      <c r="R1072" s="91"/>
      <c r="S1072" s="91"/>
      <c r="T1072" s="91"/>
      <c r="U1072" s="91"/>
      <c r="V1072" s="91"/>
      <c r="W1072" s="91"/>
      <c r="X1072" s="91"/>
      <c r="Y1072" s="91"/>
    </row>
    <row r="1073" spans="1:25">
      <c r="A1073" s="91"/>
      <c r="B1073" s="94"/>
      <c r="C1073" s="94"/>
      <c r="D1073" s="91"/>
      <c r="E1073" s="91"/>
      <c r="F1073" s="91"/>
      <c r="G1073" s="91"/>
      <c r="H1073" s="91"/>
      <c r="I1073" s="91"/>
      <c r="J1073" s="91"/>
      <c r="K1073" s="91"/>
      <c r="L1073" s="91"/>
      <c r="M1073" s="91"/>
      <c r="N1073" s="91"/>
      <c r="O1073" s="91"/>
      <c r="P1073" s="91"/>
      <c r="Q1073" s="91"/>
      <c r="R1073" s="91"/>
      <c r="S1073" s="91"/>
      <c r="T1073" s="91"/>
      <c r="U1073" s="91"/>
      <c r="V1073" s="91"/>
      <c r="W1073" s="91"/>
      <c r="X1073" s="91"/>
      <c r="Y1073" s="91"/>
    </row>
    <row r="1074" spans="1:25">
      <c r="A1074" s="91"/>
      <c r="B1074" s="94"/>
      <c r="C1074" s="94"/>
      <c r="D1074" s="91"/>
      <c r="E1074" s="91"/>
      <c r="F1074" s="91"/>
      <c r="G1074" s="91"/>
      <c r="H1074" s="91"/>
      <c r="I1074" s="91"/>
      <c r="J1074" s="91"/>
      <c r="K1074" s="91"/>
      <c r="L1074" s="91"/>
      <c r="M1074" s="91"/>
      <c r="N1074" s="91"/>
      <c r="O1074" s="91"/>
      <c r="P1074" s="91"/>
      <c r="Q1074" s="91"/>
      <c r="R1074" s="91"/>
      <c r="S1074" s="91"/>
      <c r="T1074" s="91"/>
      <c r="U1074" s="91"/>
      <c r="V1074" s="91"/>
      <c r="W1074" s="91"/>
      <c r="X1074" s="91"/>
      <c r="Y1074" s="91"/>
    </row>
    <row r="1075" spans="1:25">
      <c r="A1075" s="91"/>
      <c r="B1075" s="94"/>
      <c r="C1075" s="94"/>
      <c r="D1075" s="91"/>
      <c r="E1075" s="91"/>
      <c r="F1075" s="91"/>
      <c r="G1075" s="91"/>
      <c r="H1075" s="91"/>
      <c r="I1075" s="91"/>
      <c r="J1075" s="91"/>
      <c r="K1075" s="91"/>
      <c r="L1075" s="91"/>
      <c r="M1075" s="91"/>
      <c r="N1075" s="91"/>
      <c r="O1075" s="91"/>
      <c r="P1075" s="91"/>
      <c r="Q1075" s="91"/>
      <c r="R1075" s="91"/>
      <c r="S1075" s="91"/>
      <c r="T1075" s="91"/>
      <c r="U1075" s="91"/>
      <c r="V1075" s="91"/>
      <c r="W1075" s="91"/>
      <c r="X1075" s="91"/>
      <c r="Y1075" s="91"/>
    </row>
    <row r="1076" spans="1:25">
      <c r="A1076" s="91"/>
      <c r="B1076" s="94"/>
      <c r="C1076" s="94"/>
      <c r="D1076" s="91"/>
      <c r="E1076" s="91"/>
      <c r="F1076" s="91"/>
      <c r="G1076" s="91"/>
      <c r="H1076" s="91"/>
      <c r="I1076" s="91"/>
      <c r="J1076" s="91"/>
      <c r="K1076" s="91"/>
      <c r="L1076" s="91"/>
      <c r="M1076" s="91"/>
      <c r="N1076" s="91"/>
      <c r="O1076" s="91"/>
      <c r="P1076" s="91"/>
      <c r="Q1076" s="91"/>
      <c r="R1076" s="91"/>
      <c r="S1076" s="91"/>
      <c r="T1076" s="91"/>
      <c r="U1076" s="91"/>
      <c r="V1076" s="91"/>
      <c r="W1076" s="91"/>
      <c r="X1076" s="91"/>
      <c r="Y1076" s="91"/>
    </row>
    <row r="1077" spans="1:25">
      <c r="A1077" s="91"/>
      <c r="B1077" s="94"/>
      <c r="C1077" s="94"/>
      <c r="D1077" s="91"/>
      <c r="E1077" s="91"/>
      <c r="F1077" s="91"/>
      <c r="G1077" s="91"/>
      <c r="H1077" s="91"/>
      <c r="I1077" s="91"/>
      <c r="J1077" s="91"/>
      <c r="K1077" s="91"/>
      <c r="L1077" s="91"/>
      <c r="M1077" s="91"/>
      <c r="N1077" s="91"/>
      <c r="O1077" s="91"/>
      <c r="P1077" s="91"/>
      <c r="Q1077" s="91"/>
      <c r="R1077" s="91"/>
      <c r="S1077" s="91"/>
      <c r="T1077" s="91"/>
      <c r="U1077" s="91"/>
      <c r="V1077" s="91"/>
      <c r="W1077" s="91"/>
      <c r="X1077" s="91"/>
      <c r="Y1077" s="91"/>
    </row>
    <row r="1078" spans="1:25">
      <c r="A1078" s="91"/>
      <c r="B1078" s="94"/>
      <c r="C1078" s="94"/>
      <c r="D1078" s="91"/>
      <c r="E1078" s="91"/>
      <c r="F1078" s="91"/>
      <c r="G1078" s="91"/>
      <c r="H1078" s="91"/>
      <c r="I1078" s="91"/>
      <c r="J1078" s="91"/>
      <c r="K1078" s="91"/>
      <c r="L1078" s="91"/>
      <c r="M1078" s="91"/>
      <c r="N1078" s="91"/>
      <c r="O1078" s="91"/>
      <c r="P1078" s="91"/>
      <c r="Q1078" s="91"/>
      <c r="R1078" s="91"/>
      <c r="S1078" s="91"/>
      <c r="T1078" s="91"/>
      <c r="U1078" s="91"/>
      <c r="V1078" s="91"/>
      <c r="W1078" s="91"/>
      <c r="X1078" s="91"/>
      <c r="Y1078" s="91"/>
    </row>
    <row r="1079" spans="1:25">
      <c r="A1079" s="91"/>
      <c r="B1079" s="94"/>
      <c r="C1079" s="94"/>
      <c r="D1079" s="91"/>
      <c r="E1079" s="91"/>
      <c r="F1079" s="91"/>
      <c r="G1079" s="91"/>
      <c r="H1079" s="91"/>
      <c r="I1079" s="91"/>
      <c r="J1079" s="91"/>
      <c r="K1079" s="91"/>
      <c r="L1079" s="91"/>
      <c r="M1079" s="91"/>
      <c r="N1079" s="91"/>
      <c r="O1079" s="91"/>
      <c r="P1079" s="91"/>
      <c r="Q1079" s="91"/>
      <c r="R1079" s="91"/>
      <c r="S1079" s="91"/>
      <c r="T1079" s="91"/>
      <c r="U1079" s="91"/>
      <c r="V1079" s="91"/>
      <c r="W1079" s="91"/>
      <c r="X1079" s="91"/>
      <c r="Y1079" s="91"/>
    </row>
    <row r="1080" spans="1:25">
      <c r="A1080" s="91"/>
      <c r="B1080" s="94"/>
      <c r="C1080" s="94"/>
      <c r="D1080" s="91"/>
      <c r="E1080" s="91"/>
      <c r="F1080" s="91"/>
      <c r="G1080" s="91"/>
      <c r="H1080" s="91"/>
      <c r="I1080" s="91"/>
      <c r="J1080" s="91"/>
      <c r="K1080" s="91"/>
      <c r="L1080" s="91"/>
      <c r="M1080" s="91"/>
      <c r="N1080" s="91"/>
      <c r="O1080" s="91"/>
      <c r="P1080" s="91"/>
      <c r="Q1080" s="91"/>
      <c r="R1080" s="91"/>
      <c r="S1080" s="91"/>
      <c r="T1080" s="91"/>
      <c r="U1080" s="91"/>
      <c r="V1080" s="91"/>
      <c r="W1080" s="91"/>
      <c r="X1080" s="91"/>
      <c r="Y1080" s="91"/>
    </row>
    <row r="1081" spans="1:25">
      <c r="A1081" s="91"/>
      <c r="B1081" s="94"/>
      <c r="C1081" s="94"/>
      <c r="D1081" s="91"/>
      <c r="E1081" s="91"/>
      <c r="F1081" s="91"/>
      <c r="G1081" s="91"/>
      <c r="H1081" s="91"/>
      <c r="I1081" s="91"/>
      <c r="J1081" s="91"/>
      <c r="K1081" s="91"/>
      <c r="L1081" s="91"/>
      <c r="M1081" s="91"/>
      <c r="N1081" s="91"/>
      <c r="O1081" s="91"/>
      <c r="P1081" s="91"/>
      <c r="Q1081" s="91"/>
      <c r="R1081" s="91"/>
      <c r="S1081" s="91"/>
      <c r="T1081" s="91"/>
      <c r="U1081" s="91"/>
      <c r="V1081" s="91"/>
      <c r="W1081" s="91"/>
      <c r="X1081" s="91"/>
      <c r="Y1081" s="91"/>
    </row>
    <row r="1082" spans="1:25">
      <c r="A1082" s="91"/>
      <c r="B1082" s="94"/>
      <c r="C1082" s="94"/>
      <c r="D1082" s="91"/>
      <c r="E1082" s="91"/>
      <c r="F1082" s="91"/>
      <c r="G1082" s="91"/>
      <c r="H1082" s="91"/>
      <c r="I1082" s="91"/>
      <c r="J1082" s="91"/>
      <c r="K1082" s="91"/>
      <c r="L1082" s="91"/>
      <c r="M1082" s="91"/>
      <c r="N1082" s="91"/>
      <c r="O1082" s="91"/>
      <c r="P1082" s="91"/>
      <c r="Q1082" s="91"/>
      <c r="R1082" s="91"/>
      <c r="S1082" s="91"/>
      <c r="T1082" s="91"/>
      <c r="U1082" s="91"/>
      <c r="V1082" s="91"/>
      <c r="W1082" s="91"/>
      <c r="X1082" s="91"/>
      <c r="Y1082" s="91"/>
    </row>
    <row r="1083" spans="1:25">
      <c r="A1083" s="91"/>
      <c r="B1083" s="94"/>
      <c r="C1083" s="94"/>
      <c r="D1083" s="91"/>
      <c r="E1083" s="91"/>
      <c r="F1083" s="91"/>
      <c r="G1083" s="91"/>
      <c r="H1083" s="91"/>
      <c r="I1083" s="91"/>
      <c r="J1083" s="91"/>
      <c r="K1083" s="91"/>
      <c r="L1083" s="91"/>
      <c r="M1083" s="91"/>
      <c r="N1083" s="91"/>
      <c r="O1083" s="91"/>
      <c r="P1083" s="91"/>
      <c r="Q1083" s="91"/>
      <c r="R1083" s="91"/>
      <c r="S1083" s="91"/>
      <c r="T1083" s="91"/>
      <c r="U1083" s="91"/>
      <c r="V1083" s="91"/>
      <c r="W1083" s="91"/>
      <c r="X1083" s="91"/>
      <c r="Y1083" s="91"/>
    </row>
    <row r="1084" spans="1:25">
      <c r="A1084" s="91"/>
      <c r="B1084" s="94"/>
      <c r="C1084" s="94"/>
      <c r="D1084" s="91"/>
      <c r="E1084" s="91"/>
      <c r="F1084" s="91"/>
      <c r="G1084" s="91"/>
      <c r="H1084" s="91"/>
      <c r="I1084" s="91"/>
      <c r="J1084" s="91"/>
      <c r="K1084" s="91"/>
      <c r="L1084" s="91"/>
      <c r="M1084" s="91"/>
      <c r="N1084" s="91"/>
      <c r="O1084" s="91"/>
      <c r="P1084" s="91"/>
      <c r="Q1084" s="91"/>
      <c r="R1084" s="91"/>
      <c r="S1084" s="91"/>
      <c r="T1084" s="91"/>
      <c r="U1084" s="91"/>
      <c r="V1084" s="91"/>
      <c r="W1084" s="91"/>
      <c r="X1084" s="91"/>
      <c r="Y1084" s="91"/>
    </row>
    <row r="1085" spans="1:25">
      <c r="A1085" s="91"/>
      <c r="B1085" s="94"/>
      <c r="C1085" s="94"/>
      <c r="D1085" s="91"/>
      <c r="E1085" s="91"/>
      <c r="F1085" s="91"/>
      <c r="G1085" s="91"/>
      <c r="H1085" s="91"/>
      <c r="I1085" s="91"/>
      <c r="J1085" s="91"/>
      <c r="K1085" s="91"/>
      <c r="L1085" s="91"/>
      <c r="M1085" s="91"/>
      <c r="N1085" s="91"/>
      <c r="O1085" s="91"/>
      <c r="P1085" s="91"/>
      <c r="Q1085" s="91"/>
      <c r="R1085" s="91"/>
      <c r="S1085" s="91"/>
      <c r="T1085" s="91"/>
      <c r="U1085" s="91"/>
      <c r="V1085" s="91"/>
      <c r="W1085" s="91"/>
      <c r="X1085" s="91"/>
      <c r="Y1085" s="91"/>
    </row>
    <row r="1086" spans="1:25">
      <c r="A1086" s="91"/>
      <c r="B1086" s="94"/>
      <c r="C1086" s="94"/>
      <c r="D1086" s="91"/>
      <c r="E1086" s="91"/>
      <c r="F1086" s="91"/>
      <c r="G1086" s="91"/>
      <c r="H1086" s="91"/>
      <c r="I1086" s="91"/>
      <c r="J1086" s="91"/>
      <c r="K1086" s="91"/>
      <c r="L1086" s="91"/>
      <c r="M1086" s="91"/>
      <c r="N1086" s="91"/>
      <c r="O1086" s="91"/>
      <c r="P1086" s="91"/>
      <c r="Q1086" s="91"/>
      <c r="R1086" s="91"/>
      <c r="S1086" s="91"/>
      <c r="T1086" s="91"/>
      <c r="U1086" s="91"/>
      <c r="V1086" s="91"/>
      <c r="W1086" s="91"/>
      <c r="X1086" s="91"/>
      <c r="Y1086" s="91"/>
    </row>
    <row r="1087" spans="1:25">
      <c r="A1087" s="91"/>
      <c r="B1087" s="94"/>
      <c r="C1087" s="94"/>
      <c r="D1087" s="91"/>
      <c r="E1087" s="91"/>
      <c r="F1087" s="91"/>
      <c r="G1087" s="91"/>
      <c r="H1087" s="91"/>
      <c r="I1087" s="91"/>
      <c r="J1087" s="91"/>
      <c r="K1087" s="91"/>
      <c r="L1087" s="91"/>
      <c r="M1087" s="91"/>
      <c r="N1087" s="91"/>
      <c r="O1087" s="91"/>
      <c r="P1087" s="91"/>
      <c r="Q1087" s="91"/>
      <c r="R1087" s="91"/>
      <c r="S1087" s="91"/>
      <c r="T1087" s="91"/>
      <c r="U1087" s="91"/>
      <c r="V1087" s="91"/>
      <c r="W1087" s="91"/>
      <c r="X1087" s="91"/>
      <c r="Y1087" s="91"/>
    </row>
    <row r="1088" spans="1:25">
      <c r="A1088" s="91"/>
      <c r="B1088" s="94"/>
      <c r="C1088" s="94"/>
      <c r="D1088" s="91"/>
      <c r="E1088" s="91"/>
      <c r="F1088" s="91"/>
      <c r="G1088" s="91"/>
      <c r="H1088" s="91"/>
      <c r="I1088" s="91"/>
      <c r="J1088" s="91"/>
      <c r="K1088" s="91"/>
      <c r="L1088" s="91"/>
      <c r="M1088" s="91"/>
      <c r="N1088" s="91"/>
      <c r="O1088" s="91"/>
      <c r="P1088" s="91"/>
      <c r="Q1088" s="91"/>
      <c r="R1088" s="91"/>
      <c r="S1088" s="91"/>
      <c r="T1088" s="91"/>
      <c r="U1088" s="91"/>
      <c r="V1088" s="91"/>
      <c r="W1088" s="91"/>
      <c r="X1088" s="91"/>
      <c r="Y1088" s="91"/>
    </row>
    <row r="1089" spans="1:25">
      <c r="A1089" s="91"/>
      <c r="B1089" s="94"/>
      <c r="C1089" s="94"/>
      <c r="D1089" s="91"/>
      <c r="E1089" s="91"/>
      <c r="F1089" s="91"/>
      <c r="G1089" s="91"/>
      <c r="H1089" s="91"/>
      <c r="I1089" s="91"/>
      <c r="J1089" s="91"/>
      <c r="K1089" s="91"/>
      <c r="L1089" s="91"/>
      <c r="M1089" s="91"/>
      <c r="N1089" s="91"/>
      <c r="O1089" s="91"/>
      <c r="P1089" s="91"/>
      <c r="Q1089" s="91"/>
      <c r="R1089" s="91"/>
      <c r="S1089" s="91"/>
      <c r="T1089" s="91"/>
      <c r="U1089" s="91"/>
      <c r="V1089" s="91"/>
      <c r="W1089" s="91"/>
      <c r="X1089" s="91"/>
      <c r="Y1089" s="91"/>
    </row>
    <row r="1090" spans="1:25">
      <c r="A1090" s="91"/>
      <c r="B1090" s="94"/>
      <c r="C1090" s="94"/>
      <c r="D1090" s="91"/>
      <c r="E1090" s="91"/>
      <c r="F1090" s="91"/>
      <c r="G1090" s="91"/>
      <c r="H1090" s="91"/>
      <c r="I1090" s="91"/>
      <c r="J1090" s="91"/>
      <c r="K1090" s="91"/>
      <c r="L1090" s="91"/>
      <c r="M1090" s="91"/>
      <c r="N1090" s="91"/>
      <c r="O1090" s="91"/>
      <c r="P1090" s="91"/>
      <c r="Q1090" s="91"/>
      <c r="R1090" s="91"/>
      <c r="S1090" s="91"/>
      <c r="T1090" s="91"/>
      <c r="U1090" s="91"/>
      <c r="V1090" s="91"/>
      <c r="W1090" s="91"/>
      <c r="X1090" s="91"/>
      <c r="Y1090" s="91"/>
    </row>
    <row r="1091" spans="1:25">
      <c r="A1091" s="91"/>
      <c r="B1091" s="94"/>
      <c r="C1091" s="94"/>
      <c r="D1091" s="91"/>
      <c r="E1091" s="91"/>
      <c r="F1091" s="91"/>
      <c r="G1091" s="91"/>
      <c r="H1091" s="91"/>
      <c r="I1091" s="91"/>
      <c r="J1091" s="91"/>
      <c r="K1091" s="91"/>
      <c r="L1091" s="91"/>
      <c r="M1091" s="91"/>
      <c r="N1091" s="91"/>
      <c r="O1091" s="91"/>
      <c r="P1091" s="91"/>
      <c r="Q1091" s="91"/>
      <c r="R1091" s="91"/>
      <c r="S1091" s="91"/>
      <c r="T1091" s="91"/>
      <c r="U1091" s="91"/>
      <c r="V1091" s="91"/>
      <c r="W1091" s="91"/>
      <c r="X1091" s="91"/>
      <c r="Y1091" s="91"/>
    </row>
    <row r="1092" spans="1:25">
      <c r="A1092" s="91"/>
      <c r="B1092" s="94"/>
      <c r="C1092" s="94"/>
      <c r="D1092" s="91"/>
      <c r="E1092" s="91"/>
      <c r="F1092" s="91"/>
      <c r="G1092" s="91"/>
      <c r="H1092" s="91"/>
      <c r="I1092" s="91"/>
      <c r="J1092" s="91"/>
      <c r="K1092" s="91"/>
      <c r="L1092" s="91"/>
      <c r="M1092" s="91"/>
      <c r="N1092" s="91"/>
      <c r="O1092" s="91"/>
      <c r="P1092" s="91"/>
      <c r="Q1092" s="91"/>
      <c r="R1092" s="91"/>
      <c r="S1092" s="91"/>
      <c r="T1092" s="91"/>
      <c r="U1092" s="91"/>
      <c r="V1092" s="91"/>
      <c r="W1092" s="91"/>
      <c r="X1092" s="91"/>
      <c r="Y1092" s="91"/>
    </row>
    <row r="1093" spans="1:25">
      <c r="A1093" s="91"/>
      <c r="B1093" s="94"/>
      <c r="C1093" s="94"/>
      <c r="D1093" s="91"/>
      <c r="E1093" s="91"/>
      <c r="F1093" s="91"/>
      <c r="G1093" s="91"/>
      <c r="H1093" s="91"/>
      <c r="I1093" s="91"/>
      <c r="J1093" s="91"/>
      <c r="K1093" s="91"/>
      <c r="L1093" s="91"/>
      <c r="M1093" s="91"/>
      <c r="N1093" s="91"/>
      <c r="O1093" s="91"/>
      <c r="P1093" s="91"/>
      <c r="Q1093" s="91"/>
      <c r="R1093" s="91"/>
      <c r="S1093" s="91"/>
      <c r="T1093" s="91"/>
      <c r="U1093" s="91"/>
      <c r="V1093" s="91"/>
      <c r="W1093" s="91"/>
      <c r="X1093" s="91"/>
      <c r="Y1093" s="91"/>
    </row>
    <row r="1094" spans="1:25">
      <c r="A1094" s="91"/>
      <c r="B1094" s="94"/>
      <c r="C1094" s="94"/>
      <c r="D1094" s="91"/>
      <c r="E1094" s="91"/>
      <c r="F1094" s="91"/>
      <c r="G1094" s="91"/>
      <c r="H1094" s="91"/>
      <c r="I1094" s="91"/>
      <c r="J1094" s="91"/>
      <c r="K1094" s="91"/>
      <c r="L1094" s="91"/>
      <c r="M1094" s="91"/>
      <c r="N1094" s="91"/>
      <c r="O1094" s="91"/>
      <c r="P1094" s="91"/>
      <c r="Q1094" s="91"/>
      <c r="R1094" s="91"/>
      <c r="S1094" s="91"/>
      <c r="T1094" s="91"/>
      <c r="U1094" s="91"/>
      <c r="V1094" s="91"/>
      <c r="W1094" s="91"/>
      <c r="X1094" s="91"/>
      <c r="Y1094" s="91"/>
    </row>
    <row r="1095" spans="1:25">
      <c r="A1095" s="91"/>
      <c r="B1095" s="94"/>
      <c r="C1095" s="94"/>
      <c r="D1095" s="91"/>
      <c r="E1095" s="91"/>
      <c r="F1095" s="91"/>
      <c r="G1095" s="91"/>
      <c r="H1095" s="91"/>
      <c r="I1095" s="91"/>
      <c r="J1095" s="91"/>
      <c r="K1095" s="91"/>
      <c r="L1095" s="91"/>
      <c r="M1095" s="91"/>
      <c r="N1095" s="91"/>
      <c r="O1095" s="91"/>
      <c r="P1095" s="91"/>
      <c r="Q1095" s="91"/>
      <c r="R1095" s="91"/>
      <c r="S1095" s="91"/>
      <c r="T1095" s="91"/>
      <c r="U1095" s="91"/>
      <c r="V1095" s="91"/>
      <c r="W1095" s="91"/>
      <c r="X1095" s="91"/>
      <c r="Y1095" s="91"/>
    </row>
    <row r="1096" spans="1:25">
      <c r="A1096" s="91"/>
      <c r="B1096" s="94"/>
      <c r="C1096" s="94"/>
      <c r="D1096" s="91"/>
      <c r="E1096" s="91"/>
      <c r="F1096" s="91"/>
      <c r="G1096" s="91"/>
      <c r="H1096" s="91"/>
      <c r="I1096" s="91"/>
      <c r="J1096" s="91"/>
      <c r="K1096" s="91"/>
      <c r="L1096" s="91"/>
      <c r="M1096" s="91"/>
      <c r="N1096" s="91"/>
      <c r="O1096" s="91"/>
      <c r="P1096" s="91"/>
      <c r="Q1096" s="91"/>
      <c r="R1096" s="91"/>
      <c r="S1096" s="91"/>
      <c r="T1096" s="91"/>
      <c r="U1096" s="91"/>
      <c r="V1096" s="91"/>
      <c r="W1096" s="91"/>
      <c r="X1096" s="91"/>
      <c r="Y1096" s="91"/>
    </row>
    <row r="1097" spans="1:25">
      <c r="A1097" s="91"/>
      <c r="B1097" s="94"/>
      <c r="C1097" s="94"/>
      <c r="D1097" s="91"/>
      <c r="E1097" s="91"/>
      <c r="F1097" s="91"/>
      <c r="G1097" s="91"/>
      <c r="H1097" s="91"/>
      <c r="I1097" s="91"/>
      <c r="J1097" s="91"/>
      <c r="K1097" s="91"/>
      <c r="L1097" s="91"/>
      <c r="M1097" s="91"/>
      <c r="N1097" s="91"/>
      <c r="O1097" s="91"/>
      <c r="P1097" s="91"/>
      <c r="Q1097" s="91"/>
      <c r="R1097" s="91"/>
      <c r="S1097" s="91"/>
      <c r="T1097" s="91"/>
      <c r="U1097" s="91"/>
      <c r="V1097" s="91"/>
      <c r="W1097" s="91"/>
      <c r="X1097" s="91"/>
      <c r="Y1097" s="91"/>
    </row>
    <row r="1098" spans="1:25">
      <c r="A1098" s="91"/>
      <c r="B1098" s="94"/>
      <c r="C1098" s="94"/>
      <c r="D1098" s="91"/>
      <c r="E1098" s="91"/>
      <c r="F1098" s="91"/>
      <c r="G1098" s="91"/>
      <c r="H1098" s="91"/>
      <c r="I1098" s="91"/>
      <c r="J1098" s="91"/>
      <c r="K1098" s="91"/>
      <c r="L1098" s="91"/>
      <c r="M1098" s="91"/>
      <c r="N1098" s="91"/>
      <c r="O1098" s="91"/>
      <c r="P1098" s="91"/>
      <c r="Q1098" s="91"/>
      <c r="R1098" s="91"/>
      <c r="S1098" s="91"/>
      <c r="T1098" s="91"/>
      <c r="U1098" s="91"/>
      <c r="V1098" s="91"/>
      <c r="W1098" s="91"/>
      <c r="X1098" s="91"/>
      <c r="Y1098" s="91"/>
    </row>
    <row r="1099" spans="1:25">
      <c r="A1099" s="91"/>
      <c r="B1099" s="94"/>
      <c r="C1099" s="94"/>
      <c r="D1099" s="91"/>
      <c r="E1099" s="91"/>
      <c r="F1099" s="91"/>
      <c r="G1099" s="91"/>
      <c r="H1099" s="91"/>
      <c r="I1099" s="91"/>
      <c r="J1099" s="91"/>
      <c r="K1099" s="91"/>
      <c r="L1099" s="91"/>
      <c r="M1099" s="91"/>
      <c r="N1099" s="91"/>
      <c r="O1099" s="91"/>
      <c r="P1099" s="91"/>
      <c r="Q1099" s="91"/>
      <c r="R1099" s="91"/>
      <c r="S1099" s="91"/>
      <c r="T1099" s="91"/>
      <c r="U1099" s="91"/>
      <c r="V1099" s="91"/>
      <c r="W1099" s="91"/>
      <c r="X1099" s="91"/>
      <c r="Y1099" s="91"/>
    </row>
    <row r="1100" spans="1:25">
      <c r="A1100" s="91"/>
      <c r="B1100" s="94"/>
      <c r="C1100" s="94"/>
      <c r="D1100" s="91"/>
      <c r="E1100" s="91"/>
      <c r="F1100" s="91"/>
      <c r="G1100" s="91"/>
      <c r="H1100" s="91"/>
      <c r="I1100" s="91"/>
      <c r="J1100" s="91"/>
      <c r="K1100" s="91"/>
      <c r="L1100" s="91"/>
      <c r="M1100" s="91"/>
      <c r="N1100" s="91"/>
      <c r="O1100" s="91"/>
      <c r="P1100" s="91"/>
      <c r="Q1100" s="91"/>
      <c r="R1100" s="91"/>
      <c r="S1100" s="91"/>
      <c r="T1100" s="91"/>
      <c r="U1100" s="91"/>
      <c r="V1100" s="91"/>
      <c r="W1100" s="91"/>
      <c r="X1100" s="91"/>
      <c r="Y1100" s="91"/>
    </row>
    <row r="1101" spans="1:25">
      <c r="A1101" s="91"/>
      <c r="B1101" s="94"/>
      <c r="C1101" s="94"/>
      <c r="D1101" s="91"/>
      <c r="E1101" s="91"/>
      <c r="F1101" s="91"/>
      <c r="G1101" s="91"/>
      <c r="H1101" s="91"/>
      <c r="I1101" s="91"/>
      <c r="J1101" s="91"/>
      <c r="K1101" s="91"/>
      <c r="L1101" s="91"/>
      <c r="M1101" s="91"/>
      <c r="N1101" s="91"/>
      <c r="O1101" s="91"/>
      <c r="P1101" s="91"/>
      <c r="Q1101" s="91"/>
      <c r="R1101" s="91"/>
      <c r="S1101" s="91"/>
      <c r="T1101" s="91"/>
      <c r="U1101" s="91"/>
      <c r="V1101" s="91"/>
      <c r="W1101" s="91"/>
      <c r="X1101" s="91"/>
      <c r="Y1101" s="91"/>
    </row>
  </sheetData>
  <mergeCells count="1">
    <mergeCell ref="A3:C3"/>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D09AD23AB68DD488BE2791B4FEE6051" ma:contentTypeVersion="9" ma:contentTypeDescription="Create a new document." ma:contentTypeScope="" ma:versionID="46b9d4da71c4df01d774e960a2d0afed">
  <xsd:schema xmlns:xsd="http://www.w3.org/2001/XMLSchema" xmlns:xs="http://www.w3.org/2001/XMLSchema" xmlns:p="http://schemas.microsoft.com/office/2006/metadata/properties" xmlns:ns2="97d9acf6-0272-4e03-8953-a21dbeec4009" xmlns:ns3="531be5e5-1d68-4482-bade-673a316847c4" targetNamespace="http://schemas.microsoft.com/office/2006/metadata/properties" ma:root="true" ma:fieldsID="2eddb495514fc16733fc8838a9358359" ns2:_="" ns3:_="">
    <xsd:import namespace="97d9acf6-0272-4e03-8953-a21dbeec4009"/>
    <xsd:import namespace="531be5e5-1d68-4482-bade-673a316847c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7d9acf6-0272-4e03-8953-a21dbeec400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31be5e5-1d68-4482-bade-673a316847c4"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B2C97F7-83AD-4088-8C1B-1E663A67DB82}"/>
</file>

<file path=customXml/itemProps2.xml><?xml version="1.0" encoding="utf-8"?>
<ds:datastoreItem xmlns:ds="http://schemas.openxmlformats.org/officeDocument/2006/customXml" ds:itemID="{639E58FF-49BF-49D0-ABB1-C4B70600D0FA}"/>
</file>

<file path=customXml/itemProps3.xml><?xml version="1.0" encoding="utf-8"?>
<ds:datastoreItem xmlns:ds="http://schemas.openxmlformats.org/officeDocument/2006/customXml" ds:itemID="{70D3CB5E-BE8D-438E-BE74-ADF9F7175358}"/>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dkurtzer</dc:creator>
  <cp:keywords/>
  <dc:description/>
  <cp:lastModifiedBy>TRAWICK, DELRAE V CTR USAF AFMC AFNWC/AFNWC/NXZ</cp:lastModifiedBy>
  <cp:revision/>
  <dcterms:created xsi:type="dcterms:W3CDTF">2018-12-28T14:12:00Z</dcterms:created>
  <dcterms:modified xsi:type="dcterms:W3CDTF">2020-11-03T15:14:47Z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0x0101001D09AD23AB68DD488BE2791B4FEE6051</vt:lpwstr>
  </property>
  <property fmtid="{D5CDD505-2E9C-101B-9397-08002B2CF9AE}" pid="3" name="Order">
    <vt:r8>33500</vt:r8>
  </property>
</Properties>
</file>